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kas\Documents\ESILV\ESILV A4\VBA\Projet\"/>
    </mc:Choice>
  </mc:AlternateContent>
  <xr:revisionPtr revIDLastSave="0" documentId="13_ncr:1_{0FB19171-7C03-4129-9163-AD0B45526B06}" xr6:coauthVersionLast="47" xr6:coauthVersionMax="47" xr10:uidLastSave="{00000000-0000-0000-0000-000000000000}"/>
  <bookViews>
    <workbookView minimized="1" xWindow="3465" yWindow="3465" windowWidth="28800" windowHeight="15435" xr2:uid="{F63F5E6D-26AD-4779-B206-BE1642F01BDB}"/>
  </bookViews>
  <sheets>
    <sheet name="Google" sheetId="1" r:id="rId1"/>
    <sheet name="ArGarchCompute" sheetId="9" r:id="rId2"/>
    <sheet name="ArGarch" sheetId="3" r:id="rId3"/>
    <sheet name="Interface" sheetId="8" r:id="rId4"/>
    <sheet name="CE Simple" sheetId="11" r:id="rId5"/>
    <sheet name="CE MLP" sheetId="10" r:id="rId6"/>
  </sheets>
  <functionGroups builtInGroupCount="19"/>
  <externalReferences>
    <externalReference r:id="rId7"/>
  </externalReferences>
  <definedNames>
    <definedName name="A_0" localSheetId="1">ArGarchCompute!$M$7</definedName>
    <definedName name="A_1" localSheetId="1">ArGarchCompute!$M$8</definedName>
    <definedName name="B_1" localSheetId="1">ArGarchCompute!$M$9</definedName>
    <definedName name="DATE">'[1]Data Google'!$A$2:$A$1763</definedName>
    <definedName name="E_1" localSheetId="1">ArGarchCompute!$M$11</definedName>
    <definedName name="E_2" localSheetId="1">ArGarchCompute!$M$12</definedName>
    <definedName name="s0" localSheetId="1">ArGarchCompute!$M$5</definedName>
    <definedName name="solver_adj" localSheetId="2" hidden="1">ArGarch!$K$6,ArGarch!$K$7,ArGarch!$K$8,ArGarch!$K$10,ArGarch!$K$11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ArGarch!$K$14</definedName>
    <definedName name="solver_lhs2" localSheetId="2" hidden="1">ArGarch!$K$4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ArGarch!$E$5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3</definedName>
    <definedName name="solver_rhs1" localSheetId="2" hidden="1">1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3" l="1"/>
  <c r="G5" i="3"/>
  <c r="G4" i="3"/>
  <c r="G3" i="3"/>
  <c r="K4" i="3"/>
  <c r="M5" i="9"/>
  <c r="G4" i="9" s="1"/>
  <c r="H7" i="9"/>
  <c r="H1413" i="9"/>
  <c r="D1413" i="9"/>
  <c r="H1412" i="9"/>
  <c r="D1412" i="9"/>
  <c r="H1411" i="9"/>
  <c r="D1411" i="9"/>
  <c r="H1410" i="9"/>
  <c r="D1410" i="9"/>
  <c r="H1409" i="9"/>
  <c r="D1409" i="9"/>
  <c r="H1408" i="9"/>
  <c r="D1408" i="9"/>
  <c r="H1407" i="9"/>
  <c r="D1407" i="9"/>
  <c r="H1406" i="9"/>
  <c r="D1406" i="9"/>
  <c r="H1405" i="9"/>
  <c r="D1405" i="9"/>
  <c r="H1404" i="9"/>
  <c r="D1404" i="9"/>
  <c r="H1403" i="9"/>
  <c r="D1403" i="9"/>
  <c r="H1402" i="9"/>
  <c r="D1402" i="9"/>
  <c r="H1401" i="9"/>
  <c r="D1401" i="9"/>
  <c r="H1400" i="9"/>
  <c r="D1400" i="9"/>
  <c r="H1399" i="9"/>
  <c r="D1399" i="9"/>
  <c r="H1398" i="9"/>
  <c r="D1398" i="9"/>
  <c r="H1397" i="9"/>
  <c r="D1397" i="9"/>
  <c r="H1396" i="9"/>
  <c r="D1396" i="9"/>
  <c r="H1395" i="9"/>
  <c r="D1395" i="9"/>
  <c r="H1394" i="9"/>
  <c r="D1394" i="9"/>
  <c r="H1393" i="9"/>
  <c r="D1393" i="9"/>
  <c r="H1392" i="9"/>
  <c r="D1392" i="9"/>
  <c r="H1391" i="9"/>
  <c r="D1391" i="9"/>
  <c r="H1390" i="9"/>
  <c r="D1390" i="9"/>
  <c r="H1389" i="9"/>
  <c r="D1389" i="9"/>
  <c r="H1388" i="9"/>
  <c r="D1388" i="9"/>
  <c r="H1387" i="9"/>
  <c r="D1387" i="9"/>
  <c r="H1386" i="9"/>
  <c r="D1386" i="9"/>
  <c r="H1385" i="9"/>
  <c r="D1385" i="9"/>
  <c r="H1384" i="9"/>
  <c r="D1384" i="9"/>
  <c r="H1383" i="9"/>
  <c r="D1383" i="9"/>
  <c r="H1382" i="9"/>
  <c r="D1382" i="9"/>
  <c r="H1381" i="9"/>
  <c r="D1381" i="9"/>
  <c r="H1380" i="9"/>
  <c r="D1380" i="9"/>
  <c r="H1379" i="9"/>
  <c r="D1379" i="9"/>
  <c r="H1378" i="9"/>
  <c r="D1378" i="9"/>
  <c r="H1377" i="9"/>
  <c r="D1377" i="9"/>
  <c r="H1376" i="9"/>
  <c r="D1376" i="9"/>
  <c r="H1375" i="9"/>
  <c r="D1375" i="9"/>
  <c r="H1374" i="9"/>
  <c r="D1374" i="9"/>
  <c r="H1373" i="9"/>
  <c r="D1373" i="9"/>
  <c r="H1372" i="9"/>
  <c r="D1372" i="9"/>
  <c r="H1371" i="9"/>
  <c r="D1371" i="9"/>
  <c r="H1370" i="9"/>
  <c r="D1370" i="9"/>
  <c r="H1369" i="9"/>
  <c r="D1369" i="9"/>
  <c r="H1368" i="9"/>
  <c r="D1368" i="9"/>
  <c r="H1367" i="9"/>
  <c r="D1367" i="9"/>
  <c r="H1366" i="9"/>
  <c r="D1366" i="9"/>
  <c r="H1365" i="9"/>
  <c r="D1365" i="9"/>
  <c r="H1364" i="9"/>
  <c r="D1364" i="9"/>
  <c r="H1363" i="9"/>
  <c r="D1363" i="9"/>
  <c r="H1362" i="9"/>
  <c r="D1362" i="9"/>
  <c r="H1361" i="9"/>
  <c r="D1361" i="9"/>
  <c r="H1360" i="9"/>
  <c r="D1360" i="9"/>
  <c r="H1359" i="9"/>
  <c r="D1359" i="9"/>
  <c r="H1358" i="9"/>
  <c r="D1358" i="9"/>
  <c r="H1357" i="9"/>
  <c r="D1357" i="9"/>
  <c r="H1356" i="9"/>
  <c r="D1356" i="9"/>
  <c r="H1355" i="9"/>
  <c r="D1355" i="9"/>
  <c r="H1354" i="9"/>
  <c r="D1354" i="9"/>
  <c r="H1353" i="9"/>
  <c r="D1353" i="9"/>
  <c r="H1352" i="9"/>
  <c r="D1352" i="9"/>
  <c r="H1351" i="9"/>
  <c r="D1351" i="9"/>
  <c r="H1350" i="9"/>
  <c r="D1350" i="9"/>
  <c r="H1349" i="9"/>
  <c r="D1349" i="9"/>
  <c r="H1348" i="9"/>
  <c r="D1348" i="9"/>
  <c r="H1347" i="9"/>
  <c r="D1347" i="9"/>
  <c r="H1346" i="9"/>
  <c r="D1346" i="9"/>
  <c r="H1345" i="9"/>
  <c r="D1345" i="9"/>
  <c r="H1344" i="9"/>
  <c r="D1344" i="9"/>
  <c r="H1343" i="9"/>
  <c r="D1343" i="9"/>
  <c r="H1342" i="9"/>
  <c r="D1342" i="9"/>
  <c r="H1341" i="9"/>
  <c r="D1341" i="9"/>
  <c r="H1340" i="9"/>
  <c r="D1340" i="9"/>
  <c r="H1339" i="9"/>
  <c r="D1339" i="9"/>
  <c r="H1338" i="9"/>
  <c r="D1338" i="9"/>
  <c r="H1337" i="9"/>
  <c r="D1337" i="9"/>
  <c r="H1336" i="9"/>
  <c r="D1336" i="9"/>
  <c r="H1335" i="9"/>
  <c r="D1335" i="9"/>
  <c r="H1334" i="9"/>
  <c r="D1334" i="9"/>
  <c r="H1333" i="9"/>
  <c r="D1333" i="9"/>
  <c r="H1332" i="9"/>
  <c r="D1332" i="9"/>
  <c r="H1331" i="9"/>
  <c r="D1331" i="9"/>
  <c r="H1330" i="9"/>
  <c r="D1330" i="9"/>
  <c r="H1329" i="9"/>
  <c r="D1329" i="9"/>
  <c r="H1328" i="9"/>
  <c r="D1328" i="9"/>
  <c r="H1327" i="9"/>
  <c r="D1327" i="9"/>
  <c r="H1326" i="9"/>
  <c r="D1326" i="9"/>
  <c r="H1325" i="9"/>
  <c r="D1325" i="9"/>
  <c r="H1324" i="9"/>
  <c r="D1324" i="9"/>
  <c r="H1323" i="9"/>
  <c r="D1323" i="9"/>
  <c r="H1322" i="9"/>
  <c r="D1322" i="9"/>
  <c r="H1321" i="9"/>
  <c r="D1321" i="9"/>
  <c r="H1320" i="9"/>
  <c r="D1320" i="9"/>
  <c r="H1319" i="9"/>
  <c r="D1319" i="9"/>
  <c r="H1318" i="9"/>
  <c r="D1318" i="9"/>
  <c r="H1317" i="9"/>
  <c r="D1317" i="9"/>
  <c r="H1316" i="9"/>
  <c r="D1316" i="9"/>
  <c r="H1315" i="9"/>
  <c r="D1315" i="9"/>
  <c r="H1314" i="9"/>
  <c r="D1314" i="9"/>
  <c r="H1313" i="9"/>
  <c r="D1313" i="9"/>
  <c r="H1312" i="9"/>
  <c r="D1312" i="9"/>
  <c r="H1311" i="9"/>
  <c r="D1311" i="9"/>
  <c r="H1310" i="9"/>
  <c r="D1310" i="9"/>
  <c r="H1309" i="9"/>
  <c r="D1309" i="9"/>
  <c r="H1308" i="9"/>
  <c r="D1308" i="9"/>
  <c r="H1307" i="9"/>
  <c r="D1307" i="9"/>
  <c r="H1306" i="9"/>
  <c r="D1306" i="9"/>
  <c r="H1305" i="9"/>
  <c r="D1305" i="9"/>
  <c r="H1304" i="9"/>
  <c r="D1304" i="9"/>
  <c r="H1303" i="9"/>
  <c r="D1303" i="9"/>
  <c r="H1302" i="9"/>
  <c r="D1302" i="9"/>
  <c r="H1301" i="9"/>
  <c r="D1301" i="9"/>
  <c r="H1300" i="9"/>
  <c r="D1300" i="9"/>
  <c r="H1299" i="9"/>
  <c r="D1299" i="9"/>
  <c r="H1298" i="9"/>
  <c r="D1298" i="9"/>
  <c r="H1297" i="9"/>
  <c r="D1297" i="9"/>
  <c r="H1296" i="9"/>
  <c r="D1296" i="9"/>
  <c r="H1295" i="9"/>
  <c r="D1295" i="9"/>
  <c r="H1294" i="9"/>
  <c r="D1294" i="9"/>
  <c r="H1293" i="9"/>
  <c r="D1293" i="9"/>
  <c r="H1292" i="9"/>
  <c r="D1292" i="9"/>
  <c r="H1291" i="9"/>
  <c r="D1291" i="9"/>
  <c r="H1290" i="9"/>
  <c r="D1290" i="9"/>
  <c r="H1289" i="9"/>
  <c r="D1289" i="9"/>
  <c r="H1288" i="9"/>
  <c r="D1288" i="9"/>
  <c r="H1287" i="9"/>
  <c r="D1287" i="9"/>
  <c r="H1286" i="9"/>
  <c r="D1286" i="9"/>
  <c r="H1285" i="9"/>
  <c r="D1285" i="9"/>
  <c r="H1284" i="9"/>
  <c r="D1284" i="9"/>
  <c r="H1283" i="9"/>
  <c r="D1283" i="9"/>
  <c r="H1282" i="9"/>
  <c r="D1282" i="9"/>
  <c r="H1281" i="9"/>
  <c r="D1281" i="9"/>
  <c r="H1280" i="9"/>
  <c r="D1280" i="9"/>
  <c r="H1279" i="9"/>
  <c r="D1279" i="9"/>
  <c r="H1278" i="9"/>
  <c r="D1278" i="9"/>
  <c r="H1277" i="9"/>
  <c r="D1277" i="9"/>
  <c r="H1276" i="9"/>
  <c r="D1276" i="9"/>
  <c r="H1275" i="9"/>
  <c r="D1275" i="9"/>
  <c r="H1274" i="9"/>
  <c r="D1274" i="9"/>
  <c r="H1273" i="9"/>
  <c r="D1273" i="9"/>
  <c r="H1272" i="9"/>
  <c r="D1272" i="9"/>
  <c r="H1271" i="9"/>
  <c r="D1271" i="9"/>
  <c r="H1270" i="9"/>
  <c r="D1270" i="9"/>
  <c r="H1269" i="9"/>
  <c r="D1269" i="9"/>
  <c r="H1268" i="9"/>
  <c r="D1268" i="9"/>
  <c r="H1267" i="9"/>
  <c r="D1267" i="9"/>
  <c r="H1266" i="9"/>
  <c r="D1266" i="9"/>
  <c r="H1265" i="9"/>
  <c r="D1265" i="9"/>
  <c r="H1264" i="9"/>
  <c r="D1264" i="9"/>
  <c r="H1263" i="9"/>
  <c r="D1263" i="9"/>
  <c r="H1262" i="9"/>
  <c r="D1262" i="9"/>
  <c r="H1261" i="9"/>
  <c r="D1261" i="9"/>
  <c r="H1260" i="9"/>
  <c r="D1260" i="9"/>
  <c r="H1259" i="9"/>
  <c r="D1259" i="9"/>
  <c r="H1258" i="9"/>
  <c r="D1258" i="9"/>
  <c r="H1257" i="9"/>
  <c r="D1257" i="9"/>
  <c r="H1256" i="9"/>
  <c r="D1256" i="9"/>
  <c r="H1255" i="9"/>
  <c r="D1255" i="9"/>
  <c r="H1254" i="9"/>
  <c r="D1254" i="9"/>
  <c r="H1253" i="9"/>
  <c r="D1253" i="9"/>
  <c r="H1252" i="9"/>
  <c r="D1252" i="9"/>
  <c r="H1251" i="9"/>
  <c r="D1251" i="9"/>
  <c r="H1250" i="9"/>
  <c r="D1250" i="9"/>
  <c r="H1249" i="9"/>
  <c r="D1249" i="9"/>
  <c r="H1248" i="9"/>
  <c r="D1248" i="9"/>
  <c r="H1247" i="9"/>
  <c r="D1247" i="9"/>
  <c r="H1246" i="9"/>
  <c r="D1246" i="9"/>
  <c r="H1245" i="9"/>
  <c r="D1245" i="9"/>
  <c r="H1244" i="9"/>
  <c r="D1244" i="9"/>
  <c r="H1243" i="9"/>
  <c r="D1243" i="9"/>
  <c r="H1242" i="9"/>
  <c r="D1242" i="9"/>
  <c r="H1241" i="9"/>
  <c r="D1241" i="9"/>
  <c r="H1240" i="9"/>
  <c r="D1240" i="9"/>
  <c r="H1239" i="9"/>
  <c r="D1239" i="9"/>
  <c r="H1238" i="9"/>
  <c r="D1238" i="9"/>
  <c r="H1237" i="9"/>
  <c r="D1237" i="9"/>
  <c r="H1236" i="9"/>
  <c r="D1236" i="9"/>
  <c r="H1235" i="9"/>
  <c r="D1235" i="9"/>
  <c r="H1234" i="9"/>
  <c r="D1234" i="9"/>
  <c r="H1233" i="9"/>
  <c r="D1233" i="9"/>
  <c r="H1232" i="9"/>
  <c r="D1232" i="9"/>
  <c r="H1231" i="9"/>
  <c r="D1231" i="9"/>
  <c r="H1230" i="9"/>
  <c r="D1230" i="9"/>
  <c r="H1229" i="9"/>
  <c r="D1229" i="9"/>
  <c r="H1228" i="9"/>
  <c r="D1228" i="9"/>
  <c r="H1227" i="9"/>
  <c r="D1227" i="9"/>
  <c r="H1226" i="9"/>
  <c r="D1226" i="9"/>
  <c r="H1225" i="9"/>
  <c r="D1225" i="9"/>
  <c r="H1224" i="9"/>
  <c r="D1224" i="9"/>
  <c r="H1223" i="9"/>
  <c r="D1223" i="9"/>
  <c r="H1222" i="9"/>
  <c r="D1222" i="9"/>
  <c r="H1221" i="9"/>
  <c r="D1221" i="9"/>
  <c r="H1220" i="9"/>
  <c r="D1220" i="9"/>
  <c r="H1219" i="9"/>
  <c r="D1219" i="9"/>
  <c r="H1218" i="9"/>
  <c r="D1218" i="9"/>
  <c r="H1217" i="9"/>
  <c r="D1217" i="9"/>
  <c r="H1216" i="9"/>
  <c r="D1216" i="9"/>
  <c r="H1215" i="9"/>
  <c r="D1215" i="9"/>
  <c r="H1214" i="9"/>
  <c r="D1214" i="9"/>
  <c r="H1213" i="9"/>
  <c r="D1213" i="9"/>
  <c r="H1212" i="9"/>
  <c r="D1212" i="9"/>
  <c r="H1211" i="9"/>
  <c r="D1211" i="9"/>
  <c r="H1210" i="9"/>
  <c r="D1210" i="9"/>
  <c r="H1209" i="9"/>
  <c r="D1209" i="9"/>
  <c r="H1208" i="9"/>
  <c r="D1208" i="9"/>
  <c r="H1207" i="9"/>
  <c r="D1207" i="9"/>
  <c r="H1206" i="9"/>
  <c r="D1206" i="9"/>
  <c r="H1205" i="9"/>
  <c r="D1205" i="9"/>
  <c r="H1204" i="9"/>
  <c r="D1204" i="9"/>
  <c r="H1203" i="9"/>
  <c r="D1203" i="9"/>
  <c r="H1202" i="9"/>
  <c r="D1202" i="9"/>
  <c r="H1201" i="9"/>
  <c r="D1201" i="9"/>
  <c r="H1200" i="9"/>
  <c r="D1200" i="9"/>
  <c r="H1199" i="9"/>
  <c r="D1199" i="9"/>
  <c r="H1198" i="9"/>
  <c r="D1198" i="9"/>
  <c r="H1197" i="9"/>
  <c r="D1197" i="9"/>
  <c r="H1196" i="9"/>
  <c r="D1196" i="9"/>
  <c r="H1195" i="9"/>
  <c r="D1195" i="9"/>
  <c r="H1194" i="9"/>
  <c r="D1194" i="9"/>
  <c r="H1193" i="9"/>
  <c r="D1193" i="9"/>
  <c r="H1192" i="9"/>
  <c r="D1192" i="9"/>
  <c r="H1191" i="9"/>
  <c r="D1191" i="9"/>
  <c r="H1190" i="9"/>
  <c r="D1190" i="9"/>
  <c r="H1189" i="9"/>
  <c r="D1189" i="9"/>
  <c r="H1188" i="9"/>
  <c r="D1188" i="9"/>
  <c r="H1187" i="9"/>
  <c r="D1187" i="9"/>
  <c r="H1186" i="9"/>
  <c r="D1186" i="9"/>
  <c r="H1185" i="9"/>
  <c r="D1185" i="9"/>
  <c r="H1184" i="9"/>
  <c r="D1184" i="9"/>
  <c r="H1183" i="9"/>
  <c r="D1183" i="9"/>
  <c r="H1182" i="9"/>
  <c r="D1182" i="9"/>
  <c r="H1181" i="9"/>
  <c r="D1181" i="9"/>
  <c r="H1180" i="9"/>
  <c r="D1180" i="9"/>
  <c r="H1179" i="9"/>
  <c r="D1179" i="9"/>
  <c r="H1178" i="9"/>
  <c r="D1178" i="9"/>
  <c r="H1177" i="9"/>
  <c r="D1177" i="9"/>
  <c r="H1176" i="9"/>
  <c r="D1176" i="9"/>
  <c r="H1175" i="9"/>
  <c r="D1175" i="9"/>
  <c r="H1174" i="9"/>
  <c r="D1174" i="9"/>
  <c r="H1173" i="9"/>
  <c r="D1173" i="9"/>
  <c r="H1172" i="9"/>
  <c r="D1172" i="9"/>
  <c r="H1171" i="9"/>
  <c r="D1171" i="9"/>
  <c r="H1170" i="9"/>
  <c r="D1170" i="9"/>
  <c r="H1169" i="9"/>
  <c r="D1169" i="9"/>
  <c r="H1168" i="9"/>
  <c r="D1168" i="9"/>
  <c r="H1167" i="9"/>
  <c r="D1167" i="9"/>
  <c r="H1166" i="9"/>
  <c r="D1166" i="9"/>
  <c r="H1165" i="9"/>
  <c r="D1165" i="9"/>
  <c r="H1164" i="9"/>
  <c r="D1164" i="9"/>
  <c r="H1163" i="9"/>
  <c r="D1163" i="9"/>
  <c r="H1162" i="9"/>
  <c r="D1162" i="9"/>
  <c r="H1161" i="9"/>
  <c r="D1161" i="9"/>
  <c r="H1160" i="9"/>
  <c r="D1160" i="9"/>
  <c r="H1159" i="9"/>
  <c r="D1159" i="9"/>
  <c r="H1158" i="9"/>
  <c r="D1158" i="9"/>
  <c r="H1157" i="9"/>
  <c r="D1157" i="9"/>
  <c r="H1156" i="9"/>
  <c r="D1156" i="9"/>
  <c r="H1155" i="9"/>
  <c r="D1155" i="9"/>
  <c r="H1154" i="9"/>
  <c r="D1154" i="9"/>
  <c r="H1153" i="9"/>
  <c r="D1153" i="9"/>
  <c r="H1152" i="9"/>
  <c r="D1152" i="9"/>
  <c r="H1151" i="9"/>
  <c r="D1151" i="9"/>
  <c r="H1150" i="9"/>
  <c r="D1150" i="9"/>
  <c r="H1149" i="9"/>
  <c r="D1149" i="9"/>
  <c r="H1148" i="9"/>
  <c r="D1148" i="9"/>
  <c r="H1147" i="9"/>
  <c r="D1147" i="9"/>
  <c r="H1146" i="9"/>
  <c r="D1146" i="9"/>
  <c r="H1145" i="9"/>
  <c r="D1145" i="9"/>
  <c r="H1144" i="9"/>
  <c r="D1144" i="9"/>
  <c r="H1143" i="9"/>
  <c r="D1143" i="9"/>
  <c r="H1142" i="9"/>
  <c r="D1142" i="9"/>
  <c r="H1141" i="9"/>
  <c r="D1141" i="9"/>
  <c r="H1140" i="9"/>
  <c r="D1140" i="9"/>
  <c r="H1139" i="9"/>
  <c r="D1139" i="9"/>
  <c r="H1138" i="9"/>
  <c r="D1138" i="9"/>
  <c r="H1137" i="9"/>
  <c r="D1137" i="9"/>
  <c r="H1136" i="9"/>
  <c r="D1136" i="9"/>
  <c r="H1135" i="9"/>
  <c r="D1135" i="9"/>
  <c r="H1134" i="9"/>
  <c r="D1134" i="9"/>
  <c r="H1133" i="9"/>
  <c r="D1133" i="9"/>
  <c r="H1132" i="9"/>
  <c r="D1132" i="9"/>
  <c r="H1131" i="9"/>
  <c r="D1131" i="9"/>
  <c r="H1130" i="9"/>
  <c r="D1130" i="9"/>
  <c r="H1129" i="9"/>
  <c r="D1129" i="9"/>
  <c r="H1128" i="9"/>
  <c r="D1128" i="9"/>
  <c r="H1127" i="9"/>
  <c r="D1127" i="9"/>
  <c r="H1126" i="9"/>
  <c r="D1126" i="9"/>
  <c r="H1125" i="9"/>
  <c r="D1125" i="9"/>
  <c r="H1124" i="9"/>
  <c r="D1124" i="9"/>
  <c r="H1123" i="9"/>
  <c r="D1123" i="9"/>
  <c r="H1122" i="9"/>
  <c r="D1122" i="9"/>
  <c r="H1121" i="9"/>
  <c r="D1121" i="9"/>
  <c r="H1120" i="9"/>
  <c r="D1120" i="9"/>
  <c r="H1119" i="9"/>
  <c r="D1119" i="9"/>
  <c r="H1118" i="9"/>
  <c r="D1118" i="9"/>
  <c r="H1117" i="9"/>
  <c r="D1117" i="9"/>
  <c r="H1116" i="9"/>
  <c r="D1116" i="9"/>
  <c r="H1115" i="9"/>
  <c r="D1115" i="9"/>
  <c r="H1114" i="9"/>
  <c r="D1114" i="9"/>
  <c r="H1113" i="9"/>
  <c r="D1113" i="9"/>
  <c r="H1112" i="9"/>
  <c r="D1112" i="9"/>
  <c r="H1111" i="9"/>
  <c r="D1111" i="9"/>
  <c r="H1110" i="9"/>
  <c r="D1110" i="9"/>
  <c r="H1109" i="9"/>
  <c r="D1109" i="9"/>
  <c r="H1108" i="9"/>
  <c r="D1108" i="9"/>
  <c r="H1107" i="9"/>
  <c r="D1107" i="9"/>
  <c r="H1106" i="9"/>
  <c r="D1106" i="9"/>
  <c r="H1105" i="9"/>
  <c r="D1105" i="9"/>
  <c r="H1104" i="9"/>
  <c r="D1104" i="9"/>
  <c r="H1103" i="9"/>
  <c r="D1103" i="9"/>
  <c r="H1102" i="9"/>
  <c r="D1102" i="9"/>
  <c r="H1101" i="9"/>
  <c r="D1101" i="9"/>
  <c r="H1100" i="9"/>
  <c r="D1100" i="9"/>
  <c r="H1099" i="9"/>
  <c r="D1099" i="9"/>
  <c r="H1098" i="9"/>
  <c r="D1098" i="9"/>
  <c r="H1097" i="9"/>
  <c r="D1097" i="9"/>
  <c r="H1096" i="9"/>
  <c r="D1096" i="9"/>
  <c r="H1095" i="9"/>
  <c r="D1095" i="9"/>
  <c r="H1094" i="9"/>
  <c r="D1094" i="9"/>
  <c r="H1093" i="9"/>
  <c r="D1093" i="9"/>
  <c r="H1092" i="9"/>
  <c r="D1092" i="9"/>
  <c r="H1091" i="9"/>
  <c r="D1091" i="9"/>
  <c r="H1090" i="9"/>
  <c r="D1090" i="9"/>
  <c r="H1089" i="9"/>
  <c r="D1089" i="9"/>
  <c r="H1088" i="9"/>
  <c r="D1088" i="9"/>
  <c r="H1087" i="9"/>
  <c r="D1087" i="9"/>
  <c r="H1086" i="9"/>
  <c r="D1086" i="9"/>
  <c r="H1085" i="9"/>
  <c r="D1085" i="9"/>
  <c r="H1084" i="9"/>
  <c r="D1084" i="9"/>
  <c r="H1083" i="9"/>
  <c r="D1083" i="9"/>
  <c r="H1082" i="9"/>
  <c r="D1082" i="9"/>
  <c r="H1081" i="9"/>
  <c r="D1081" i="9"/>
  <c r="H1080" i="9"/>
  <c r="D1080" i="9"/>
  <c r="H1079" i="9"/>
  <c r="D1079" i="9"/>
  <c r="H1078" i="9"/>
  <c r="D1078" i="9"/>
  <c r="H1077" i="9"/>
  <c r="D1077" i="9"/>
  <c r="H1076" i="9"/>
  <c r="D1076" i="9"/>
  <c r="H1075" i="9"/>
  <c r="D1075" i="9"/>
  <c r="H1074" i="9"/>
  <c r="D1074" i="9"/>
  <c r="H1073" i="9"/>
  <c r="D1073" i="9"/>
  <c r="H1072" i="9"/>
  <c r="D1072" i="9"/>
  <c r="H1071" i="9"/>
  <c r="D1071" i="9"/>
  <c r="H1070" i="9"/>
  <c r="D1070" i="9"/>
  <c r="H1069" i="9"/>
  <c r="D1069" i="9"/>
  <c r="H1068" i="9"/>
  <c r="D1068" i="9"/>
  <c r="H1067" i="9"/>
  <c r="D1067" i="9"/>
  <c r="H1066" i="9"/>
  <c r="D1066" i="9"/>
  <c r="H1065" i="9"/>
  <c r="D1065" i="9"/>
  <c r="H1064" i="9"/>
  <c r="D1064" i="9"/>
  <c r="H1063" i="9"/>
  <c r="D1063" i="9"/>
  <c r="H1062" i="9"/>
  <c r="D1062" i="9"/>
  <c r="H1061" i="9"/>
  <c r="D1061" i="9"/>
  <c r="H1060" i="9"/>
  <c r="D1060" i="9"/>
  <c r="H1059" i="9"/>
  <c r="D1059" i="9"/>
  <c r="H1058" i="9"/>
  <c r="D1058" i="9"/>
  <c r="H1057" i="9"/>
  <c r="D1057" i="9"/>
  <c r="H1056" i="9"/>
  <c r="D1056" i="9"/>
  <c r="H1055" i="9"/>
  <c r="D1055" i="9"/>
  <c r="H1054" i="9"/>
  <c r="D1054" i="9"/>
  <c r="H1053" i="9"/>
  <c r="D1053" i="9"/>
  <c r="H1052" i="9"/>
  <c r="D1052" i="9"/>
  <c r="H1051" i="9"/>
  <c r="D1051" i="9"/>
  <c r="H1050" i="9"/>
  <c r="D1050" i="9"/>
  <c r="H1049" i="9"/>
  <c r="D1049" i="9"/>
  <c r="H1048" i="9"/>
  <c r="D1048" i="9"/>
  <c r="H1047" i="9"/>
  <c r="D1047" i="9"/>
  <c r="H1046" i="9"/>
  <c r="D1046" i="9"/>
  <c r="H1045" i="9"/>
  <c r="D1045" i="9"/>
  <c r="H1044" i="9"/>
  <c r="D1044" i="9"/>
  <c r="H1043" i="9"/>
  <c r="D1043" i="9"/>
  <c r="H1042" i="9"/>
  <c r="D1042" i="9"/>
  <c r="H1041" i="9"/>
  <c r="D1041" i="9"/>
  <c r="H1040" i="9"/>
  <c r="D1040" i="9"/>
  <c r="H1039" i="9"/>
  <c r="D1039" i="9"/>
  <c r="H1038" i="9"/>
  <c r="D1038" i="9"/>
  <c r="H1037" i="9"/>
  <c r="D1037" i="9"/>
  <c r="H1036" i="9"/>
  <c r="D1036" i="9"/>
  <c r="H1035" i="9"/>
  <c r="D1035" i="9"/>
  <c r="H1034" i="9"/>
  <c r="D1034" i="9"/>
  <c r="H1033" i="9"/>
  <c r="D1033" i="9"/>
  <c r="H1032" i="9"/>
  <c r="D1032" i="9"/>
  <c r="H1031" i="9"/>
  <c r="D1031" i="9"/>
  <c r="H1030" i="9"/>
  <c r="D1030" i="9"/>
  <c r="H1029" i="9"/>
  <c r="D1029" i="9"/>
  <c r="H1028" i="9"/>
  <c r="D1028" i="9"/>
  <c r="H1027" i="9"/>
  <c r="D1027" i="9"/>
  <c r="H1026" i="9"/>
  <c r="D1026" i="9"/>
  <c r="H1025" i="9"/>
  <c r="D1025" i="9"/>
  <c r="H1024" i="9"/>
  <c r="D1024" i="9"/>
  <c r="H1023" i="9"/>
  <c r="D1023" i="9"/>
  <c r="H1022" i="9"/>
  <c r="D1022" i="9"/>
  <c r="H1021" i="9"/>
  <c r="D1021" i="9"/>
  <c r="H1020" i="9"/>
  <c r="D1020" i="9"/>
  <c r="H1019" i="9"/>
  <c r="D1019" i="9"/>
  <c r="H1018" i="9"/>
  <c r="D1018" i="9"/>
  <c r="H1017" i="9"/>
  <c r="D1017" i="9"/>
  <c r="H1016" i="9"/>
  <c r="D1016" i="9"/>
  <c r="H1015" i="9"/>
  <c r="D1015" i="9"/>
  <c r="H1014" i="9"/>
  <c r="D1014" i="9"/>
  <c r="H1013" i="9"/>
  <c r="D1013" i="9"/>
  <c r="H1012" i="9"/>
  <c r="D1012" i="9"/>
  <c r="H1011" i="9"/>
  <c r="D1011" i="9"/>
  <c r="H1010" i="9"/>
  <c r="D1010" i="9"/>
  <c r="H1009" i="9"/>
  <c r="D1009" i="9"/>
  <c r="H1008" i="9"/>
  <c r="D1008" i="9"/>
  <c r="H1007" i="9"/>
  <c r="D1007" i="9"/>
  <c r="H1006" i="9"/>
  <c r="D1006" i="9"/>
  <c r="H1005" i="9"/>
  <c r="D1005" i="9"/>
  <c r="H1004" i="9"/>
  <c r="D1004" i="9"/>
  <c r="H1003" i="9"/>
  <c r="D1003" i="9"/>
  <c r="H1002" i="9"/>
  <c r="D1002" i="9"/>
  <c r="H1001" i="9"/>
  <c r="D1001" i="9"/>
  <c r="H1000" i="9"/>
  <c r="D1000" i="9"/>
  <c r="H999" i="9"/>
  <c r="D999" i="9"/>
  <c r="H998" i="9"/>
  <c r="D998" i="9"/>
  <c r="H997" i="9"/>
  <c r="D997" i="9"/>
  <c r="H996" i="9"/>
  <c r="D996" i="9"/>
  <c r="H995" i="9"/>
  <c r="D995" i="9"/>
  <c r="H994" i="9"/>
  <c r="D994" i="9"/>
  <c r="H993" i="9"/>
  <c r="D993" i="9"/>
  <c r="H992" i="9"/>
  <c r="D992" i="9"/>
  <c r="H991" i="9"/>
  <c r="D991" i="9"/>
  <c r="H990" i="9"/>
  <c r="D990" i="9"/>
  <c r="H989" i="9"/>
  <c r="D989" i="9"/>
  <c r="H988" i="9"/>
  <c r="D988" i="9"/>
  <c r="H987" i="9"/>
  <c r="D987" i="9"/>
  <c r="H986" i="9"/>
  <c r="D986" i="9"/>
  <c r="H985" i="9"/>
  <c r="D985" i="9"/>
  <c r="H984" i="9"/>
  <c r="D984" i="9"/>
  <c r="H983" i="9"/>
  <c r="D983" i="9"/>
  <c r="H982" i="9"/>
  <c r="D982" i="9"/>
  <c r="H981" i="9"/>
  <c r="D981" i="9"/>
  <c r="H980" i="9"/>
  <c r="D980" i="9"/>
  <c r="H979" i="9"/>
  <c r="D979" i="9"/>
  <c r="H978" i="9"/>
  <c r="D978" i="9"/>
  <c r="H977" i="9"/>
  <c r="D977" i="9"/>
  <c r="H976" i="9"/>
  <c r="D976" i="9"/>
  <c r="H975" i="9"/>
  <c r="D975" i="9"/>
  <c r="H974" i="9"/>
  <c r="D974" i="9"/>
  <c r="H973" i="9"/>
  <c r="D973" i="9"/>
  <c r="H972" i="9"/>
  <c r="D972" i="9"/>
  <c r="H971" i="9"/>
  <c r="D971" i="9"/>
  <c r="H970" i="9"/>
  <c r="D970" i="9"/>
  <c r="H969" i="9"/>
  <c r="D969" i="9"/>
  <c r="H968" i="9"/>
  <c r="D968" i="9"/>
  <c r="H967" i="9"/>
  <c r="D967" i="9"/>
  <c r="H966" i="9"/>
  <c r="D966" i="9"/>
  <c r="H965" i="9"/>
  <c r="D965" i="9"/>
  <c r="H964" i="9"/>
  <c r="D964" i="9"/>
  <c r="H963" i="9"/>
  <c r="D963" i="9"/>
  <c r="H962" i="9"/>
  <c r="D962" i="9"/>
  <c r="H961" i="9"/>
  <c r="D961" i="9"/>
  <c r="H960" i="9"/>
  <c r="D960" i="9"/>
  <c r="H959" i="9"/>
  <c r="D959" i="9"/>
  <c r="H958" i="9"/>
  <c r="D958" i="9"/>
  <c r="H957" i="9"/>
  <c r="D957" i="9"/>
  <c r="H956" i="9"/>
  <c r="D956" i="9"/>
  <c r="H955" i="9"/>
  <c r="D955" i="9"/>
  <c r="H954" i="9"/>
  <c r="D954" i="9"/>
  <c r="H953" i="9"/>
  <c r="D953" i="9"/>
  <c r="H952" i="9"/>
  <c r="D952" i="9"/>
  <c r="H951" i="9"/>
  <c r="D951" i="9"/>
  <c r="H950" i="9"/>
  <c r="D950" i="9"/>
  <c r="H949" i="9"/>
  <c r="D949" i="9"/>
  <c r="H948" i="9"/>
  <c r="D948" i="9"/>
  <c r="H947" i="9"/>
  <c r="D947" i="9"/>
  <c r="H946" i="9"/>
  <c r="D946" i="9"/>
  <c r="H945" i="9"/>
  <c r="D945" i="9"/>
  <c r="H944" i="9"/>
  <c r="D944" i="9"/>
  <c r="H943" i="9"/>
  <c r="D943" i="9"/>
  <c r="H942" i="9"/>
  <c r="D942" i="9"/>
  <c r="H941" i="9"/>
  <c r="D941" i="9"/>
  <c r="H940" i="9"/>
  <c r="D940" i="9"/>
  <c r="H939" i="9"/>
  <c r="D939" i="9"/>
  <c r="H938" i="9"/>
  <c r="D938" i="9"/>
  <c r="H937" i="9"/>
  <c r="D937" i="9"/>
  <c r="H936" i="9"/>
  <c r="D936" i="9"/>
  <c r="H935" i="9"/>
  <c r="D935" i="9"/>
  <c r="H934" i="9"/>
  <c r="D934" i="9"/>
  <c r="H933" i="9"/>
  <c r="D933" i="9"/>
  <c r="H932" i="9"/>
  <c r="D932" i="9"/>
  <c r="H931" i="9"/>
  <c r="D931" i="9"/>
  <c r="H930" i="9"/>
  <c r="D930" i="9"/>
  <c r="H929" i="9"/>
  <c r="D929" i="9"/>
  <c r="H928" i="9"/>
  <c r="D928" i="9"/>
  <c r="H927" i="9"/>
  <c r="D927" i="9"/>
  <c r="H926" i="9"/>
  <c r="D926" i="9"/>
  <c r="H925" i="9"/>
  <c r="D925" i="9"/>
  <c r="H924" i="9"/>
  <c r="D924" i="9"/>
  <c r="H923" i="9"/>
  <c r="D923" i="9"/>
  <c r="H922" i="9"/>
  <c r="D922" i="9"/>
  <c r="H921" i="9"/>
  <c r="D921" i="9"/>
  <c r="H920" i="9"/>
  <c r="D920" i="9"/>
  <c r="H919" i="9"/>
  <c r="D919" i="9"/>
  <c r="H918" i="9"/>
  <c r="D918" i="9"/>
  <c r="H917" i="9"/>
  <c r="D917" i="9"/>
  <c r="H916" i="9"/>
  <c r="D916" i="9"/>
  <c r="H915" i="9"/>
  <c r="D915" i="9"/>
  <c r="H914" i="9"/>
  <c r="D914" i="9"/>
  <c r="H913" i="9"/>
  <c r="D913" i="9"/>
  <c r="H912" i="9"/>
  <c r="D912" i="9"/>
  <c r="H911" i="9"/>
  <c r="D911" i="9"/>
  <c r="H910" i="9"/>
  <c r="D910" i="9"/>
  <c r="H909" i="9"/>
  <c r="D909" i="9"/>
  <c r="H908" i="9"/>
  <c r="D908" i="9"/>
  <c r="H907" i="9"/>
  <c r="D907" i="9"/>
  <c r="H906" i="9"/>
  <c r="D906" i="9"/>
  <c r="H905" i="9"/>
  <c r="D905" i="9"/>
  <c r="H904" i="9"/>
  <c r="D904" i="9"/>
  <c r="H903" i="9"/>
  <c r="D903" i="9"/>
  <c r="H902" i="9"/>
  <c r="D902" i="9"/>
  <c r="H901" i="9"/>
  <c r="D901" i="9"/>
  <c r="H900" i="9"/>
  <c r="D900" i="9"/>
  <c r="H899" i="9"/>
  <c r="D899" i="9"/>
  <c r="H898" i="9"/>
  <c r="D898" i="9"/>
  <c r="H897" i="9"/>
  <c r="D897" i="9"/>
  <c r="H896" i="9"/>
  <c r="D896" i="9"/>
  <c r="H895" i="9"/>
  <c r="D895" i="9"/>
  <c r="H894" i="9"/>
  <c r="D894" i="9"/>
  <c r="H893" i="9"/>
  <c r="D893" i="9"/>
  <c r="H892" i="9"/>
  <c r="D892" i="9"/>
  <c r="H891" i="9"/>
  <c r="D891" i="9"/>
  <c r="H890" i="9"/>
  <c r="D890" i="9"/>
  <c r="H889" i="9"/>
  <c r="D889" i="9"/>
  <c r="H888" i="9"/>
  <c r="D888" i="9"/>
  <c r="H887" i="9"/>
  <c r="D887" i="9"/>
  <c r="H886" i="9"/>
  <c r="D886" i="9"/>
  <c r="H885" i="9"/>
  <c r="D885" i="9"/>
  <c r="H884" i="9"/>
  <c r="D884" i="9"/>
  <c r="H883" i="9"/>
  <c r="D883" i="9"/>
  <c r="H882" i="9"/>
  <c r="D882" i="9"/>
  <c r="H881" i="9"/>
  <c r="D881" i="9"/>
  <c r="H880" i="9"/>
  <c r="D880" i="9"/>
  <c r="H879" i="9"/>
  <c r="D879" i="9"/>
  <c r="H878" i="9"/>
  <c r="D878" i="9"/>
  <c r="H877" i="9"/>
  <c r="D877" i="9"/>
  <c r="H876" i="9"/>
  <c r="D876" i="9"/>
  <c r="H875" i="9"/>
  <c r="D875" i="9"/>
  <c r="H874" i="9"/>
  <c r="D874" i="9"/>
  <c r="H873" i="9"/>
  <c r="D873" i="9"/>
  <c r="H872" i="9"/>
  <c r="D872" i="9"/>
  <c r="H871" i="9"/>
  <c r="D871" i="9"/>
  <c r="H870" i="9"/>
  <c r="D870" i="9"/>
  <c r="H869" i="9"/>
  <c r="D869" i="9"/>
  <c r="H868" i="9"/>
  <c r="D868" i="9"/>
  <c r="H867" i="9"/>
  <c r="D867" i="9"/>
  <c r="H866" i="9"/>
  <c r="D866" i="9"/>
  <c r="H865" i="9"/>
  <c r="D865" i="9"/>
  <c r="H864" i="9"/>
  <c r="D864" i="9"/>
  <c r="H863" i="9"/>
  <c r="D863" i="9"/>
  <c r="H862" i="9"/>
  <c r="D862" i="9"/>
  <c r="H861" i="9"/>
  <c r="D861" i="9"/>
  <c r="H860" i="9"/>
  <c r="D860" i="9"/>
  <c r="H859" i="9"/>
  <c r="D859" i="9"/>
  <c r="H858" i="9"/>
  <c r="D858" i="9"/>
  <c r="H857" i="9"/>
  <c r="D857" i="9"/>
  <c r="H856" i="9"/>
  <c r="D856" i="9"/>
  <c r="H855" i="9"/>
  <c r="D855" i="9"/>
  <c r="H854" i="9"/>
  <c r="D854" i="9"/>
  <c r="H853" i="9"/>
  <c r="D853" i="9"/>
  <c r="H852" i="9"/>
  <c r="D852" i="9"/>
  <c r="H851" i="9"/>
  <c r="D851" i="9"/>
  <c r="H850" i="9"/>
  <c r="D850" i="9"/>
  <c r="H849" i="9"/>
  <c r="D849" i="9"/>
  <c r="H848" i="9"/>
  <c r="D848" i="9"/>
  <c r="H847" i="9"/>
  <c r="D847" i="9"/>
  <c r="H846" i="9"/>
  <c r="D846" i="9"/>
  <c r="H845" i="9"/>
  <c r="D845" i="9"/>
  <c r="H844" i="9"/>
  <c r="D844" i="9"/>
  <c r="H843" i="9"/>
  <c r="D843" i="9"/>
  <c r="H842" i="9"/>
  <c r="D842" i="9"/>
  <c r="H841" i="9"/>
  <c r="D841" i="9"/>
  <c r="H840" i="9"/>
  <c r="D840" i="9"/>
  <c r="H839" i="9"/>
  <c r="D839" i="9"/>
  <c r="H838" i="9"/>
  <c r="D838" i="9"/>
  <c r="H837" i="9"/>
  <c r="D837" i="9"/>
  <c r="H836" i="9"/>
  <c r="D836" i="9"/>
  <c r="H835" i="9"/>
  <c r="D835" i="9"/>
  <c r="H834" i="9"/>
  <c r="D834" i="9"/>
  <c r="H833" i="9"/>
  <c r="D833" i="9"/>
  <c r="H832" i="9"/>
  <c r="D832" i="9"/>
  <c r="H831" i="9"/>
  <c r="D831" i="9"/>
  <c r="H830" i="9"/>
  <c r="D830" i="9"/>
  <c r="H829" i="9"/>
  <c r="D829" i="9"/>
  <c r="H828" i="9"/>
  <c r="D828" i="9"/>
  <c r="H827" i="9"/>
  <c r="D827" i="9"/>
  <c r="H826" i="9"/>
  <c r="D826" i="9"/>
  <c r="H825" i="9"/>
  <c r="D825" i="9"/>
  <c r="H824" i="9"/>
  <c r="D824" i="9"/>
  <c r="H823" i="9"/>
  <c r="D823" i="9"/>
  <c r="H822" i="9"/>
  <c r="D822" i="9"/>
  <c r="H821" i="9"/>
  <c r="D821" i="9"/>
  <c r="H820" i="9"/>
  <c r="D820" i="9"/>
  <c r="H819" i="9"/>
  <c r="D819" i="9"/>
  <c r="H818" i="9"/>
  <c r="D818" i="9"/>
  <c r="H817" i="9"/>
  <c r="D817" i="9"/>
  <c r="H816" i="9"/>
  <c r="D816" i="9"/>
  <c r="H815" i="9"/>
  <c r="D815" i="9"/>
  <c r="H814" i="9"/>
  <c r="D814" i="9"/>
  <c r="H813" i="9"/>
  <c r="D813" i="9"/>
  <c r="H812" i="9"/>
  <c r="D812" i="9"/>
  <c r="H811" i="9"/>
  <c r="D811" i="9"/>
  <c r="H810" i="9"/>
  <c r="D810" i="9"/>
  <c r="H809" i="9"/>
  <c r="D809" i="9"/>
  <c r="H808" i="9"/>
  <c r="D808" i="9"/>
  <c r="H807" i="9"/>
  <c r="D807" i="9"/>
  <c r="H806" i="9"/>
  <c r="D806" i="9"/>
  <c r="H805" i="9"/>
  <c r="D805" i="9"/>
  <c r="H804" i="9"/>
  <c r="D804" i="9"/>
  <c r="H803" i="9"/>
  <c r="D803" i="9"/>
  <c r="H802" i="9"/>
  <c r="D802" i="9"/>
  <c r="H801" i="9"/>
  <c r="D801" i="9"/>
  <c r="H800" i="9"/>
  <c r="D800" i="9"/>
  <c r="H799" i="9"/>
  <c r="D799" i="9"/>
  <c r="H798" i="9"/>
  <c r="D798" i="9"/>
  <c r="H797" i="9"/>
  <c r="D797" i="9"/>
  <c r="H796" i="9"/>
  <c r="D796" i="9"/>
  <c r="H795" i="9"/>
  <c r="D795" i="9"/>
  <c r="H794" i="9"/>
  <c r="D794" i="9"/>
  <c r="H793" i="9"/>
  <c r="D793" i="9"/>
  <c r="H792" i="9"/>
  <c r="D792" i="9"/>
  <c r="H791" i="9"/>
  <c r="D791" i="9"/>
  <c r="H790" i="9"/>
  <c r="D790" i="9"/>
  <c r="H789" i="9"/>
  <c r="D789" i="9"/>
  <c r="H788" i="9"/>
  <c r="D788" i="9"/>
  <c r="H787" i="9"/>
  <c r="D787" i="9"/>
  <c r="H786" i="9"/>
  <c r="D786" i="9"/>
  <c r="H785" i="9"/>
  <c r="D785" i="9"/>
  <c r="H784" i="9"/>
  <c r="D784" i="9"/>
  <c r="H783" i="9"/>
  <c r="D783" i="9"/>
  <c r="H782" i="9"/>
  <c r="D782" i="9"/>
  <c r="H781" i="9"/>
  <c r="D781" i="9"/>
  <c r="H780" i="9"/>
  <c r="D780" i="9"/>
  <c r="H779" i="9"/>
  <c r="D779" i="9"/>
  <c r="H778" i="9"/>
  <c r="D778" i="9"/>
  <c r="H777" i="9"/>
  <c r="D777" i="9"/>
  <c r="H776" i="9"/>
  <c r="D776" i="9"/>
  <c r="H775" i="9"/>
  <c r="D775" i="9"/>
  <c r="H774" i="9"/>
  <c r="D774" i="9"/>
  <c r="H773" i="9"/>
  <c r="D773" i="9"/>
  <c r="H772" i="9"/>
  <c r="D772" i="9"/>
  <c r="H771" i="9"/>
  <c r="D771" i="9"/>
  <c r="H770" i="9"/>
  <c r="D770" i="9"/>
  <c r="H769" i="9"/>
  <c r="D769" i="9"/>
  <c r="H768" i="9"/>
  <c r="D768" i="9"/>
  <c r="H767" i="9"/>
  <c r="D767" i="9"/>
  <c r="H766" i="9"/>
  <c r="D766" i="9"/>
  <c r="H765" i="9"/>
  <c r="D765" i="9"/>
  <c r="H764" i="9"/>
  <c r="D764" i="9"/>
  <c r="H763" i="9"/>
  <c r="D763" i="9"/>
  <c r="H762" i="9"/>
  <c r="D762" i="9"/>
  <c r="H761" i="9"/>
  <c r="D761" i="9"/>
  <c r="H760" i="9"/>
  <c r="D760" i="9"/>
  <c r="H759" i="9"/>
  <c r="D759" i="9"/>
  <c r="H758" i="9"/>
  <c r="D758" i="9"/>
  <c r="H757" i="9"/>
  <c r="D757" i="9"/>
  <c r="H756" i="9"/>
  <c r="D756" i="9"/>
  <c r="H755" i="9"/>
  <c r="D755" i="9"/>
  <c r="H754" i="9"/>
  <c r="D754" i="9"/>
  <c r="H753" i="9"/>
  <c r="D753" i="9"/>
  <c r="H752" i="9"/>
  <c r="D752" i="9"/>
  <c r="H751" i="9"/>
  <c r="D751" i="9"/>
  <c r="H750" i="9"/>
  <c r="D750" i="9"/>
  <c r="H749" i="9"/>
  <c r="D749" i="9"/>
  <c r="H748" i="9"/>
  <c r="D748" i="9"/>
  <c r="H747" i="9"/>
  <c r="D747" i="9"/>
  <c r="H746" i="9"/>
  <c r="D746" i="9"/>
  <c r="H745" i="9"/>
  <c r="D745" i="9"/>
  <c r="H744" i="9"/>
  <c r="D744" i="9"/>
  <c r="H743" i="9"/>
  <c r="D743" i="9"/>
  <c r="H742" i="9"/>
  <c r="D742" i="9"/>
  <c r="H741" i="9"/>
  <c r="D741" i="9"/>
  <c r="H740" i="9"/>
  <c r="D740" i="9"/>
  <c r="H739" i="9"/>
  <c r="D739" i="9"/>
  <c r="H738" i="9"/>
  <c r="D738" i="9"/>
  <c r="H737" i="9"/>
  <c r="D737" i="9"/>
  <c r="H736" i="9"/>
  <c r="D736" i="9"/>
  <c r="H735" i="9"/>
  <c r="D735" i="9"/>
  <c r="H734" i="9"/>
  <c r="D734" i="9"/>
  <c r="H733" i="9"/>
  <c r="D733" i="9"/>
  <c r="H732" i="9"/>
  <c r="D732" i="9"/>
  <c r="H731" i="9"/>
  <c r="D731" i="9"/>
  <c r="H730" i="9"/>
  <c r="D730" i="9"/>
  <c r="H729" i="9"/>
  <c r="D729" i="9"/>
  <c r="H728" i="9"/>
  <c r="D728" i="9"/>
  <c r="H727" i="9"/>
  <c r="D727" i="9"/>
  <c r="H726" i="9"/>
  <c r="D726" i="9"/>
  <c r="H725" i="9"/>
  <c r="D725" i="9"/>
  <c r="H724" i="9"/>
  <c r="D724" i="9"/>
  <c r="H723" i="9"/>
  <c r="D723" i="9"/>
  <c r="H722" i="9"/>
  <c r="D722" i="9"/>
  <c r="H721" i="9"/>
  <c r="D721" i="9"/>
  <c r="H720" i="9"/>
  <c r="D720" i="9"/>
  <c r="H719" i="9"/>
  <c r="D719" i="9"/>
  <c r="H718" i="9"/>
  <c r="D718" i="9"/>
  <c r="H717" i="9"/>
  <c r="D717" i="9"/>
  <c r="H716" i="9"/>
  <c r="D716" i="9"/>
  <c r="H715" i="9"/>
  <c r="D715" i="9"/>
  <c r="H714" i="9"/>
  <c r="D714" i="9"/>
  <c r="H713" i="9"/>
  <c r="D713" i="9"/>
  <c r="H712" i="9"/>
  <c r="D712" i="9"/>
  <c r="H711" i="9"/>
  <c r="D711" i="9"/>
  <c r="H710" i="9"/>
  <c r="D710" i="9"/>
  <c r="H709" i="9"/>
  <c r="D709" i="9"/>
  <c r="H708" i="9"/>
  <c r="D708" i="9"/>
  <c r="H707" i="9"/>
  <c r="D707" i="9"/>
  <c r="H706" i="9"/>
  <c r="D706" i="9"/>
  <c r="H705" i="9"/>
  <c r="D705" i="9"/>
  <c r="H704" i="9"/>
  <c r="D704" i="9"/>
  <c r="H703" i="9"/>
  <c r="D703" i="9"/>
  <c r="H702" i="9"/>
  <c r="D702" i="9"/>
  <c r="H701" i="9"/>
  <c r="D701" i="9"/>
  <c r="H700" i="9"/>
  <c r="D700" i="9"/>
  <c r="H699" i="9"/>
  <c r="D699" i="9"/>
  <c r="H698" i="9"/>
  <c r="D698" i="9"/>
  <c r="H697" i="9"/>
  <c r="D697" i="9"/>
  <c r="H696" i="9"/>
  <c r="D696" i="9"/>
  <c r="H695" i="9"/>
  <c r="D695" i="9"/>
  <c r="H694" i="9"/>
  <c r="D694" i="9"/>
  <c r="H693" i="9"/>
  <c r="D693" i="9"/>
  <c r="H692" i="9"/>
  <c r="D692" i="9"/>
  <c r="H691" i="9"/>
  <c r="D691" i="9"/>
  <c r="H690" i="9"/>
  <c r="D690" i="9"/>
  <c r="H689" i="9"/>
  <c r="D689" i="9"/>
  <c r="H688" i="9"/>
  <c r="D688" i="9"/>
  <c r="H687" i="9"/>
  <c r="D687" i="9"/>
  <c r="H686" i="9"/>
  <c r="D686" i="9"/>
  <c r="H685" i="9"/>
  <c r="D685" i="9"/>
  <c r="H684" i="9"/>
  <c r="D684" i="9"/>
  <c r="H683" i="9"/>
  <c r="D683" i="9"/>
  <c r="H682" i="9"/>
  <c r="D682" i="9"/>
  <c r="H681" i="9"/>
  <c r="D681" i="9"/>
  <c r="H680" i="9"/>
  <c r="D680" i="9"/>
  <c r="H679" i="9"/>
  <c r="D679" i="9"/>
  <c r="H678" i="9"/>
  <c r="D678" i="9"/>
  <c r="H677" i="9"/>
  <c r="D677" i="9"/>
  <c r="H676" i="9"/>
  <c r="D676" i="9"/>
  <c r="H675" i="9"/>
  <c r="D675" i="9"/>
  <c r="H674" i="9"/>
  <c r="D674" i="9"/>
  <c r="H673" i="9"/>
  <c r="D673" i="9"/>
  <c r="H672" i="9"/>
  <c r="D672" i="9"/>
  <c r="H671" i="9"/>
  <c r="D671" i="9"/>
  <c r="H670" i="9"/>
  <c r="D670" i="9"/>
  <c r="H669" i="9"/>
  <c r="D669" i="9"/>
  <c r="H668" i="9"/>
  <c r="D668" i="9"/>
  <c r="H667" i="9"/>
  <c r="D667" i="9"/>
  <c r="H666" i="9"/>
  <c r="D666" i="9"/>
  <c r="H665" i="9"/>
  <c r="D665" i="9"/>
  <c r="H664" i="9"/>
  <c r="D664" i="9"/>
  <c r="H663" i="9"/>
  <c r="D663" i="9"/>
  <c r="H662" i="9"/>
  <c r="D662" i="9"/>
  <c r="H661" i="9"/>
  <c r="D661" i="9"/>
  <c r="H660" i="9"/>
  <c r="D660" i="9"/>
  <c r="H659" i="9"/>
  <c r="D659" i="9"/>
  <c r="H658" i="9"/>
  <c r="D658" i="9"/>
  <c r="H657" i="9"/>
  <c r="D657" i="9"/>
  <c r="H656" i="9"/>
  <c r="D656" i="9"/>
  <c r="H655" i="9"/>
  <c r="D655" i="9"/>
  <c r="H654" i="9"/>
  <c r="D654" i="9"/>
  <c r="H653" i="9"/>
  <c r="D653" i="9"/>
  <c r="H652" i="9"/>
  <c r="D652" i="9"/>
  <c r="H651" i="9"/>
  <c r="D651" i="9"/>
  <c r="H650" i="9"/>
  <c r="D650" i="9"/>
  <c r="H649" i="9"/>
  <c r="D649" i="9"/>
  <c r="H648" i="9"/>
  <c r="D648" i="9"/>
  <c r="H647" i="9"/>
  <c r="D647" i="9"/>
  <c r="H646" i="9"/>
  <c r="D646" i="9"/>
  <c r="H645" i="9"/>
  <c r="D645" i="9"/>
  <c r="H644" i="9"/>
  <c r="D644" i="9"/>
  <c r="H643" i="9"/>
  <c r="D643" i="9"/>
  <c r="H642" i="9"/>
  <c r="D642" i="9"/>
  <c r="H641" i="9"/>
  <c r="D641" i="9"/>
  <c r="H640" i="9"/>
  <c r="D640" i="9"/>
  <c r="H639" i="9"/>
  <c r="D639" i="9"/>
  <c r="H638" i="9"/>
  <c r="D638" i="9"/>
  <c r="H637" i="9"/>
  <c r="D637" i="9"/>
  <c r="H636" i="9"/>
  <c r="D636" i="9"/>
  <c r="H635" i="9"/>
  <c r="D635" i="9"/>
  <c r="H634" i="9"/>
  <c r="D634" i="9"/>
  <c r="H633" i="9"/>
  <c r="D633" i="9"/>
  <c r="H632" i="9"/>
  <c r="D632" i="9"/>
  <c r="H631" i="9"/>
  <c r="D631" i="9"/>
  <c r="H630" i="9"/>
  <c r="D630" i="9"/>
  <c r="H629" i="9"/>
  <c r="D629" i="9"/>
  <c r="H628" i="9"/>
  <c r="D628" i="9"/>
  <c r="H627" i="9"/>
  <c r="D627" i="9"/>
  <c r="H626" i="9"/>
  <c r="D626" i="9"/>
  <c r="H625" i="9"/>
  <c r="D625" i="9"/>
  <c r="H624" i="9"/>
  <c r="D624" i="9"/>
  <c r="H623" i="9"/>
  <c r="D623" i="9"/>
  <c r="H622" i="9"/>
  <c r="D622" i="9"/>
  <c r="H621" i="9"/>
  <c r="D621" i="9"/>
  <c r="H620" i="9"/>
  <c r="D620" i="9"/>
  <c r="H619" i="9"/>
  <c r="D619" i="9"/>
  <c r="H618" i="9"/>
  <c r="D618" i="9"/>
  <c r="H617" i="9"/>
  <c r="D617" i="9"/>
  <c r="H616" i="9"/>
  <c r="D616" i="9"/>
  <c r="H615" i="9"/>
  <c r="D615" i="9"/>
  <c r="H614" i="9"/>
  <c r="D614" i="9"/>
  <c r="H613" i="9"/>
  <c r="D613" i="9"/>
  <c r="H612" i="9"/>
  <c r="D612" i="9"/>
  <c r="H611" i="9"/>
  <c r="D611" i="9"/>
  <c r="H610" i="9"/>
  <c r="D610" i="9"/>
  <c r="H609" i="9"/>
  <c r="D609" i="9"/>
  <c r="H608" i="9"/>
  <c r="D608" i="9"/>
  <c r="H607" i="9"/>
  <c r="D607" i="9"/>
  <c r="H606" i="9"/>
  <c r="D606" i="9"/>
  <c r="H605" i="9"/>
  <c r="D605" i="9"/>
  <c r="H604" i="9"/>
  <c r="D604" i="9"/>
  <c r="H603" i="9"/>
  <c r="D603" i="9"/>
  <c r="H602" i="9"/>
  <c r="D602" i="9"/>
  <c r="H601" i="9"/>
  <c r="D601" i="9"/>
  <c r="H600" i="9"/>
  <c r="D600" i="9"/>
  <c r="H599" i="9"/>
  <c r="D599" i="9"/>
  <c r="H598" i="9"/>
  <c r="D598" i="9"/>
  <c r="H597" i="9"/>
  <c r="D597" i="9"/>
  <c r="H596" i="9"/>
  <c r="D596" i="9"/>
  <c r="H595" i="9"/>
  <c r="D595" i="9"/>
  <c r="H594" i="9"/>
  <c r="D594" i="9"/>
  <c r="H593" i="9"/>
  <c r="D593" i="9"/>
  <c r="H592" i="9"/>
  <c r="D592" i="9"/>
  <c r="H591" i="9"/>
  <c r="D591" i="9"/>
  <c r="H590" i="9"/>
  <c r="D590" i="9"/>
  <c r="H589" i="9"/>
  <c r="D589" i="9"/>
  <c r="H588" i="9"/>
  <c r="D588" i="9"/>
  <c r="H587" i="9"/>
  <c r="D587" i="9"/>
  <c r="H586" i="9"/>
  <c r="D586" i="9"/>
  <c r="H585" i="9"/>
  <c r="D585" i="9"/>
  <c r="H584" i="9"/>
  <c r="D584" i="9"/>
  <c r="H583" i="9"/>
  <c r="D583" i="9"/>
  <c r="H582" i="9"/>
  <c r="D582" i="9"/>
  <c r="H581" i="9"/>
  <c r="D581" i="9"/>
  <c r="H580" i="9"/>
  <c r="D580" i="9"/>
  <c r="H579" i="9"/>
  <c r="D579" i="9"/>
  <c r="H578" i="9"/>
  <c r="D578" i="9"/>
  <c r="H577" i="9"/>
  <c r="D577" i="9"/>
  <c r="H576" i="9"/>
  <c r="D576" i="9"/>
  <c r="H575" i="9"/>
  <c r="D575" i="9"/>
  <c r="H574" i="9"/>
  <c r="D574" i="9"/>
  <c r="H573" i="9"/>
  <c r="D573" i="9"/>
  <c r="H572" i="9"/>
  <c r="D572" i="9"/>
  <c r="H571" i="9"/>
  <c r="D571" i="9"/>
  <c r="H570" i="9"/>
  <c r="D570" i="9"/>
  <c r="H569" i="9"/>
  <c r="D569" i="9"/>
  <c r="H568" i="9"/>
  <c r="D568" i="9"/>
  <c r="H567" i="9"/>
  <c r="D567" i="9"/>
  <c r="H566" i="9"/>
  <c r="D566" i="9"/>
  <c r="H565" i="9"/>
  <c r="D565" i="9"/>
  <c r="H564" i="9"/>
  <c r="D564" i="9"/>
  <c r="H563" i="9"/>
  <c r="D563" i="9"/>
  <c r="H562" i="9"/>
  <c r="D562" i="9"/>
  <c r="H561" i="9"/>
  <c r="D561" i="9"/>
  <c r="H560" i="9"/>
  <c r="D560" i="9"/>
  <c r="H559" i="9"/>
  <c r="D559" i="9"/>
  <c r="H558" i="9"/>
  <c r="D558" i="9"/>
  <c r="H557" i="9"/>
  <c r="D557" i="9"/>
  <c r="H556" i="9"/>
  <c r="D556" i="9"/>
  <c r="H555" i="9"/>
  <c r="D555" i="9"/>
  <c r="H554" i="9"/>
  <c r="D554" i="9"/>
  <c r="H553" i="9"/>
  <c r="D553" i="9"/>
  <c r="H552" i="9"/>
  <c r="D552" i="9"/>
  <c r="H551" i="9"/>
  <c r="D551" i="9"/>
  <c r="H550" i="9"/>
  <c r="D550" i="9"/>
  <c r="H549" i="9"/>
  <c r="D549" i="9"/>
  <c r="H548" i="9"/>
  <c r="D548" i="9"/>
  <c r="H547" i="9"/>
  <c r="D547" i="9"/>
  <c r="H546" i="9"/>
  <c r="D546" i="9"/>
  <c r="H545" i="9"/>
  <c r="D545" i="9"/>
  <c r="H544" i="9"/>
  <c r="D544" i="9"/>
  <c r="H543" i="9"/>
  <c r="D543" i="9"/>
  <c r="H542" i="9"/>
  <c r="D542" i="9"/>
  <c r="H541" i="9"/>
  <c r="D541" i="9"/>
  <c r="H540" i="9"/>
  <c r="D540" i="9"/>
  <c r="H539" i="9"/>
  <c r="D539" i="9"/>
  <c r="H538" i="9"/>
  <c r="D538" i="9"/>
  <c r="H537" i="9"/>
  <c r="D537" i="9"/>
  <c r="H536" i="9"/>
  <c r="D536" i="9"/>
  <c r="H535" i="9"/>
  <c r="D535" i="9"/>
  <c r="H534" i="9"/>
  <c r="D534" i="9"/>
  <c r="H533" i="9"/>
  <c r="D533" i="9"/>
  <c r="H532" i="9"/>
  <c r="D532" i="9"/>
  <c r="H531" i="9"/>
  <c r="D531" i="9"/>
  <c r="H530" i="9"/>
  <c r="D530" i="9"/>
  <c r="H529" i="9"/>
  <c r="D529" i="9"/>
  <c r="H528" i="9"/>
  <c r="D528" i="9"/>
  <c r="H527" i="9"/>
  <c r="D527" i="9"/>
  <c r="H526" i="9"/>
  <c r="D526" i="9"/>
  <c r="H525" i="9"/>
  <c r="D525" i="9"/>
  <c r="H524" i="9"/>
  <c r="D524" i="9"/>
  <c r="H523" i="9"/>
  <c r="D523" i="9"/>
  <c r="H522" i="9"/>
  <c r="D522" i="9"/>
  <c r="H521" i="9"/>
  <c r="D521" i="9"/>
  <c r="H520" i="9"/>
  <c r="D520" i="9"/>
  <c r="H519" i="9"/>
  <c r="D519" i="9"/>
  <c r="H518" i="9"/>
  <c r="D518" i="9"/>
  <c r="H517" i="9"/>
  <c r="D517" i="9"/>
  <c r="H516" i="9"/>
  <c r="D516" i="9"/>
  <c r="H515" i="9"/>
  <c r="D515" i="9"/>
  <c r="H514" i="9"/>
  <c r="D514" i="9"/>
  <c r="H513" i="9"/>
  <c r="D513" i="9"/>
  <c r="H512" i="9"/>
  <c r="D512" i="9"/>
  <c r="H511" i="9"/>
  <c r="D511" i="9"/>
  <c r="H510" i="9"/>
  <c r="D510" i="9"/>
  <c r="H509" i="9"/>
  <c r="D509" i="9"/>
  <c r="H508" i="9"/>
  <c r="D508" i="9"/>
  <c r="H507" i="9"/>
  <c r="D507" i="9"/>
  <c r="H506" i="9"/>
  <c r="D506" i="9"/>
  <c r="H505" i="9"/>
  <c r="D505" i="9"/>
  <c r="H504" i="9"/>
  <c r="D504" i="9"/>
  <c r="H503" i="9"/>
  <c r="D503" i="9"/>
  <c r="H502" i="9"/>
  <c r="D502" i="9"/>
  <c r="H501" i="9"/>
  <c r="D501" i="9"/>
  <c r="H500" i="9"/>
  <c r="D500" i="9"/>
  <c r="H499" i="9"/>
  <c r="D499" i="9"/>
  <c r="H498" i="9"/>
  <c r="D498" i="9"/>
  <c r="H497" i="9"/>
  <c r="D497" i="9"/>
  <c r="H496" i="9"/>
  <c r="D496" i="9"/>
  <c r="H495" i="9"/>
  <c r="D495" i="9"/>
  <c r="H494" i="9"/>
  <c r="D494" i="9"/>
  <c r="H493" i="9"/>
  <c r="D493" i="9"/>
  <c r="H492" i="9"/>
  <c r="D492" i="9"/>
  <c r="H491" i="9"/>
  <c r="D491" i="9"/>
  <c r="H490" i="9"/>
  <c r="D490" i="9"/>
  <c r="H489" i="9"/>
  <c r="D489" i="9"/>
  <c r="H488" i="9"/>
  <c r="D488" i="9"/>
  <c r="H487" i="9"/>
  <c r="D487" i="9"/>
  <c r="H486" i="9"/>
  <c r="D486" i="9"/>
  <c r="H485" i="9"/>
  <c r="D485" i="9"/>
  <c r="H484" i="9"/>
  <c r="D484" i="9"/>
  <c r="H483" i="9"/>
  <c r="D483" i="9"/>
  <c r="H482" i="9"/>
  <c r="D482" i="9"/>
  <c r="H481" i="9"/>
  <c r="D481" i="9"/>
  <c r="H480" i="9"/>
  <c r="D480" i="9"/>
  <c r="H479" i="9"/>
  <c r="D479" i="9"/>
  <c r="H478" i="9"/>
  <c r="D478" i="9"/>
  <c r="H477" i="9"/>
  <c r="D477" i="9"/>
  <c r="H476" i="9"/>
  <c r="D476" i="9"/>
  <c r="H475" i="9"/>
  <c r="D475" i="9"/>
  <c r="H474" i="9"/>
  <c r="D474" i="9"/>
  <c r="H473" i="9"/>
  <c r="D473" i="9"/>
  <c r="H472" i="9"/>
  <c r="D472" i="9"/>
  <c r="H471" i="9"/>
  <c r="D471" i="9"/>
  <c r="H470" i="9"/>
  <c r="D470" i="9"/>
  <c r="H469" i="9"/>
  <c r="D469" i="9"/>
  <c r="H468" i="9"/>
  <c r="D468" i="9"/>
  <c r="H467" i="9"/>
  <c r="D467" i="9"/>
  <c r="H466" i="9"/>
  <c r="D466" i="9"/>
  <c r="H465" i="9"/>
  <c r="D465" i="9"/>
  <c r="H464" i="9"/>
  <c r="D464" i="9"/>
  <c r="H463" i="9"/>
  <c r="D463" i="9"/>
  <c r="H462" i="9"/>
  <c r="D462" i="9"/>
  <c r="H461" i="9"/>
  <c r="D461" i="9"/>
  <c r="H460" i="9"/>
  <c r="D460" i="9"/>
  <c r="H459" i="9"/>
  <c r="D459" i="9"/>
  <c r="H458" i="9"/>
  <c r="D458" i="9"/>
  <c r="H457" i="9"/>
  <c r="D457" i="9"/>
  <c r="H456" i="9"/>
  <c r="D456" i="9"/>
  <c r="H455" i="9"/>
  <c r="D455" i="9"/>
  <c r="H454" i="9"/>
  <c r="D454" i="9"/>
  <c r="H453" i="9"/>
  <c r="D453" i="9"/>
  <c r="H452" i="9"/>
  <c r="D452" i="9"/>
  <c r="H451" i="9"/>
  <c r="D451" i="9"/>
  <c r="H450" i="9"/>
  <c r="D450" i="9"/>
  <c r="H449" i="9"/>
  <c r="D449" i="9"/>
  <c r="H448" i="9"/>
  <c r="D448" i="9"/>
  <c r="H447" i="9"/>
  <c r="D447" i="9"/>
  <c r="H446" i="9"/>
  <c r="D446" i="9"/>
  <c r="H445" i="9"/>
  <c r="D445" i="9"/>
  <c r="H444" i="9"/>
  <c r="D444" i="9"/>
  <c r="H443" i="9"/>
  <c r="D443" i="9"/>
  <c r="H442" i="9"/>
  <c r="D442" i="9"/>
  <c r="H441" i="9"/>
  <c r="D441" i="9"/>
  <c r="H440" i="9"/>
  <c r="D440" i="9"/>
  <c r="H439" i="9"/>
  <c r="D439" i="9"/>
  <c r="H438" i="9"/>
  <c r="D438" i="9"/>
  <c r="H437" i="9"/>
  <c r="D437" i="9"/>
  <c r="H436" i="9"/>
  <c r="D436" i="9"/>
  <c r="H435" i="9"/>
  <c r="D435" i="9"/>
  <c r="H434" i="9"/>
  <c r="D434" i="9"/>
  <c r="H433" i="9"/>
  <c r="D433" i="9"/>
  <c r="H432" i="9"/>
  <c r="D432" i="9"/>
  <c r="H431" i="9"/>
  <c r="D431" i="9"/>
  <c r="H430" i="9"/>
  <c r="D430" i="9"/>
  <c r="H429" i="9"/>
  <c r="D429" i="9"/>
  <c r="H428" i="9"/>
  <c r="D428" i="9"/>
  <c r="H427" i="9"/>
  <c r="D427" i="9"/>
  <c r="H426" i="9"/>
  <c r="D426" i="9"/>
  <c r="H425" i="9"/>
  <c r="D425" i="9"/>
  <c r="H424" i="9"/>
  <c r="D424" i="9"/>
  <c r="H423" i="9"/>
  <c r="D423" i="9"/>
  <c r="H422" i="9"/>
  <c r="D422" i="9"/>
  <c r="H421" i="9"/>
  <c r="D421" i="9"/>
  <c r="H420" i="9"/>
  <c r="D420" i="9"/>
  <c r="H419" i="9"/>
  <c r="D419" i="9"/>
  <c r="H418" i="9"/>
  <c r="D418" i="9"/>
  <c r="H417" i="9"/>
  <c r="D417" i="9"/>
  <c r="H416" i="9"/>
  <c r="D416" i="9"/>
  <c r="H415" i="9"/>
  <c r="D415" i="9"/>
  <c r="H414" i="9"/>
  <c r="D414" i="9"/>
  <c r="H413" i="9"/>
  <c r="D413" i="9"/>
  <c r="H412" i="9"/>
  <c r="D412" i="9"/>
  <c r="H411" i="9"/>
  <c r="D411" i="9"/>
  <c r="H410" i="9"/>
  <c r="D410" i="9"/>
  <c r="H409" i="9"/>
  <c r="D409" i="9"/>
  <c r="H408" i="9"/>
  <c r="D408" i="9"/>
  <c r="H407" i="9"/>
  <c r="D407" i="9"/>
  <c r="H406" i="9"/>
  <c r="D406" i="9"/>
  <c r="H405" i="9"/>
  <c r="D405" i="9"/>
  <c r="H404" i="9"/>
  <c r="D404" i="9"/>
  <c r="H403" i="9"/>
  <c r="D403" i="9"/>
  <c r="H402" i="9"/>
  <c r="D402" i="9"/>
  <c r="H401" i="9"/>
  <c r="D401" i="9"/>
  <c r="H400" i="9"/>
  <c r="D400" i="9"/>
  <c r="H399" i="9"/>
  <c r="D399" i="9"/>
  <c r="H398" i="9"/>
  <c r="D398" i="9"/>
  <c r="H397" i="9"/>
  <c r="D397" i="9"/>
  <c r="H396" i="9"/>
  <c r="D396" i="9"/>
  <c r="H395" i="9"/>
  <c r="D395" i="9"/>
  <c r="H394" i="9"/>
  <c r="D394" i="9"/>
  <c r="H393" i="9"/>
  <c r="D393" i="9"/>
  <c r="H392" i="9"/>
  <c r="D392" i="9"/>
  <c r="H391" i="9"/>
  <c r="D391" i="9"/>
  <c r="H390" i="9"/>
  <c r="D390" i="9"/>
  <c r="H389" i="9"/>
  <c r="D389" i="9"/>
  <c r="H388" i="9"/>
  <c r="D388" i="9"/>
  <c r="H387" i="9"/>
  <c r="D387" i="9"/>
  <c r="H386" i="9"/>
  <c r="D386" i="9"/>
  <c r="H385" i="9"/>
  <c r="D385" i="9"/>
  <c r="H384" i="9"/>
  <c r="D384" i="9"/>
  <c r="H383" i="9"/>
  <c r="D383" i="9"/>
  <c r="H382" i="9"/>
  <c r="D382" i="9"/>
  <c r="H381" i="9"/>
  <c r="D381" i="9"/>
  <c r="H380" i="9"/>
  <c r="D380" i="9"/>
  <c r="H379" i="9"/>
  <c r="D379" i="9"/>
  <c r="H378" i="9"/>
  <c r="D378" i="9"/>
  <c r="H377" i="9"/>
  <c r="D377" i="9"/>
  <c r="H376" i="9"/>
  <c r="D376" i="9"/>
  <c r="H375" i="9"/>
  <c r="D375" i="9"/>
  <c r="H374" i="9"/>
  <c r="D374" i="9"/>
  <c r="H373" i="9"/>
  <c r="D373" i="9"/>
  <c r="H372" i="9"/>
  <c r="D372" i="9"/>
  <c r="H371" i="9"/>
  <c r="D371" i="9"/>
  <c r="H370" i="9"/>
  <c r="D370" i="9"/>
  <c r="H369" i="9"/>
  <c r="D369" i="9"/>
  <c r="H368" i="9"/>
  <c r="D368" i="9"/>
  <c r="H367" i="9"/>
  <c r="D367" i="9"/>
  <c r="H366" i="9"/>
  <c r="D366" i="9"/>
  <c r="H365" i="9"/>
  <c r="D365" i="9"/>
  <c r="H364" i="9"/>
  <c r="D364" i="9"/>
  <c r="H363" i="9"/>
  <c r="D363" i="9"/>
  <c r="H362" i="9"/>
  <c r="D362" i="9"/>
  <c r="H361" i="9"/>
  <c r="D361" i="9"/>
  <c r="H360" i="9"/>
  <c r="D360" i="9"/>
  <c r="H359" i="9"/>
  <c r="D359" i="9"/>
  <c r="H358" i="9"/>
  <c r="D358" i="9"/>
  <c r="H357" i="9"/>
  <c r="D357" i="9"/>
  <c r="T356" i="9"/>
  <c r="Q356" i="9"/>
  <c r="H356" i="9"/>
  <c r="D356" i="9"/>
  <c r="T355" i="9"/>
  <c r="Q355" i="9"/>
  <c r="H355" i="9"/>
  <c r="D355" i="9"/>
  <c r="T354" i="9"/>
  <c r="Q354" i="9"/>
  <c r="H354" i="9"/>
  <c r="D354" i="9"/>
  <c r="T353" i="9"/>
  <c r="Q353" i="9"/>
  <c r="H353" i="9"/>
  <c r="D353" i="9"/>
  <c r="T352" i="9"/>
  <c r="Q352" i="9"/>
  <c r="H352" i="9"/>
  <c r="D352" i="9"/>
  <c r="T351" i="9"/>
  <c r="Q351" i="9"/>
  <c r="H351" i="9"/>
  <c r="D351" i="9"/>
  <c r="T350" i="9"/>
  <c r="Q350" i="9"/>
  <c r="H350" i="9"/>
  <c r="D350" i="9"/>
  <c r="T349" i="9"/>
  <c r="Q349" i="9"/>
  <c r="H349" i="9"/>
  <c r="D349" i="9"/>
  <c r="T348" i="9"/>
  <c r="Q348" i="9"/>
  <c r="H348" i="9"/>
  <c r="D348" i="9"/>
  <c r="T347" i="9"/>
  <c r="Q347" i="9"/>
  <c r="H347" i="9"/>
  <c r="D347" i="9"/>
  <c r="T346" i="9"/>
  <c r="Q346" i="9"/>
  <c r="H346" i="9"/>
  <c r="D346" i="9"/>
  <c r="T345" i="9"/>
  <c r="Q345" i="9"/>
  <c r="H345" i="9"/>
  <c r="D345" i="9"/>
  <c r="T344" i="9"/>
  <c r="Q344" i="9"/>
  <c r="H344" i="9"/>
  <c r="D344" i="9"/>
  <c r="T343" i="9"/>
  <c r="Q343" i="9"/>
  <c r="H343" i="9"/>
  <c r="D343" i="9"/>
  <c r="T342" i="9"/>
  <c r="Q342" i="9"/>
  <c r="H342" i="9"/>
  <c r="D342" i="9"/>
  <c r="T341" i="9"/>
  <c r="Q341" i="9"/>
  <c r="H341" i="9"/>
  <c r="D341" i="9"/>
  <c r="T340" i="9"/>
  <c r="Q340" i="9"/>
  <c r="H340" i="9"/>
  <c r="D340" i="9"/>
  <c r="T339" i="9"/>
  <c r="Q339" i="9"/>
  <c r="H339" i="9"/>
  <c r="D339" i="9"/>
  <c r="T338" i="9"/>
  <c r="Q338" i="9"/>
  <c r="H338" i="9"/>
  <c r="D338" i="9"/>
  <c r="T337" i="9"/>
  <c r="Q337" i="9"/>
  <c r="H337" i="9"/>
  <c r="D337" i="9"/>
  <c r="T336" i="9"/>
  <c r="Q336" i="9"/>
  <c r="H336" i="9"/>
  <c r="D336" i="9"/>
  <c r="T335" i="9"/>
  <c r="Q335" i="9"/>
  <c r="H335" i="9"/>
  <c r="D335" i="9"/>
  <c r="T334" i="9"/>
  <c r="Q334" i="9"/>
  <c r="H334" i="9"/>
  <c r="D334" i="9"/>
  <c r="T333" i="9"/>
  <c r="Q333" i="9"/>
  <c r="H333" i="9"/>
  <c r="D333" i="9"/>
  <c r="T332" i="9"/>
  <c r="Q332" i="9"/>
  <c r="H332" i="9"/>
  <c r="D332" i="9"/>
  <c r="T331" i="9"/>
  <c r="Q331" i="9"/>
  <c r="H331" i="9"/>
  <c r="D331" i="9"/>
  <c r="T330" i="9"/>
  <c r="Q330" i="9"/>
  <c r="H330" i="9"/>
  <c r="D330" i="9"/>
  <c r="T329" i="9"/>
  <c r="Q329" i="9"/>
  <c r="H329" i="9"/>
  <c r="D329" i="9"/>
  <c r="T328" i="9"/>
  <c r="Q328" i="9"/>
  <c r="H328" i="9"/>
  <c r="D328" i="9"/>
  <c r="T327" i="9"/>
  <c r="Q327" i="9"/>
  <c r="H327" i="9"/>
  <c r="D327" i="9"/>
  <c r="T326" i="9"/>
  <c r="Q326" i="9"/>
  <c r="H326" i="9"/>
  <c r="D326" i="9"/>
  <c r="T325" i="9"/>
  <c r="Q325" i="9"/>
  <c r="H325" i="9"/>
  <c r="D325" i="9"/>
  <c r="T324" i="9"/>
  <c r="Q324" i="9"/>
  <c r="H324" i="9"/>
  <c r="D324" i="9"/>
  <c r="T323" i="9"/>
  <c r="Q323" i="9"/>
  <c r="H323" i="9"/>
  <c r="D323" i="9"/>
  <c r="T322" i="9"/>
  <c r="Q322" i="9"/>
  <c r="H322" i="9"/>
  <c r="D322" i="9"/>
  <c r="T321" i="9"/>
  <c r="Q321" i="9"/>
  <c r="H321" i="9"/>
  <c r="D321" i="9"/>
  <c r="T320" i="9"/>
  <c r="Q320" i="9"/>
  <c r="H320" i="9"/>
  <c r="D320" i="9"/>
  <c r="T319" i="9"/>
  <c r="Q319" i="9"/>
  <c r="H319" i="9"/>
  <c r="D319" i="9"/>
  <c r="T318" i="9"/>
  <c r="Q318" i="9"/>
  <c r="H318" i="9"/>
  <c r="D318" i="9"/>
  <c r="T317" i="9"/>
  <c r="Q317" i="9"/>
  <c r="H317" i="9"/>
  <c r="D317" i="9"/>
  <c r="T316" i="9"/>
  <c r="Q316" i="9"/>
  <c r="H316" i="9"/>
  <c r="D316" i="9"/>
  <c r="T315" i="9"/>
  <c r="Q315" i="9"/>
  <c r="H315" i="9"/>
  <c r="D315" i="9"/>
  <c r="T314" i="9"/>
  <c r="Q314" i="9"/>
  <c r="H314" i="9"/>
  <c r="D314" i="9"/>
  <c r="T313" i="9"/>
  <c r="Q313" i="9"/>
  <c r="H313" i="9"/>
  <c r="D313" i="9"/>
  <c r="T312" i="9"/>
  <c r="Q312" i="9"/>
  <c r="H312" i="9"/>
  <c r="D312" i="9"/>
  <c r="T311" i="9"/>
  <c r="Q311" i="9"/>
  <c r="H311" i="9"/>
  <c r="D311" i="9"/>
  <c r="T310" i="9"/>
  <c r="Q310" i="9"/>
  <c r="H310" i="9"/>
  <c r="D310" i="9"/>
  <c r="T309" i="9"/>
  <c r="Q309" i="9"/>
  <c r="H309" i="9"/>
  <c r="D309" i="9"/>
  <c r="T308" i="9"/>
  <c r="Q308" i="9"/>
  <c r="H308" i="9"/>
  <c r="D308" i="9"/>
  <c r="T307" i="9"/>
  <c r="Q307" i="9"/>
  <c r="H307" i="9"/>
  <c r="D307" i="9"/>
  <c r="T306" i="9"/>
  <c r="Q306" i="9"/>
  <c r="H306" i="9"/>
  <c r="D306" i="9"/>
  <c r="T305" i="9"/>
  <c r="Q305" i="9"/>
  <c r="H305" i="9"/>
  <c r="D305" i="9"/>
  <c r="T304" i="9"/>
  <c r="Q304" i="9"/>
  <c r="H304" i="9"/>
  <c r="D304" i="9"/>
  <c r="T303" i="9"/>
  <c r="Q303" i="9"/>
  <c r="H303" i="9"/>
  <c r="D303" i="9"/>
  <c r="T302" i="9"/>
  <c r="Q302" i="9"/>
  <c r="H302" i="9"/>
  <c r="D302" i="9"/>
  <c r="T301" i="9"/>
  <c r="Q301" i="9"/>
  <c r="H301" i="9"/>
  <c r="D301" i="9"/>
  <c r="T300" i="9"/>
  <c r="Q300" i="9"/>
  <c r="H300" i="9"/>
  <c r="D300" i="9"/>
  <c r="T299" i="9"/>
  <c r="Q299" i="9"/>
  <c r="H299" i="9"/>
  <c r="D299" i="9"/>
  <c r="T298" i="9"/>
  <c r="Q298" i="9"/>
  <c r="H298" i="9"/>
  <c r="D298" i="9"/>
  <c r="T297" i="9"/>
  <c r="Q297" i="9"/>
  <c r="H297" i="9"/>
  <c r="D297" i="9"/>
  <c r="T296" i="9"/>
  <c r="Q296" i="9"/>
  <c r="H296" i="9"/>
  <c r="D296" i="9"/>
  <c r="T295" i="9"/>
  <c r="Q295" i="9"/>
  <c r="H295" i="9"/>
  <c r="D295" i="9"/>
  <c r="T294" i="9"/>
  <c r="Q294" i="9"/>
  <c r="H294" i="9"/>
  <c r="D294" i="9"/>
  <c r="T293" i="9"/>
  <c r="Q293" i="9"/>
  <c r="H293" i="9"/>
  <c r="D293" i="9"/>
  <c r="T292" i="9"/>
  <c r="Q292" i="9"/>
  <c r="H292" i="9"/>
  <c r="D292" i="9"/>
  <c r="T291" i="9"/>
  <c r="Q291" i="9"/>
  <c r="H291" i="9"/>
  <c r="D291" i="9"/>
  <c r="T290" i="9"/>
  <c r="Q290" i="9"/>
  <c r="H290" i="9"/>
  <c r="D290" i="9"/>
  <c r="T289" i="9"/>
  <c r="Q289" i="9"/>
  <c r="H289" i="9"/>
  <c r="D289" i="9"/>
  <c r="T288" i="9"/>
  <c r="Q288" i="9"/>
  <c r="H288" i="9"/>
  <c r="D288" i="9"/>
  <c r="T287" i="9"/>
  <c r="Q287" i="9"/>
  <c r="H287" i="9"/>
  <c r="D287" i="9"/>
  <c r="T286" i="9"/>
  <c r="Q286" i="9"/>
  <c r="H286" i="9"/>
  <c r="D286" i="9"/>
  <c r="T285" i="9"/>
  <c r="Q285" i="9"/>
  <c r="H285" i="9"/>
  <c r="D285" i="9"/>
  <c r="T284" i="9"/>
  <c r="Q284" i="9"/>
  <c r="H284" i="9"/>
  <c r="D284" i="9"/>
  <c r="T283" i="9"/>
  <c r="Q283" i="9"/>
  <c r="H283" i="9"/>
  <c r="D283" i="9"/>
  <c r="T282" i="9"/>
  <c r="Q282" i="9"/>
  <c r="H282" i="9"/>
  <c r="D282" i="9"/>
  <c r="T281" i="9"/>
  <c r="Q281" i="9"/>
  <c r="H281" i="9"/>
  <c r="D281" i="9"/>
  <c r="T280" i="9"/>
  <c r="Q280" i="9"/>
  <c r="H280" i="9"/>
  <c r="D280" i="9"/>
  <c r="T279" i="9"/>
  <c r="Q279" i="9"/>
  <c r="H279" i="9"/>
  <c r="D279" i="9"/>
  <c r="T278" i="9"/>
  <c r="Q278" i="9"/>
  <c r="H278" i="9"/>
  <c r="D278" i="9"/>
  <c r="T277" i="9"/>
  <c r="Q277" i="9"/>
  <c r="H277" i="9"/>
  <c r="D277" i="9"/>
  <c r="T276" i="9"/>
  <c r="Q276" i="9"/>
  <c r="H276" i="9"/>
  <c r="D276" i="9"/>
  <c r="T275" i="9"/>
  <c r="Q275" i="9"/>
  <c r="H275" i="9"/>
  <c r="D275" i="9"/>
  <c r="T274" i="9"/>
  <c r="Q274" i="9"/>
  <c r="H274" i="9"/>
  <c r="D274" i="9"/>
  <c r="T273" i="9"/>
  <c r="Q273" i="9"/>
  <c r="H273" i="9"/>
  <c r="D273" i="9"/>
  <c r="T272" i="9"/>
  <c r="Q272" i="9"/>
  <c r="H272" i="9"/>
  <c r="D272" i="9"/>
  <c r="T271" i="9"/>
  <c r="Q271" i="9"/>
  <c r="H271" i="9"/>
  <c r="D271" i="9"/>
  <c r="T270" i="9"/>
  <c r="Q270" i="9"/>
  <c r="H270" i="9"/>
  <c r="D270" i="9"/>
  <c r="T269" i="9"/>
  <c r="Q269" i="9"/>
  <c r="H269" i="9"/>
  <c r="D269" i="9"/>
  <c r="T268" i="9"/>
  <c r="Q268" i="9"/>
  <c r="H268" i="9"/>
  <c r="D268" i="9"/>
  <c r="T267" i="9"/>
  <c r="Q267" i="9"/>
  <c r="H267" i="9"/>
  <c r="D267" i="9"/>
  <c r="T266" i="9"/>
  <c r="Q266" i="9"/>
  <c r="H266" i="9"/>
  <c r="D266" i="9"/>
  <c r="T265" i="9"/>
  <c r="Q265" i="9"/>
  <c r="H265" i="9"/>
  <c r="D265" i="9"/>
  <c r="T264" i="9"/>
  <c r="Q264" i="9"/>
  <c r="H264" i="9"/>
  <c r="D264" i="9"/>
  <c r="T263" i="9"/>
  <c r="Q263" i="9"/>
  <c r="H263" i="9"/>
  <c r="D263" i="9"/>
  <c r="T262" i="9"/>
  <c r="Q262" i="9"/>
  <c r="H262" i="9"/>
  <c r="D262" i="9"/>
  <c r="T261" i="9"/>
  <c r="Q261" i="9"/>
  <c r="H261" i="9"/>
  <c r="D261" i="9"/>
  <c r="T260" i="9"/>
  <c r="Q260" i="9"/>
  <c r="H260" i="9"/>
  <c r="D260" i="9"/>
  <c r="T259" i="9"/>
  <c r="Q259" i="9"/>
  <c r="H259" i="9"/>
  <c r="D259" i="9"/>
  <c r="T258" i="9"/>
  <c r="Q258" i="9"/>
  <c r="H258" i="9"/>
  <c r="D258" i="9"/>
  <c r="T257" i="9"/>
  <c r="Q257" i="9"/>
  <c r="H257" i="9"/>
  <c r="D257" i="9"/>
  <c r="T256" i="9"/>
  <c r="Q256" i="9"/>
  <c r="H256" i="9"/>
  <c r="D256" i="9"/>
  <c r="T255" i="9"/>
  <c r="Q255" i="9"/>
  <c r="H255" i="9"/>
  <c r="D255" i="9"/>
  <c r="T254" i="9"/>
  <c r="Q254" i="9"/>
  <c r="H254" i="9"/>
  <c r="D254" i="9"/>
  <c r="T253" i="9"/>
  <c r="Q253" i="9"/>
  <c r="H253" i="9"/>
  <c r="D253" i="9"/>
  <c r="T252" i="9"/>
  <c r="Q252" i="9"/>
  <c r="H252" i="9"/>
  <c r="D252" i="9"/>
  <c r="T251" i="9"/>
  <c r="Q251" i="9"/>
  <c r="H251" i="9"/>
  <c r="D251" i="9"/>
  <c r="T250" i="9"/>
  <c r="Q250" i="9"/>
  <c r="H250" i="9"/>
  <c r="D250" i="9"/>
  <c r="T249" i="9"/>
  <c r="Q249" i="9"/>
  <c r="H249" i="9"/>
  <c r="D249" i="9"/>
  <c r="T248" i="9"/>
  <c r="Q248" i="9"/>
  <c r="H248" i="9"/>
  <c r="D248" i="9"/>
  <c r="T247" i="9"/>
  <c r="Q247" i="9"/>
  <c r="H247" i="9"/>
  <c r="D247" i="9"/>
  <c r="T246" i="9"/>
  <c r="Q246" i="9"/>
  <c r="H246" i="9"/>
  <c r="D246" i="9"/>
  <c r="T245" i="9"/>
  <c r="Q245" i="9"/>
  <c r="H245" i="9"/>
  <c r="D245" i="9"/>
  <c r="T244" i="9"/>
  <c r="Q244" i="9"/>
  <c r="H244" i="9"/>
  <c r="D244" i="9"/>
  <c r="T243" i="9"/>
  <c r="Q243" i="9"/>
  <c r="H243" i="9"/>
  <c r="D243" i="9"/>
  <c r="T242" i="9"/>
  <c r="Q242" i="9"/>
  <c r="H242" i="9"/>
  <c r="D242" i="9"/>
  <c r="T241" i="9"/>
  <c r="Q241" i="9"/>
  <c r="H241" i="9"/>
  <c r="D241" i="9"/>
  <c r="T240" i="9"/>
  <c r="Q240" i="9"/>
  <c r="H240" i="9"/>
  <c r="D240" i="9"/>
  <c r="T239" i="9"/>
  <c r="Q239" i="9"/>
  <c r="H239" i="9"/>
  <c r="D239" i="9"/>
  <c r="T238" i="9"/>
  <c r="Q238" i="9"/>
  <c r="H238" i="9"/>
  <c r="D238" i="9"/>
  <c r="T237" i="9"/>
  <c r="Q237" i="9"/>
  <c r="H237" i="9"/>
  <c r="D237" i="9"/>
  <c r="T236" i="9"/>
  <c r="Q236" i="9"/>
  <c r="H236" i="9"/>
  <c r="D236" i="9"/>
  <c r="T235" i="9"/>
  <c r="Q235" i="9"/>
  <c r="H235" i="9"/>
  <c r="D235" i="9"/>
  <c r="T234" i="9"/>
  <c r="Q234" i="9"/>
  <c r="H234" i="9"/>
  <c r="D234" i="9"/>
  <c r="T233" i="9"/>
  <c r="Q233" i="9"/>
  <c r="H233" i="9"/>
  <c r="D233" i="9"/>
  <c r="T232" i="9"/>
  <c r="Q232" i="9"/>
  <c r="H232" i="9"/>
  <c r="D232" i="9"/>
  <c r="T231" i="9"/>
  <c r="Q231" i="9"/>
  <c r="H231" i="9"/>
  <c r="D231" i="9"/>
  <c r="T230" i="9"/>
  <c r="Q230" i="9"/>
  <c r="H230" i="9"/>
  <c r="D230" i="9"/>
  <c r="T229" i="9"/>
  <c r="Q229" i="9"/>
  <c r="H229" i="9"/>
  <c r="D229" i="9"/>
  <c r="T228" i="9"/>
  <c r="Q228" i="9"/>
  <c r="H228" i="9"/>
  <c r="D228" i="9"/>
  <c r="T227" i="9"/>
  <c r="Q227" i="9"/>
  <c r="H227" i="9"/>
  <c r="D227" i="9"/>
  <c r="T226" i="9"/>
  <c r="Q226" i="9"/>
  <c r="H226" i="9"/>
  <c r="D226" i="9"/>
  <c r="T225" i="9"/>
  <c r="Q225" i="9"/>
  <c r="H225" i="9"/>
  <c r="D225" i="9"/>
  <c r="T224" i="9"/>
  <c r="Q224" i="9"/>
  <c r="H224" i="9"/>
  <c r="D224" i="9"/>
  <c r="T223" i="9"/>
  <c r="Q223" i="9"/>
  <c r="H223" i="9"/>
  <c r="D223" i="9"/>
  <c r="T222" i="9"/>
  <c r="Q222" i="9"/>
  <c r="H222" i="9"/>
  <c r="D222" i="9"/>
  <c r="T221" i="9"/>
  <c r="Q221" i="9"/>
  <c r="H221" i="9"/>
  <c r="D221" i="9"/>
  <c r="T220" i="9"/>
  <c r="Q220" i="9"/>
  <c r="H220" i="9"/>
  <c r="D220" i="9"/>
  <c r="T219" i="9"/>
  <c r="Q219" i="9"/>
  <c r="H219" i="9"/>
  <c r="D219" i="9"/>
  <c r="T218" i="9"/>
  <c r="Q218" i="9"/>
  <c r="H218" i="9"/>
  <c r="D218" i="9"/>
  <c r="T217" i="9"/>
  <c r="Q217" i="9"/>
  <c r="H217" i="9"/>
  <c r="D217" i="9"/>
  <c r="T216" i="9"/>
  <c r="Q216" i="9"/>
  <c r="H216" i="9"/>
  <c r="D216" i="9"/>
  <c r="T215" i="9"/>
  <c r="Q215" i="9"/>
  <c r="H215" i="9"/>
  <c r="D215" i="9"/>
  <c r="T214" i="9"/>
  <c r="Q214" i="9"/>
  <c r="H214" i="9"/>
  <c r="D214" i="9"/>
  <c r="T213" i="9"/>
  <c r="Q213" i="9"/>
  <c r="H213" i="9"/>
  <c r="D213" i="9"/>
  <c r="T212" i="9"/>
  <c r="Q212" i="9"/>
  <c r="H212" i="9"/>
  <c r="D212" i="9"/>
  <c r="T211" i="9"/>
  <c r="Q211" i="9"/>
  <c r="H211" i="9"/>
  <c r="D211" i="9"/>
  <c r="T210" i="9"/>
  <c r="Q210" i="9"/>
  <c r="H210" i="9"/>
  <c r="D210" i="9"/>
  <c r="T209" i="9"/>
  <c r="Q209" i="9"/>
  <c r="H209" i="9"/>
  <c r="D209" i="9"/>
  <c r="T208" i="9"/>
  <c r="Q208" i="9"/>
  <c r="H208" i="9"/>
  <c r="D208" i="9"/>
  <c r="T207" i="9"/>
  <c r="Q207" i="9"/>
  <c r="H207" i="9"/>
  <c r="D207" i="9"/>
  <c r="T206" i="9"/>
  <c r="Q206" i="9"/>
  <c r="H206" i="9"/>
  <c r="D206" i="9"/>
  <c r="T205" i="9"/>
  <c r="Q205" i="9"/>
  <c r="H205" i="9"/>
  <c r="D205" i="9"/>
  <c r="T204" i="9"/>
  <c r="Q204" i="9"/>
  <c r="H204" i="9"/>
  <c r="D204" i="9"/>
  <c r="T203" i="9"/>
  <c r="Q203" i="9"/>
  <c r="H203" i="9"/>
  <c r="D203" i="9"/>
  <c r="T202" i="9"/>
  <c r="Q202" i="9"/>
  <c r="H202" i="9"/>
  <c r="D202" i="9"/>
  <c r="T201" i="9"/>
  <c r="Q201" i="9"/>
  <c r="H201" i="9"/>
  <c r="D201" i="9"/>
  <c r="T200" i="9"/>
  <c r="Q200" i="9"/>
  <c r="H200" i="9"/>
  <c r="D200" i="9"/>
  <c r="T199" i="9"/>
  <c r="Q199" i="9"/>
  <c r="H199" i="9"/>
  <c r="D199" i="9"/>
  <c r="T198" i="9"/>
  <c r="Q198" i="9"/>
  <c r="H198" i="9"/>
  <c r="D198" i="9"/>
  <c r="T197" i="9"/>
  <c r="Q197" i="9"/>
  <c r="H197" i="9"/>
  <c r="D197" i="9"/>
  <c r="T196" i="9"/>
  <c r="Q196" i="9"/>
  <c r="H196" i="9"/>
  <c r="D196" i="9"/>
  <c r="T195" i="9"/>
  <c r="Q195" i="9"/>
  <c r="H195" i="9"/>
  <c r="D195" i="9"/>
  <c r="T194" i="9"/>
  <c r="Q194" i="9"/>
  <c r="H194" i="9"/>
  <c r="D194" i="9"/>
  <c r="T193" i="9"/>
  <c r="Q193" i="9"/>
  <c r="H193" i="9"/>
  <c r="D193" i="9"/>
  <c r="T192" i="9"/>
  <c r="Q192" i="9"/>
  <c r="H192" i="9"/>
  <c r="D192" i="9"/>
  <c r="T191" i="9"/>
  <c r="Q191" i="9"/>
  <c r="H191" i="9"/>
  <c r="D191" i="9"/>
  <c r="T190" i="9"/>
  <c r="Q190" i="9"/>
  <c r="H190" i="9"/>
  <c r="D190" i="9"/>
  <c r="T189" i="9"/>
  <c r="Q189" i="9"/>
  <c r="H189" i="9"/>
  <c r="D189" i="9"/>
  <c r="T188" i="9"/>
  <c r="Q188" i="9"/>
  <c r="H188" i="9"/>
  <c r="D188" i="9"/>
  <c r="T187" i="9"/>
  <c r="Q187" i="9"/>
  <c r="H187" i="9"/>
  <c r="D187" i="9"/>
  <c r="T186" i="9"/>
  <c r="Q186" i="9"/>
  <c r="H186" i="9"/>
  <c r="D186" i="9"/>
  <c r="T185" i="9"/>
  <c r="Q185" i="9"/>
  <c r="H185" i="9"/>
  <c r="D185" i="9"/>
  <c r="T184" i="9"/>
  <c r="Q184" i="9"/>
  <c r="H184" i="9"/>
  <c r="D184" i="9"/>
  <c r="T183" i="9"/>
  <c r="Q183" i="9"/>
  <c r="H183" i="9"/>
  <c r="D183" i="9"/>
  <c r="T182" i="9"/>
  <c r="Q182" i="9"/>
  <c r="H182" i="9"/>
  <c r="D182" i="9"/>
  <c r="T181" i="9"/>
  <c r="Q181" i="9"/>
  <c r="H181" i="9"/>
  <c r="D181" i="9"/>
  <c r="T180" i="9"/>
  <c r="Q180" i="9"/>
  <c r="H180" i="9"/>
  <c r="D180" i="9"/>
  <c r="T179" i="9"/>
  <c r="Q179" i="9"/>
  <c r="H179" i="9"/>
  <c r="D179" i="9"/>
  <c r="T178" i="9"/>
  <c r="Q178" i="9"/>
  <c r="H178" i="9"/>
  <c r="D178" i="9"/>
  <c r="T177" i="9"/>
  <c r="Q177" i="9"/>
  <c r="H177" i="9"/>
  <c r="D177" i="9"/>
  <c r="T176" i="9"/>
  <c r="Q176" i="9"/>
  <c r="H176" i="9"/>
  <c r="D176" i="9"/>
  <c r="T175" i="9"/>
  <c r="Q175" i="9"/>
  <c r="H175" i="9"/>
  <c r="D175" i="9"/>
  <c r="T174" i="9"/>
  <c r="Q174" i="9"/>
  <c r="H174" i="9"/>
  <c r="D174" i="9"/>
  <c r="T173" i="9"/>
  <c r="Q173" i="9"/>
  <c r="H173" i="9"/>
  <c r="D173" i="9"/>
  <c r="T172" i="9"/>
  <c r="Q172" i="9"/>
  <c r="H172" i="9"/>
  <c r="D172" i="9"/>
  <c r="T171" i="9"/>
  <c r="Q171" i="9"/>
  <c r="H171" i="9"/>
  <c r="D171" i="9"/>
  <c r="T170" i="9"/>
  <c r="Q170" i="9"/>
  <c r="H170" i="9"/>
  <c r="D170" i="9"/>
  <c r="T169" i="9"/>
  <c r="Q169" i="9"/>
  <c r="H169" i="9"/>
  <c r="D169" i="9"/>
  <c r="T168" i="9"/>
  <c r="Q168" i="9"/>
  <c r="H168" i="9"/>
  <c r="D168" i="9"/>
  <c r="T167" i="9"/>
  <c r="Q167" i="9"/>
  <c r="H167" i="9"/>
  <c r="D167" i="9"/>
  <c r="T166" i="9"/>
  <c r="Q166" i="9"/>
  <c r="H166" i="9"/>
  <c r="D166" i="9"/>
  <c r="T165" i="9"/>
  <c r="Q165" i="9"/>
  <c r="H165" i="9"/>
  <c r="D165" i="9"/>
  <c r="T164" i="9"/>
  <c r="Q164" i="9"/>
  <c r="H164" i="9"/>
  <c r="D164" i="9"/>
  <c r="T163" i="9"/>
  <c r="Q163" i="9"/>
  <c r="H163" i="9"/>
  <c r="D163" i="9"/>
  <c r="T162" i="9"/>
  <c r="Q162" i="9"/>
  <c r="H162" i="9"/>
  <c r="D162" i="9"/>
  <c r="T161" i="9"/>
  <c r="Q161" i="9"/>
  <c r="H161" i="9"/>
  <c r="D161" i="9"/>
  <c r="T160" i="9"/>
  <c r="Q160" i="9"/>
  <c r="H160" i="9"/>
  <c r="D160" i="9"/>
  <c r="T159" i="9"/>
  <c r="Q159" i="9"/>
  <c r="H159" i="9"/>
  <c r="D159" i="9"/>
  <c r="T158" i="9"/>
  <c r="Q158" i="9"/>
  <c r="H158" i="9"/>
  <c r="D158" i="9"/>
  <c r="T157" i="9"/>
  <c r="Q157" i="9"/>
  <c r="H157" i="9"/>
  <c r="D157" i="9"/>
  <c r="T156" i="9"/>
  <c r="Q156" i="9"/>
  <c r="H156" i="9"/>
  <c r="D156" i="9"/>
  <c r="T155" i="9"/>
  <c r="Q155" i="9"/>
  <c r="H155" i="9"/>
  <c r="D155" i="9"/>
  <c r="T154" i="9"/>
  <c r="Q154" i="9"/>
  <c r="H154" i="9"/>
  <c r="D154" i="9"/>
  <c r="T153" i="9"/>
  <c r="Q153" i="9"/>
  <c r="H153" i="9"/>
  <c r="D153" i="9"/>
  <c r="T152" i="9"/>
  <c r="Q152" i="9"/>
  <c r="H152" i="9"/>
  <c r="D152" i="9"/>
  <c r="T151" i="9"/>
  <c r="Q151" i="9"/>
  <c r="H151" i="9"/>
  <c r="D151" i="9"/>
  <c r="T150" i="9"/>
  <c r="Q150" i="9"/>
  <c r="H150" i="9"/>
  <c r="D150" i="9"/>
  <c r="T149" i="9"/>
  <c r="Q149" i="9"/>
  <c r="H149" i="9"/>
  <c r="D149" i="9"/>
  <c r="T148" i="9"/>
  <c r="Q148" i="9"/>
  <c r="H148" i="9"/>
  <c r="D148" i="9"/>
  <c r="T147" i="9"/>
  <c r="Q147" i="9"/>
  <c r="H147" i="9"/>
  <c r="D147" i="9"/>
  <c r="T146" i="9"/>
  <c r="Q146" i="9"/>
  <c r="H146" i="9"/>
  <c r="D146" i="9"/>
  <c r="T145" i="9"/>
  <c r="Q145" i="9"/>
  <c r="H145" i="9"/>
  <c r="D145" i="9"/>
  <c r="T144" i="9"/>
  <c r="Q144" i="9"/>
  <c r="H144" i="9"/>
  <c r="D144" i="9"/>
  <c r="T143" i="9"/>
  <c r="Q143" i="9"/>
  <c r="H143" i="9"/>
  <c r="D143" i="9"/>
  <c r="T142" i="9"/>
  <c r="Q142" i="9"/>
  <c r="H142" i="9"/>
  <c r="D142" i="9"/>
  <c r="T141" i="9"/>
  <c r="Q141" i="9"/>
  <c r="H141" i="9"/>
  <c r="D141" i="9"/>
  <c r="T140" i="9"/>
  <c r="Q140" i="9"/>
  <c r="H140" i="9"/>
  <c r="D140" i="9"/>
  <c r="T139" i="9"/>
  <c r="Q139" i="9"/>
  <c r="H139" i="9"/>
  <c r="D139" i="9"/>
  <c r="T138" i="9"/>
  <c r="Q138" i="9"/>
  <c r="H138" i="9"/>
  <c r="D138" i="9"/>
  <c r="T137" i="9"/>
  <c r="Q137" i="9"/>
  <c r="H137" i="9"/>
  <c r="D137" i="9"/>
  <c r="T136" i="9"/>
  <c r="Q136" i="9"/>
  <c r="H136" i="9"/>
  <c r="D136" i="9"/>
  <c r="T135" i="9"/>
  <c r="Q135" i="9"/>
  <c r="H135" i="9"/>
  <c r="D135" i="9"/>
  <c r="T134" i="9"/>
  <c r="Q134" i="9"/>
  <c r="H134" i="9"/>
  <c r="D134" i="9"/>
  <c r="T133" i="9"/>
  <c r="Q133" i="9"/>
  <c r="H133" i="9"/>
  <c r="D133" i="9"/>
  <c r="T132" i="9"/>
  <c r="Q132" i="9"/>
  <c r="H132" i="9"/>
  <c r="D132" i="9"/>
  <c r="T131" i="9"/>
  <c r="Q131" i="9"/>
  <c r="H131" i="9"/>
  <c r="D131" i="9"/>
  <c r="T130" i="9"/>
  <c r="Q130" i="9"/>
  <c r="H130" i="9"/>
  <c r="D130" i="9"/>
  <c r="T129" i="9"/>
  <c r="Q129" i="9"/>
  <c r="H129" i="9"/>
  <c r="D129" i="9"/>
  <c r="T128" i="9"/>
  <c r="Q128" i="9"/>
  <c r="H128" i="9"/>
  <c r="D128" i="9"/>
  <c r="T127" i="9"/>
  <c r="Q127" i="9"/>
  <c r="H127" i="9"/>
  <c r="D127" i="9"/>
  <c r="T126" i="9"/>
  <c r="Q126" i="9"/>
  <c r="H126" i="9"/>
  <c r="D126" i="9"/>
  <c r="T125" i="9"/>
  <c r="Q125" i="9"/>
  <c r="H125" i="9"/>
  <c r="D125" i="9"/>
  <c r="T124" i="9"/>
  <c r="Q124" i="9"/>
  <c r="H124" i="9"/>
  <c r="D124" i="9"/>
  <c r="T123" i="9"/>
  <c r="Q123" i="9"/>
  <c r="H123" i="9"/>
  <c r="D123" i="9"/>
  <c r="T122" i="9"/>
  <c r="Q122" i="9"/>
  <c r="H122" i="9"/>
  <c r="D122" i="9"/>
  <c r="T121" i="9"/>
  <c r="Q121" i="9"/>
  <c r="H121" i="9"/>
  <c r="D121" i="9"/>
  <c r="T120" i="9"/>
  <c r="Q120" i="9"/>
  <c r="H120" i="9"/>
  <c r="D120" i="9"/>
  <c r="T119" i="9"/>
  <c r="Q119" i="9"/>
  <c r="H119" i="9"/>
  <c r="D119" i="9"/>
  <c r="T118" i="9"/>
  <c r="Q118" i="9"/>
  <c r="H118" i="9"/>
  <c r="D118" i="9"/>
  <c r="T117" i="9"/>
  <c r="Q117" i="9"/>
  <c r="H117" i="9"/>
  <c r="D117" i="9"/>
  <c r="T116" i="9"/>
  <c r="Q116" i="9"/>
  <c r="H116" i="9"/>
  <c r="D116" i="9"/>
  <c r="T115" i="9"/>
  <c r="Q115" i="9"/>
  <c r="H115" i="9"/>
  <c r="D115" i="9"/>
  <c r="T114" i="9"/>
  <c r="Q114" i="9"/>
  <c r="H114" i="9"/>
  <c r="D114" i="9"/>
  <c r="T113" i="9"/>
  <c r="Q113" i="9"/>
  <c r="H113" i="9"/>
  <c r="D113" i="9"/>
  <c r="T112" i="9"/>
  <c r="Q112" i="9"/>
  <c r="H112" i="9"/>
  <c r="D112" i="9"/>
  <c r="T111" i="9"/>
  <c r="Q111" i="9"/>
  <c r="H111" i="9"/>
  <c r="D111" i="9"/>
  <c r="T110" i="9"/>
  <c r="Q110" i="9"/>
  <c r="H110" i="9"/>
  <c r="D110" i="9"/>
  <c r="T109" i="9"/>
  <c r="Q109" i="9"/>
  <c r="H109" i="9"/>
  <c r="D109" i="9"/>
  <c r="T108" i="9"/>
  <c r="Q108" i="9"/>
  <c r="H108" i="9"/>
  <c r="D108" i="9"/>
  <c r="T107" i="9"/>
  <c r="Q107" i="9"/>
  <c r="H107" i="9"/>
  <c r="D107" i="9"/>
  <c r="T106" i="9"/>
  <c r="Q106" i="9"/>
  <c r="H106" i="9"/>
  <c r="D106" i="9"/>
  <c r="T105" i="9"/>
  <c r="Q105" i="9"/>
  <c r="H105" i="9"/>
  <c r="D105" i="9"/>
  <c r="T104" i="9"/>
  <c r="Q104" i="9"/>
  <c r="H104" i="9"/>
  <c r="D104" i="9"/>
  <c r="T103" i="9"/>
  <c r="Q103" i="9"/>
  <c r="H103" i="9"/>
  <c r="D103" i="9"/>
  <c r="T102" i="9"/>
  <c r="Q102" i="9"/>
  <c r="H102" i="9"/>
  <c r="D102" i="9"/>
  <c r="T101" i="9"/>
  <c r="Q101" i="9"/>
  <c r="H101" i="9"/>
  <c r="D101" i="9"/>
  <c r="T100" i="9"/>
  <c r="Q100" i="9"/>
  <c r="H100" i="9"/>
  <c r="D100" i="9"/>
  <c r="T99" i="9"/>
  <c r="Q99" i="9"/>
  <c r="H99" i="9"/>
  <c r="D99" i="9"/>
  <c r="T98" i="9"/>
  <c r="Q98" i="9"/>
  <c r="H98" i="9"/>
  <c r="D98" i="9"/>
  <c r="T97" i="9"/>
  <c r="Q97" i="9"/>
  <c r="H97" i="9"/>
  <c r="D97" i="9"/>
  <c r="T96" i="9"/>
  <c r="Q96" i="9"/>
  <c r="H96" i="9"/>
  <c r="D96" i="9"/>
  <c r="T95" i="9"/>
  <c r="Q95" i="9"/>
  <c r="H95" i="9"/>
  <c r="D95" i="9"/>
  <c r="T94" i="9"/>
  <c r="Q94" i="9"/>
  <c r="H94" i="9"/>
  <c r="D94" i="9"/>
  <c r="T93" i="9"/>
  <c r="Q93" i="9"/>
  <c r="H93" i="9"/>
  <c r="D93" i="9"/>
  <c r="T92" i="9"/>
  <c r="Q92" i="9"/>
  <c r="H92" i="9"/>
  <c r="D92" i="9"/>
  <c r="T91" i="9"/>
  <c r="Q91" i="9"/>
  <c r="H91" i="9"/>
  <c r="D91" i="9"/>
  <c r="T90" i="9"/>
  <c r="Q90" i="9"/>
  <c r="H90" i="9"/>
  <c r="D90" i="9"/>
  <c r="T89" i="9"/>
  <c r="Q89" i="9"/>
  <c r="H89" i="9"/>
  <c r="D89" i="9"/>
  <c r="T88" i="9"/>
  <c r="Q88" i="9"/>
  <c r="H88" i="9"/>
  <c r="D88" i="9"/>
  <c r="T87" i="9"/>
  <c r="Q87" i="9"/>
  <c r="H87" i="9"/>
  <c r="D87" i="9"/>
  <c r="T86" i="9"/>
  <c r="Q86" i="9"/>
  <c r="H86" i="9"/>
  <c r="D86" i="9"/>
  <c r="T85" i="9"/>
  <c r="Q85" i="9"/>
  <c r="H85" i="9"/>
  <c r="D85" i="9"/>
  <c r="T84" i="9"/>
  <c r="Q84" i="9"/>
  <c r="H84" i="9"/>
  <c r="D84" i="9"/>
  <c r="T83" i="9"/>
  <c r="Q83" i="9"/>
  <c r="H83" i="9"/>
  <c r="D83" i="9"/>
  <c r="T82" i="9"/>
  <c r="Q82" i="9"/>
  <c r="H82" i="9"/>
  <c r="D82" i="9"/>
  <c r="T81" i="9"/>
  <c r="Q81" i="9"/>
  <c r="H81" i="9"/>
  <c r="D81" i="9"/>
  <c r="T80" i="9"/>
  <c r="Q80" i="9"/>
  <c r="H80" i="9"/>
  <c r="D80" i="9"/>
  <c r="T79" i="9"/>
  <c r="Q79" i="9"/>
  <c r="H79" i="9"/>
  <c r="D79" i="9"/>
  <c r="T78" i="9"/>
  <c r="Q78" i="9"/>
  <c r="H78" i="9"/>
  <c r="D78" i="9"/>
  <c r="T77" i="9"/>
  <c r="Q77" i="9"/>
  <c r="H77" i="9"/>
  <c r="D77" i="9"/>
  <c r="T76" i="9"/>
  <c r="Q76" i="9"/>
  <c r="H76" i="9"/>
  <c r="D76" i="9"/>
  <c r="T75" i="9"/>
  <c r="Q75" i="9"/>
  <c r="H75" i="9"/>
  <c r="D75" i="9"/>
  <c r="T74" i="9"/>
  <c r="Q74" i="9"/>
  <c r="H74" i="9"/>
  <c r="D74" i="9"/>
  <c r="T73" i="9"/>
  <c r="Q73" i="9"/>
  <c r="H73" i="9"/>
  <c r="D73" i="9"/>
  <c r="T72" i="9"/>
  <c r="Q72" i="9"/>
  <c r="H72" i="9"/>
  <c r="D72" i="9"/>
  <c r="T71" i="9"/>
  <c r="Q71" i="9"/>
  <c r="H71" i="9"/>
  <c r="D71" i="9"/>
  <c r="T70" i="9"/>
  <c r="Q70" i="9"/>
  <c r="H70" i="9"/>
  <c r="D70" i="9"/>
  <c r="T69" i="9"/>
  <c r="Q69" i="9"/>
  <c r="H69" i="9"/>
  <c r="D69" i="9"/>
  <c r="T68" i="9"/>
  <c r="Q68" i="9"/>
  <c r="H68" i="9"/>
  <c r="D68" i="9"/>
  <c r="T67" i="9"/>
  <c r="Q67" i="9"/>
  <c r="H67" i="9"/>
  <c r="D67" i="9"/>
  <c r="T66" i="9"/>
  <c r="Q66" i="9"/>
  <c r="H66" i="9"/>
  <c r="D66" i="9"/>
  <c r="T65" i="9"/>
  <c r="Q65" i="9"/>
  <c r="H65" i="9"/>
  <c r="D65" i="9"/>
  <c r="T64" i="9"/>
  <c r="Q64" i="9"/>
  <c r="H64" i="9"/>
  <c r="D64" i="9"/>
  <c r="T63" i="9"/>
  <c r="Q63" i="9"/>
  <c r="H63" i="9"/>
  <c r="D63" i="9"/>
  <c r="T62" i="9"/>
  <c r="Q62" i="9"/>
  <c r="H62" i="9"/>
  <c r="D62" i="9"/>
  <c r="T61" i="9"/>
  <c r="Q61" i="9"/>
  <c r="H61" i="9"/>
  <c r="D61" i="9"/>
  <c r="T60" i="9"/>
  <c r="Q60" i="9"/>
  <c r="H60" i="9"/>
  <c r="D60" i="9"/>
  <c r="T59" i="9"/>
  <c r="Q59" i="9"/>
  <c r="H59" i="9"/>
  <c r="D59" i="9"/>
  <c r="T58" i="9"/>
  <c r="Q58" i="9"/>
  <c r="H58" i="9"/>
  <c r="D58" i="9"/>
  <c r="T57" i="9"/>
  <c r="Q57" i="9"/>
  <c r="H57" i="9"/>
  <c r="D57" i="9"/>
  <c r="T56" i="9"/>
  <c r="Q56" i="9"/>
  <c r="H56" i="9"/>
  <c r="D56" i="9"/>
  <c r="T55" i="9"/>
  <c r="Q55" i="9"/>
  <c r="H55" i="9"/>
  <c r="D55" i="9"/>
  <c r="T54" i="9"/>
  <c r="Q54" i="9"/>
  <c r="H54" i="9"/>
  <c r="D54" i="9"/>
  <c r="T53" i="9"/>
  <c r="Q53" i="9"/>
  <c r="H53" i="9"/>
  <c r="D53" i="9"/>
  <c r="T52" i="9"/>
  <c r="Q52" i="9"/>
  <c r="H52" i="9"/>
  <c r="D52" i="9"/>
  <c r="T51" i="9"/>
  <c r="Q51" i="9"/>
  <c r="H51" i="9"/>
  <c r="D51" i="9"/>
  <c r="T50" i="9"/>
  <c r="Q50" i="9"/>
  <c r="H50" i="9"/>
  <c r="D50" i="9"/>
  <c r="T49" i="9"/>
  <c r="Q49" i="9"/>
  <c r="H49" i="9"/>
  <c r="D49" i="9"/>
  <c r="T48" i="9"/>
  <c r="Q48" i="9"/>
  <c r="H48" i="9"/>
  <c r="D48" i="9"/>
  <c r="T47" i="9"/>
  <c r="Q47" i="9"/>
  <c r="H47" i="9"/>
  <c r="D47" i="9"/>
  <c r="T46" i="9"/>
  <c r="Q46" i="9"/>
  <c r="H46" i="9"/>
  <c r="D46" i="9"/>
  <c r="T45" i="9"/>
  <c r="Q45" i="9"/>
  <c r="H45" i="9"/>
  <c r="D45" i="9"/>
  <c r="T44" i="9"/>
  <c r="Q44" i="9"/>
  <c r="H44" i="9"/>
  <c r="D44" i="9"/>
  <c r="T43" i="9"/>
  <c r="Q43" i="9"/>
  <c r="H43" i="9"/>
  <c r="D43" i="9"/>
  <c r="T42" i="9"/>
  <c r="Q42" i="9"/>
  <c r="H42" i="9"/>
  <c r="D42" i="9"/>
  <c r="T41" i="9"/>
  <c r="Q41" i="9"/>
  <c r="H41" i="9"/>
  <c r="D41" i="9"/>
  <c r="T40" i="9"/>
  <c r="Q40" i="9"/>
  <c r="H40" i="9"/>
  <c r="D40" i="9"/>
  <c r="T39" i="9"/>
  <c r="Q39" i="9"/>
  <c r="H39" i="9"/>
  <c r="D39" i="9"/>
  <c r="T38" i="9"/>
  <c r="Q38" i="9"/>
  <c r="H38" i="9"/>
  <c r="D38" i="9"/>
  <c r="T37" i="9"/>
  <c r="Q37" i="9"/>
  <c r="H37" i="9"/>
  <c r="D37" i="9"/>
  <c r="T36" i="9"/>
  <c r="Q36" i="9"/>
  <c r="H36" i="9"/>
  <c r="D36" i="9"/>
  <c r="T35" i="9"/>
  <c r="Q35" i="9"/>
  <c r="H35" i="9"/>
  <c r="D35" i="9"/>
  <c r="T34" i="9"/>
  <c r="Q34" i="9"/>
  <c r="H34" i="9"/>
  <c r="D34" i="9"/>
  <c r="T33" i="9"/>
  <c r="Q33" i="9"/>
  <c r="H33" i="9"/>
  <c r="D33" i="9"/>
  <c r="T32" i="9"/>
  <c r="Q32" i="9"/>
  <c r="H32" i="9"/>
  <c r="D32" i="9"/>
  <c r="T31" i="9"/>
  <c r="Q31" i="9"/>
  <c r="H31" i="9"/>
  <c r="D31" i="9"/>
  <c r="T30" i="9"/>
  <c r="Q30" i="9"/>
  <c r="H30" i="9"/>
  <c r="D30" i="9"/>
  <c r="T29" i="9"/>
  <c r="Q29" i="9"/>
  <c r="H29" i="9"/>
  <c r="D29" i="9"/>
  <c r="T28" i="9"/>
  <c r="Q28" i="9"/>
  <c r="H28" i="9"/>
  <c r="D28" i="9"/>
  <c r="T27" i="9"/>
  <c r="Q27" i="9"/>
  <c r="H27" i="9"/>
  <c r="D27" i="9"/>
  <c r="T26" i="9"/>
  <c r="Q26" i="9"/>
  <c r="H26" i="9"/>
  <c r="D26" i="9"/>
  <c r="T25" i="9"/>
  <c r="Q25" i="9"/>
  <c r="H25" i="9"/>
  <c r="D25" i="9"/>
  <c r="T24" i="9"/>
  <c r="Q24" i="9"/>
  <c r="H24" i="9"/>
  <c r="D24" i="9"/>
  <c r="T23" i="9"/>
  <c r="Q23" i="9"/>
  <c r="H23" i="9"/>
  <c r="D23" i="9"/>
  <c r="T22" i="9"/>
  <c r="Q22" i="9"/>
  <c r="H22" i="9"/>
  <c r="D22" i="9"/>
  <c r="T21" i="9"/>
  <c r="Q21" i="9"/>
  <c r="H21" i="9"/>
  <c r="D21" i="9"/>
  <c r="T20" i="9"/>
  <c r="Q20" i="9"/>
  <c r="H20" i="9"/>
  <c r="D20" i="9"/>
  <c r="T19" i="9"/>
  <c r="Q19" i="9"/>
  <c r="H19" i="9"/>
  <c r="D19" i="9"/>
  <c r="T18" i="9"/>
  <c r="Q18" i="9"/>
  <c r="H18" i="9"/>
  <c r="D18" i="9"/>
  <c r="T17" i="9"/>
  <c r="Q17" i="9"/>
  <c r="H17" i="9"/>
  <c r="D17" i="9"/>
  <c r="T16" i="9"/>
  <c r="Q16" i="9"/>
  <c r="H16" i="9"/>
  <c r="D16" i="9"/>
  <c r="T15" i="9"/>
  <c r="Q15" i="9"/>
  <c r="H15" i="9"/>
  <c r="D15" i="9"/>
  <c r="T14" i="9"/>
  <c r="Q14" i="9"/>
  <c r="H14" i="9"/>
  <c r="D14" i="9"/>
  <c r="T13" i="9"/>
  <c r="Q13" i="9"/>
  <c r="H13" i="9"/>
  <c r="D13" i="9"/>
  <c r="T12" i="9"/>
  <c r="Q12" i="9"/>
  <c r="H12" i="9"/>
  <c r="D12" i="9"/>
  <c r="T11" i="9"/>
  <c r="Q11" i="9"/>
  <c r="H11" i="9"/>
  <c r="D11" i="9"/>
  <c r="T10" i="9"/>
  <c r="Q10" i="9"/>
  <c r="H10" i="9"/>
  <c r="D10" i="9"/>
  <c r="T9" i="9"/>
  <c r="Q9" i="9"/>
  <c r="H9" i="9"/>
  <c r="D9" i="9"/>
  <c r="T8" i="9"/>
  <c r="Q8" i="9"/>
  <c r="H8" i="9"/>
  <c r="D8" i="9"/>
  <c r="T7" i="9"/>
  <c r="Q7" i="9"/>
  <c r="D7" i="9"/>
  <c r="T6" i="9"/>
  <c r="Q6" i="9"/>
  <c r="H6" i="9"/>
  <c r="D6" i="9"/>
  <c r="T5" i="9"/>
  <c r="Q5" i="9"/>
  <c r="M35" i="9" s="1"/>
  <c r="S4" i="9" s="1"/>
  <c r="H5" i="9"/>
  <c r="T4" i="9"/>
  <c r="S5" i="9" s="1"/>
  <c r="H4" i="9"/>
  <c r="G5" i="9" l="1"/>
  <c r="G6" i="9" s="1"/>
  <c r="G7" i="9" s="1"/>
  <c r="G8" i="9" s="1"/>
  <c r="S6" i="9"/>
  <c r="S7" i="9" s="1"/>
  <c r="S8" i="9" s="1"/>
  <c r="S9" i="9" s="1"/>
  <c r="S10" i="9" s="1"/>
  <c r="S11" i="9" s="1"/>
  <c r="S12" i="9" s="1"/>
  <c r="S13" i="9" s="1"/>
  <c r="S14" i="9" s="1"/>
  <c r="S15" i="9" s="1"/>
  <c r="S16" i="9" s="1"/>
  <c r="S17" i="9" s="1"/>
  <c r="S18" i="9" s="1"/>
  <c r="S19" i="9" s="1"/>
  <c r="S20" i="9" s="1"/>
  <c r="S21" i="9" s="1"/>
  <c r="S22" i="9" s="1"/>
  <c r="S23" i="9" s="1"/>
  <c r="S24" i="9" s="1"/>
  <c r="S25" i="9" s="1"/>
  <c r="S26" i="9" s="1"/>
  <c r="S27" i="9" s="1"/>
  <c r="S28" i="9" s="1"/>
  <c r="S29" i="9" s="1"/>
  <c r="S30" i="9" s="1"/>
  <c r="S31" i="9" s="1"/>
  <c r="S32" i="9" s="1"/>
  <c r="S33" i="9" s="1"/>
  <c r="S34" i="9" s="1"/>
  <c r="S35" i="9" s="1"/>
  <c r="S36" i="9" s="1"/>
  <c r="R36" i="9" s="1"/>
  <c r="M15" i="9"/>
  <c r="G9" i="9" l="1"/>
  <c r="R11" i="9"/>
  <c r="R12" i="9"/>
  <c r="R9" i="9"/>
  <c r="R8" i="9"/>
  <c r="R14" i="9"/>
  <c r="R28" i="9"/>
  <c r="R25" i="9"/>
  <c r="R34" i="9"/>
  <c r="R30" i="9"/>
  <c r="R29" i="9"/>
  <c r="R22" i="9"/>
  <c r="R31" i="9"/>
  <c r="R26" i="9"/>
  <c r="R19" i="9"/>
  <c r="R35" i="9"/>
  <c r="R27" i="9"/>
  <c r="R23" i="9"/>
  <c r="R16" i="9"/>
  <c r="S37" i="9"/>
  <c r="R32" i="9"/>
  <c r="R20" i="9"/>
  <c r="R13" i="9"/>
  <c r="R33" i="9"/>
  <c r="R24" i="9"/>
  <c r="R21" i="9"/>
  <c r="R18" i="9"/>
  <c r="R15" i="9"/>
  <c r="R17" i="9"/>
  <c r="R10" i="9"/>
  <c r="E8" i="9" l="1"/>
  <c r="F8" i="9" s="1"/>
  <c r="S38" i="9"/>
  <c r="R37" i="9"/>
  <c r="G10" i="9"/>
  <c r="E9" i="9"/>
  <c r="F9" i="9" s="1"/>
  <c r="R38" i="9" l="1"/>
  <c r="S39" i="9"/>
  <c r="E10" i="9"/>
  <c r="F10" i="9" s="1"/>
  <c r="G11" i="9"/>
  <c r="S40" i="9" l="1"/>
  <c r="R39" i="9"/>
  <c r="E11" i="9"/>
  <c r="F11" i="9" s="1"/>
  <c r="G12" i="9"/>
  <c r="R40" i="9" l="1"/>
  <c r="S41" i="9"/>
  <c r="G13" i="9"/>
  <c r="E12" i="9"/>
  <c r="F12" i="9" s="1"/>
  <c r="R41" i="9" l="1"/>
  <c r="S42" i="9"/>
  <c r="E13" i="9"/>
  <c r="F13" i="9" s="1"/>
  <c r="G14" i="9"/>
  <c r="R42" i="9" l="1"/>
  <c r="S43" i="9"/>
  <c r="G15" i="9"/>
  <c r="E14" i="9"/>
  <c r="F14" i="9" s="1"/>
  <c r="S44" i="9" l="1"/>
  <c r="R43" i="9"/>
  <c r="G16" i="9"/>
  <c r="E15" i="9"/>
  <c r="F15" i="9" s="1"/>
  <c r="R44" i="9" l="1"/>
  <c r="S45" i="9"/>
  <c r="G17" i="9"/>
  <c r="E16" i="9"/>
  <c r="F16" i="9" s="1"/>
  <c r="S46" i="9" l="1"/>
  <c r="R45" i="9"/>
  <c r="E17" i="9"/>
  <c r="F17" i="9" s="1"/>
  <c r="G18" i="9"/>
  <c r="S47" i="9" l="1"/>
  <c r="R46" i="9"/>
  <c r="G19" i="9"/>
  <c r="E18" i="9"/>
  <c r="F18" i="9" s="1"/>
  <c r="R47" i="9" l="1"/>
  <c r="S48" i="9"/>
  <c r="G20" i="9"/>
  <c r="E19" i="9"/>
  <c r="F19" i="9" s="1"/>
  <c r="S49" i="9" l="1"/>
  <c r="R48" i="9"/>
  <c r="E20" i="9"/>
  <c r="F20" i="9" s="1"/>
  <c r="G21" i="9"/>
  <c r="S50" i="9" l="1"/>
  <c r="R49" i="9"/>
  <c r="E21" i="9"/>
  <c r="F21" i="9" s="1"/>
  <c r="G22" i="9"/>
  <c r="S51" i="9" l="1"/>
  <c r="R50" i="9"/>
  <c r="G23" i="9"/>
  <c r="E22" i="9"/>
  <c r="F22" i="9" s="1"/>
  <c r="S52" i="9" l="1"/>
  <c r="R51" i="9"/>
  <c r="E23" i="9"/>
  <c r="F23" i="9" s="1"/>
  <c r="G24" i="9"/>
  <c r="S53" i="9" l="1"/>
  <c r="R52" i="9"/>
  <c r="G25" i="9"/>
  <c r="E24" i="9"/>
  <c r="F24" i="9" s="1"/>
  <c r="R53" i="9" l="1"/>
  <c r="S54" i="9"/>
  <c r="G26" i="9"/>
  <c r="E25" i="9"/>
  <c r="F25" i="9" s="1"/>
  <c r="R54" i="9" l="1"/>
  <c r="S55" i="9"/>
  <c r="E26" i="9"/>
  <c r="F26" i="9" s="1"/>
  <c r="G27" i="9"/>
  <c r="R55" i="9" l="1"/>
  <c r="S56" i="9"/>
  <c r="E27" i="9"/>
  <c r="F27" i="9" s="1"/>
  <c r="G28" i="9"/>
  <c r="R56" i="9" l="1"/>
  <c r="S57" i="9"/>
  <c r="G29" i="9"/>
  <c r="E28" i="9"/>
  <c r="F28" i="9" s="1"/>
  <c r="R57" i="9" l="1"/>
  <c r="S58" i="9"/>
  <c r="E29" i="9"/>
  <c r="F29" i="9" s="1"/>
  <c r="G30" i="9"/>
  <c r="R58" i="9" l="1"/>
  <c r="S59" i="9"/>
  <c r="E30" i="9"/>
  <c r="F30" i="9" s="1"/>
  <c r="G31" i="9"/>
  <c r="R59" i="9" l="1"/>
  <c r="S60" i="9"/>
  <c r="G32" i="9"/>
  <c r="E31" i="9"/>
  <c r="F31" i="9" s="1"/>
  <c r="S61" i="9" l="1"/>
  <c r="R60" i="9"/>
  <c r="E32" i="9"/>
  <c r="F32" i="9" s="1"/>
  <c r="G33" i="9"/>
  <c r="S62" i="9" l="1"/>
  <c r="R61" i="9"/>
  <c r="E33" i="9"/>
  <c r="F33" i="9" s="1"/>
  <c r="G34" i="9"/>
  <c r="S63" i="9" l="1"/>
  <c r="R62" i="9"/>
  <c r="G35" i="9"/>
  <c r="E34" i="9"/>
  <c r="F34" i="9" s="1"/>
  <c r="S64" i="9" l="1"/>
  <c r="R63" i="9"/>
  <c r="G36" i="9"/>
  <c r="E35" i="9"/>
  <c r="F35" i="9" s="1"/>
  <c r="R64" i="9" l="1"/>
  <c r="S65" i="9"/>
  <c r="G37" i="9"/>
  <c r="E36" i="9"/>
  <c r="F36" i="9" s="1"/>
  <c r="R65" i="9" l="1"/>
  <c r="S66" i="9"/>
  <c r="G38" i="9"/>
  <c r="E37" i="9"/>
  <c r="F37" i="9" s="1"/>
  <c r="S67" i="9" l="1"/>
  <c r="R66" i="9"/>
  <c r="G39" i="9"/>
  <c r="E38" i="9"/>
  <c r="F38" i="9" s="1"/>
  <c r="S68" i="9" l="1"/>
  <c r="R67" i="9"/>
  <c r="G40" i="9"/>
  <c r="E39" i="9"/>
  <c r="F39" i="9" s="1"/>
  <c r="R68" i="9" l="1"/>
  <c r="S69" i="9"/>
  <c r="E40" i="9"/>
  <c r="F40" i="9" s="1"/>
  <c r="G41" i="9"/>
  <c r="S70" i="9" l="1"/>
  <c r="R69" i="9"/>
  <c r="G42" i="9"/>
  <c r="E41" i="9"/>
  <c r="F41" i="9" s="1"/>
  <c r="S71" i="9" l="1"/>
  <c r="R70" i="9"/>
  <c r="E42" i="9"/>
  <c r="F42" i="9" s="1"/>
  <c r="G43" i="9"/>
  <c r="R71" i="9" l="1"/>
  <c r="S72" i="9"/>
  <c r="G44" i="9"/>
  <c r="E43" i="9"/>
  <c r="F43" i="9" s="1"/>
  <c r="S73" i="9" l="1"/>
  <c r="R72" i="9"/>
  <c r="G45" i="9"/>
  <c r="E44" i="9"/>
  <c r="F44" i="9" s="1"/>
  <c r="R73" i="9" l="1"/>
  <c r="S74" i="9"/>
  <c r="G46" i="9"/>
  <c r="E45" i="9"/>
  <c r="F45" i="9" s="1"/>
  <c r="R74" i="9" l="1"/>
  <c r="S75" i="9"/>
  <c r="E46" i="9"/>
  <c r="F46" i="9" s="1"/>
  <c r="G47" i="9"/>
  <c r="R75" i="9" l="1"/>
  <c r="S76" i="9"/>
  <c r="G48" i="9"/>
  <c r="E47" i="9"/>
  <c r="F47" i="9" s="1"/>
  <c r="R76" i="9" l="1"/>
  <c r="S77" i="9"/>
  <c r="G49" i="9"/>
  <c r="E48" i="9"/>
  <c r="F48" i="9" s="1"/>
  <c r="R77" i="9" l="1"/>
  <c r="S78" i="9"/>
  <c r="G50" i="9"/>
  <c r="E49" i="9"/>
  <c r="F49" i="9" s="1"/>
  <c r="R78" i="9" l="1"/>
  <c r="S79" i="9"/>
  <c r="G51" i="9"/>
  <c r="E50" i="9"/>
  <c r="F50" i="9" s="1"/>
  <c r="S80" i="9" l="1"/>
  <c r="R79" i="9"/>
  <c r="G52" i="9"/>
  <c r="E51" i="9"/>
  <c r="F51" i="9" s="1"/>
  <c r="S81" i="9" l="1"/>
  <c r="R80" i="9"/>
  <c r="E52" i="9"/>
  <c r="F52" i="9" s="1"/>
  <c r="G53" i="9"/>
  <c r="S82" i="9" l="1"/>
  <c r="R81" i="9"/>
  <c r="G54" i="9"/>
  <c r="E53" i="9"/>
  <c r="F53" i="9" s="1"/>
  <c r="R82" i="9" l="1"/>
  <c r="S83" i="9"/>
  <c r="G55" i="9"/>
  <c r="E54" i="9"/>
  <c r="F54" i="9" s="1"/>
  <c r="R83" i="9" l="1"/>
  <c r="S84" i="9"/>
  <c r="G56" i="9"/>
  <c r="E55" i="9"/>
  <c r="F55" i="9" s="1"/>
  <c r="R84" i="9" l="1"/>
  <c r="S85" i="9"/>
  <c r="G57" i="9"/>
  <c r="E56" i="9"/>
  <c r="F56" i="9" s="1"/>
  <c r="R85" i="9" l="1"/>
  <c r="S86" i="9"/>
  <c r="G58" i="9"/>
  <c r="E57" i="9"/>
  <c r="F57" i="9" s="1"/>
  <c r="S87" i="9" l="1"/>
  <c r="R86" i="9"/>
  <c r="E58" i="9"/>
  <c r="F58" i="9" s="1"/>
  <c r="G59" i="9"/>
  <c r="S88" i="9" l="1"/>
  <c r="R87" i="9"/>
  <c r="G60" i="9"/>
  <c r="E59" i="9"/>
  <c r="F59" i="9" s="1"/>
  <c r="S89" i="9" l="1"/>
  <c r="R88" i="9"/>
  <c r="G61" i="9"/>
  <c r="E60" i="9"/>
  <c r="F60" i="9" s="1"/>
  <c r="R89" i="9" l="1"/>
  <c r="S90" i="9"/>
  <c r="G62" i="9"/>
  <c r="E61" i="9"/>
  <c r="F61" i="9" s="1"/>
  <c r="S91" i="9" l="1"/>
  <c r="R90" i="9"/>
  <c r="G63" i="9"/>
  <c r="E62" i="9"/>
  <c r="F62" i="9" s="1"/>
  <c r="S92" i="9" l="1"/>
  <c r="R91" i="9"/>
  <c r="G64" i="9"/>
  <c r="E63" i="9"/>
  <c r="F63" i="9" s="1"/>
  <c r="R92" i="9" l="1"/>
  <c r="S93" i="9"/>
  <c r="E64" i="9"/>
  <c r="F64" i="9" s="1"/>
  <c r="G65" i="9"/>
  <c r="S94" i="9" l="1"/>
  <c r="R93" i="9"/>
  <c r="G66" i="9"/>
  <c r="E65" i="9"/>
  <c r="F65" i="9" s="1"/>
  <c r="S95" i="9" l="1"/>
  <c r="R94" i="9"/>
  <c r="G67" i="9"/>
  <c r="E66" i="9"/>
  <c r="F66" i="9" s="1"/>
  <c r="R95" i="9" l="1"/>
  <c r="S96" i="9"/>
  <c r="G68" i="9"/>
  <c r="E67" i="9"/>
  <c r="F67" i="9" s="1"/>
  <c r="S97" i="9" l="1"/>
  <c r="R96" i="9"/>
  <c r="G69" i="9"/>
  <c r="E68" i="9"/>
  <c r="F68" i="9" s="1"/>
  <c r="R97" i="9" l="1"/>
  <c r="S98" i="9"/>
  <c r="G70" i="9"/>
  <c r="E69" i="9"/>
  <c r="F69" i="9" s="1"/>
  <c r="S99" i="9" l="1"/>
  <c r="R98" i="9"/>
  <c r="G71" i="9"/>
  <c r="E70" i="9"/>
  <c r="F70" i="9" s="1"/>
  <c r="R99" i="9" l="1"/>
  <c r="S100" i="9"/>
  <c r="G72" i="9"/>
  <c r="E71" i="9"/>
  <c r="F71" i="9" s="1"/>
  <c r="R100" i="9" l="1"/>
  <c r="S101" i="9"/>
  <c r="G73" i="9"/>
  <c r="E72" i="9"/>
  <c r="F72" i="9" s="1"/>
  <c r="R101" i="9" l="1"/>
  <c r="S102" i="9"/>
  <c r="G74" i="9"/>
  <c r="E73" i="9"/>
  <c r="F73" i="9" s="1"/>
  <c r="S103" i="9" l="1"/>
  <c r="R102" i="9"/>
  <c r="G75" i="9"/>
  <c r="E74" i="9"/>
  <c r="F74" i="9" s="1"/>
  <c r="S104" i="9" l="1"/>
  <c r="R103" i="9"/>
  <c r="G76" i="9"/>
  <c r="E75" i="9"/>
  <c r="F75" i="9" s="1"/>
  <c r="R104" i="9" l="1"/>
  <c r="S105" i="9"/>
  <c r="E76" i="9"/>
  <c r="F76" i="9" s="1"/>
  <c r="G77" i="9"/>
  <c r="R105" i="9" l="1"/>
  <c r="S106" i="9"/>
  <c r="G78" i="9"/>
  <c r="E77" i="9"/>
  <c r="F77" i="9" s="1"/>
  <c r="S107" i="9" l="1"/>
  <c r="R106" i="9"/>
  <c r="E78" i="9"/>
  <c r="F78" i="9" s="1"/>
  <c r="G79" i="9"/>
  <c r="S108" i="9" l="1"/>
  <c r="R107" i="9"/>
  <c r="G80" i="9"/>
  <c r="E79" i="9"/>
  <c r="F79" i="9" s="1"/>
  <c r="R108" i="9" l="1"/>
  <c r="S109" i="9"/>
  <c r="G81" i="9"/>
  <c r="E80" i="9"/>
  <c r="F80" i="9" s="1"/>
  <c r="S110" i="9" l="1"/>
  <c r="R109" i="9"/>
  <c r="G82" i="9"/>
  <c r="E81" i="9"/>
  <c r="F81" i="9" s="1"/>
  <c r="S111" i="9" l="1"/>
  <c r="R110" i="9"/>
  <c r="E82" i="9"/>
  <c r="F82" i="9" s="1"/>
  <c r="G83" i="9"/>
  <c r="R111" i="9" l="1"/>
  <c r="S112" i="9"/>
  <c r="G84" i="9"/>
  <c r="E83" i="9"/>
  <c r="F83" i="9" s="1"/>
  <c r="S113" i="9" l="1"/>
  <c r="R112" i="9"/>
  <c r="E84" i="9"/>
  <c r="F84" i="9" s="1"/>
  <c r="G85" i="9"/>
  <c r="S114" i="9" l="1"/>
  <c r="R113" i="9"/>
  <c r="G86" i="9"/>
  <c r="E85" i="9"/>
  <c r="F85" i="9" s="1"/>
  <c r="S115" i="9" l="1"/>
  <c r="R114" i="9"/>
  <c r="G87" i="9"/>
  <c r="E86" i="9"/>
  <c r="F86" i="9" s="1"/>
  <c r="S116" i="9" l="1"/>
  <c r="R115" i="9"/>
  <c r="G88" i="9"/>
  <c r="E87" i="9"/>
  <c r="F87" i="9" s="1"/>
  <c r="S117" i="9" l="1"/>
  <c r="R116" i="9"/>
  <c r="E88" i="9"/>
  <c r="F88" i="9" s="1"/>
  <c r="G89" i="9"/>
  <c r="R117" i="9" l="1"/>
  <c r="S118" i="9"/>
  <c r="G90" i="9"/>
  <c r="E89" i="9"/>
  <c r="F89" i="9" s="1"/>
  <c r="R118" i="9" l="1"/>
  <c r="S119" i="9"/>
  <c r="E90" i="9"/>
  <c r="F90" i="9" s="1"/>
  <c r="G91" i="9"/>
  <c r="S120" i="9" l="1"/>
  <c r="R119" i="9"/>
  <c r="G92" i="9"/>
  <c r="E91" i="9"/>
  <c r="F91" i="9" s="1"/>
  <c r="S121" i="9" l="1"/>
  <c r="R120" i="9"/>
  <c r="G93" i="9"/>
  <c r="E92" i="9"/>
  <c r="F92" i="9" s="1"/>
  <c r="S122" i="9" l="1"/>
  <c r="R121" i="9"/>
  <c r="G94" i="9"/>
  <c r="E93" i="9"/>
  <c r="F93" i="9" s="1"/>
  <c r="R122" i="9" l="1"/>
  <c r="S123" i="9"/>
  <c r="G95" i="9"/>
  <c r="E94" i="9"/>
  <c r="F94" i="9" s="1"/>
  <c r="S124" i="9" l="1"/>
  <c r="R123" i="9"/>
  <c r="G96" i="9"/>
  <c r="E95" i="9"/>
  <c r="F95" i="9" s="1"/>
  <c r="R124" i="9" l="1"/>
  <c r="S125" i="9"/>
  <c r="G97" i="9"/>
  <c r="E96" i="9"/>
  <c r="F96" i="9" s="1"/>
  <c r="S126" i="9" l="1"/>
  <c r="R125" i="9"/>
  <c r="G98" i="9"/>
  <c r="E97" i="9"/>
  <c r="F97" i="9" s="1"/>
  <c r="R126" i="9" l="1"/>
  <c r="S127" i="9"/>
  <c r="G99" i="9"/>
  <c r="E98" i="9"/>
  <c r="F98" i="9" s="1"/>
  <c r="R127" i="9" l="1"/>
  <c r="S128" i="9"/>
  <c r="G100" i="9"/>
  <c r="E99" i="9"/>
  <c r="F99" i="9" s="1"/>
  <c r="S129" i="9" l="1"/>
  <c r="R128" i="9"/>
  <c r="G101" i="9"/>
  <c r="E100" i="9"/>
  <c r="F100" i="9" s="1"/>
  <c r="R129" i="9" l="1"/>
  <c r="S130" i="9"/>
  <c r="G102" i="9"/>
  <c r="E101" i="9"/>
  <c r="F101" i="9" s="1"/>
  <c r="R130" i="9" l="1"/>
  <c r="S131" i="9"/>
  <c r="G103" i="9"/>
  <c r="E102" i="9"/>
  <c r="F102" i="9" s="1"/>
  <c r="S132" i="9" l="1"/>
  <c r="R131" i="9"/>
  <c r="G104" i="9"/>
  <c r="E103" i="9"/>
  <c r="F103" i="9" s="1"/>
  <c r="S133" i="9" l="1"/>
  <c r="R132" i="9"/>
  <c r="G105" i="9"/>
  <c r="E104" i="9"/>
  <c r="F104" i="9" s="1"/>
  <c r="R133" i="9" l="1"/>
  <c r="S134" i="9"/>
  <c r="G106" i="9"/>
  <c r="E105" i="9"/>
  <c r="F105" i="9" s="1"/>
  <c r="R134" i="9" l="1"/>
  <c r="S135" i="9"/>
  <c r="G107" i="9"/>
  <c r="E106" i="9"/>
  <c r="F106" i="9" s="1"/>
  <c r="R135" i="9" l="1"/>
  <c r="S136" i="9"/>
  <c r="G108" i="9"/>
  <c r="E107" i="9"/>
  <c r="F107" i="9" s="1"/>
  <c r="S137" i="9" l="1"/>
  <c r="R136" i="9"/>
  <c r="G109" i="9"/>
  <c r="E108" i="9"/>
  <c r="F108" i="9" s="1"/>
  <c r="R137" i="9" l="1"/>
  <c r="S138" i="9"/>
  <c r="G110" i="9"/>
  <c r="E109" i="9"/>
  <c r="F109" i="9" s="1"/>
  <c r="S139" i="9" l="1"/>
  <c r="R138" i="9"/>
  <c r="G111" i="9"/>
  <c r="E110" i="9"/>
  <c r="F110" i="9" s="1"/>
  <c r="R139" i="9" l="1"/>
  <c r="S140" i="9"/>
  <c r="G112" i="9"/>
  <c r="E111" i="9"/>
  <c r="F111" i="9" s="1"/>
  <c r="S141" i="9" l="1"/>
  <c r="R140" i="9"/>
  <c r="G113" i="9"/>
  <c r="E112" i="9"/>
  <c r="F112" i="9" s="1"/>
  <c r="R141" i="9" l="1"/>
  <c r="S142" i="9"/>
  <c r="G114" i="9"/>
  <c r="E113" i="9"/>
  <c r="F113" i="9" s="1"/>
  <c r="R142" i="9" l="1"/>
  <c r="S143" i="9"/>
  <c r="G115" i="9"/>
  <c r="E114" i="9"/>
  <c r="F114" i="9" s="1"/>
  <c r="R143" i="9" l="1"/>
  <c r="S144" i="9"/>
  <c r="G116" i="9"/>
  <c r="E115" i="9"/>
  <c r="F115" i="9" s="1"/>
  <c r="R144" i="9" l="1"/>
  <c r="S145" i="9"/>
  <c r="G117" i="9"/>
  <c r="E116" i="9"/>
  <c r="F116" i="9" s="1"/>
  <c r="S146" i="9" l="1"/>
  <c r="R145" i="9"/>
  <c r="G118" i="9"/>
  <c r="E117" i="9"/>
  <c r="F117" i="9" s="1"/>
  <c r="R146" i="9" l="1"/>
  <c r="S147" i="9"/>
  <c r="G119" i="9"/>
  <c r="E118" i="9"/>
  <c r="F118" i="9" s="1"/>
  <c r="S148" i="9" l="1"/>
  <c r="R147" i="9"/>
  <c r="G120" i="9"/>
  <c r="E119" i="9"/>
  <c r="F119" i="9" s="1"/>
  <c r="S149" i="9" l="1"/>
  <c r="R148" i="9"/>
  <c r="G121" i="9"/>
  <c r="E120" i="9"/>
  <c r="F120" i="9" s="1"/>
  <c r="R149" i="9" l="1"/>
  <c r="S150" i="9"/>
  <c r="G122" i="9"/>
  <c r="E121" i="9"/>
  <c r="F121" i="9" s="1"/>
  <c r="S151" i="9" l="1"/>
  <c r="R150" i="9"/>
  <c r="G123" i="9"/>
  <c r="E122" i="9"/>
  <c r="F122" i="9" s="1"/>
  <c r="S152" i="9" l="1"/>
  <c r="R151" i="9"/>
  <c r="G124" i="9"/>
  <c r="E123" i="9"/>
  <c r="F123" i="9" s="1"/>
  <c r="S153" i="9" l="1"/>
  <c r="R152" i="9"/>
  <c r="G125" i="9"/>
  <c r="E124" i="9"/>
  <c r="F124" i="9" s="1"/>
  <c r="R153" i="9" l="1"/>
  <c r="S154" i="9"/>
  <c r="G126" i="9"/>
  <c r="E125" i="9"/>
  <c r="F125" i="9" s="1"/>
  <c r="S155" i="9" l="1"/>
  <c r="R154" i="9"/>
  <c r="G127" i="9"/>
  <c r="E126" i="9"/>
  <c r="F126" i="9" s="1"/>
  <c r="R155" i="9" l="1"/>
  <c r="S156" i="9"/>
  <c r="G128" i="9"/>
  <c r="E127" i="9"/>
  <c r="F127" i="9" s="1"/>
  <c r="S157" i="9" l="1"/>
  <c r="R156" i="9"/>
  <c r="G129" i="9"/>
  <c r="E128" i="9"/>
  <c r="F128" i="9" s="1"/>
  <c r="R157" i="9" l="1"/>
  <c r="S158" i="9"/>
  <c r="G130" i="9"/>
  <c r="E129" i="9"/>
  <c r="F129" i="9" s="1"/>
  <c r="R158" i="9" l="1"/>
  <c r="S159" i="9"/>
  <c r="G131" i="9"/>
  <c r="E130" i="9"/>
  <c r="F130" i="9" s="1"/>
  <c r="S160" i="9" l="1"/>
  <c r="R159" i="9"/>
  <c r="G132" i="9"/>
  <c r="E131" i="9"/>
  <c r="F131" i="9" s="1"/>
  <c r="S161" i="9" l="1"/>
  <c r="R160" i="9"/>
  <c r="G133" i="9"/>
  <c r="E132" i="9"/>
  <c r="F132" i="9" s="1"/>
  <c r="S162" i="9" l="1"/>
  <c r="R161" i="9"/>
  <c r="G134" i="9"/>
  <c r="E133" i="9"/>
  <c r="F133" i="9" s="1"/>
  <c r="R162" i="9" l="1"/>
  <c r="S163" i="9"/>
  <c r="G135" i="9"/>
  <c r="E134" i="9"/>
  <c r="F134" i="9" s="1"/>
  <c r="S164" i="9" l="1"/>
  <c r="R163" i="9"/>
  <c r="G136" i="9"/>
  <c r="E135" i="9"/>
  <c r="F135" i="9" s="1"/>
  <c r="R164" i="9" l="1"/>
  <c r="S165" i="9"/>
  <c r="G137" i="9"/>
  <c r="E136" i="9"/>
  <c r="F136" i="9" s="1"/>
  <c r="S166" i="9" l="1"/>
  <c r="R165" i="9"/>
  <c r="G138" i="9"/>
  <c r="E137" i="9"/>
  <c r="F137" i="9" s="1"/>
  <c r="S167" i="9" l="1"/>
  <c r="R166" i="9"/>
  <c r="E138" i="9"/>
  <c r="F138" i="9" s="1"/>
  <c r="G139" i="9"/>
  <c r="S168" i="9" l="1"/>
  <c r="R167" i="9"/>
  <c r="E139" i="9"/>
  <c r="F139" i="9" s="1"/>
  <c r="G140" i="9"/>
  <c r="S169" i="9" l="1"/>
  <c r="R168" i="9"/>
  <c r="E140" i="9"/>
  <c r="F140" i="9" s="1"/>
  <c r="G141" i="9"/>
  <c r="S170" i="9" l="1"/>
  <c r="R169" i="9"/>
  <c r="G142" i="9"/>
  <c r="E141" i="9"/>
  <c r="F141" i="9" s="1"/>
  <c r="S171" i="9" l="1"/>
  <c r="R170" i="9"/>
  <c r="E142" i="9"/>
  <c r="F142" i="9" s="1"/>
  <c r="G143" i="9"/>
  <c r="R171" i="9" l="1"/>
  <c r="S172" i="9"/>
  <c r="E143" i="9"/>
  <c r="F143" i="9" s="1"/>
  <c r="G144" i="9"/>
  <c r="S173" i="9" l="1"/>
  <c r="R172" i="9"/>
  <c r="G145" i="9"/>
  <c r="E144" i="9"/>
  <c r="F144" i="9" s="1"/>
  <c r="S174" i="9" l="1"/>
  <c r="R173" i="9"/>
  <c r="E145" i="9"/>
  <c r="F145" i="9" s="1"/>
  <c r="G146" i="9"/>
  <c r="R174" i="9" l="1"/>
  <c r="S175" i="9"/>
  <c r="E146" i="9"/>
  <c r="F146" i="9" s="1"/>
  <c r="G147" i="9"/>
  <c r="R175" i="9" l="1"/>
  <c r="S176" i="9"/>
  <c r="G148" i="9"/>
  <c r="E147" i="9"/>
  <c r="F147" i="9" s="1"/>
  <c r="S177" i="9" l="1"/>
  <c r="R176" i="9"/>
  <c r="G149" i="9"/>
  <c r="E148" i="9"/>
  <c r="F148" i="9" s="1"/>
  <c r="R177" i="9" l="1"/>
  <c r="S178" i="9"/>
  <c r="E149" i="9"/>
  <c r="F149" i="9" s="1"/>
  <c r="G150" i="9"/>
  <c r="R178" i="9" l="1"/>
  <c r="S179" i="9"/>
  <c r="G151" i="9"/>
  <c r="E150" i="9"/>
  <c r="F150" i="9" s="1"/>
  <c r="S180" i="9" l="1"/>
  <c r="R179" i="9"/>
  <c r="E151" i="9"/>
  <c r="F151" i="9" s="1"/>
  <c r="G152" i="9"/>
  <c r="S181" i="9" l="1"/>
  <c r="R180" i="9"/>
  <c r="E152" i="9"/>
  <c r="F152" i="9" s="1"/>
  <c r="G153" i="9"/>
  <c r="R181" i="9" l="1"/>
  <c r="S182" i="9"/>
  <c r="G154" i="9"/>
  <c r="E153" i="9"/>
  <c r="F153" i="9" s="1"/>
  <c r="R182" i="9" l="1"/>
  <c r="S183" i="9"/>
  <c r="E154" i="9"/>
  <c r="F154" i="9" s="1"/>
  <c r="G155" i="9"/>
  <c r="R183" i="9" l="1"/>
  <c r="S184" i="9"/>
  <c r="E155" i="9"/>
  <c r="F155" i="9" s="1"/>
  <c r="G156" i="9"/>
  <c r="S185" i="9" l="1"/>
  <c r="R184" i="9"/>
  <c r="G157" i="9"/>
  <c r="E156" i="9"/>
  <c r="F156" i="9" s="1"/>
  <c r="S186" i="9" l="1"/>
  <c r="R185" i="9"/>
  <c r="G158" i="9"/>
  <c r="E157" i="9"/>
  <c r="F157" i="9" s="1"/>
  <c r="S187" i="9" l="1"/>
  <c r="R186" i="9"/>
  <c r="E158" i="9"/>
  <c r="F158" i="9" s="1"/>
  <c r="G159" i="9"/>
  <c r="S188" i="9" l="1"/>
  <c r="R187" i="9"/>
  <c r="G160" i="9"/>
  <c r="E159" i="9"/>
  <c r="F159" i="9" s="1"/>
  <c r="R188" i="9" l="1"/>
  <c r="S189" i="9"/>
  <c r="G161" i="9"/>
  <c r="E160" i="9"/>
  <c r="F160" i="9" s="1"/>
  <c r="R189" i="9" l="1"/>
  <c r="S190" i="9"/>
  <c r="E161" i="9"/>
  <c r="F161" i="9" s="1"/>
  <c r="G162" i="9"/>
  <c r="S191" i="9" l="1"/>
  <c r="R190" i="9"/>
  <c r="G163" i="9"/>
  <c r="E162" i="9"/>
  <c r="F162" i="9" s="1"/>
  <c r="S192" i="9" l="1"/>
  <c r="R191" i="9"/>
  <c r="E163" i="9"/>
  <c r="F163" i="9" s="1"/>
  <c r="G164" i="9"/>
  <c r="R192" i="9" l="1"/>
  <c r="S193" i="9"/>
  <c r="E164" i="9"/>
  <c r="F164" i="9" s="1"/>
  <c r="G165" i="9"/>
  <c r="R193" i="9" l="1"/>
  <c r="S194" i="9"/>
  <c r="G166" i="9"/>
  <c r="E165" i="9"/>
  <c r="F165" i="9" s="1"/>
  <c r="S195" i="9" l="1"/>
  <c r="R194" i="9"/>
  <c r="E166" i="9"/>
  <c r="F166" i="9" s="1"/>
  <c r="G167" i="9"/>
  <c r="R195" i="9" l="1"/>
  <c r="S196" i="9"/>
  <c r="G168" i="9"/>
  <c r="E167" i="9"/>
  <c r="F167" i="9" s="1"/>
  <c r="S197" i="9" l="1"/>
  <c r="R196" i="9"/>
  <c r="G169" i="9"/>
  <c r="E168" i="9"/>
  <c r="F168" i="9" s="1"/>
  <c r="R197" i="9" l="1"/>
  <c r="S198" i="9"/>
  <c r="G170" i="9"/>
  <c r="E169" i="9"/>
  <c r="F169" i="9" s="1"/>
  <c r="R198" i="9" l="1"/>
  <c r="S199" i="9"/>
  <c r="E170" i="9"/>
  <c r="F170" i="9" s="1"/>
  <c r="G171" i="9"/>
  <c r="S200" i="9" l="1"/>
  <c r="R199" i="9"/>
  <c r="G172" i="9"/>
  <c r="E171" i="9"/>
  <c r="F171" i="9" s="1"/>
  <c r="S201" i="9" l="1"/>
  <c r="R200" i="9"/>
  <c r="G173" i="9"/>
  <c r="E172" i="9"/>
  <c r="F172" i="9" s="1"/>
  <c r="R201" i="9" l="1"/>
  <c r="S202" i="9"/>
  <c r="E173" i="9"/>
  <c r="F173" i="9" s="1"/>
  <c r="G174" i="9"/>
  <c r="S203" i="9" l="1"/>
  <c r="R202" i="9"/>
  <c r="G175" i="9"/>
  <c r="E174" i="9"/>
  <c r="F174" i="9" s="1"/>
  <c r="R203" i="9" l="1"/>
  <c r="S204" i="9"/>
  <c r="G176" i="9"/>
  <c r="E175" i="9"/>
  <c r="F175" i="9" s="1"/>
  <c r="R204" i="9" l="1"/>
  <c r="S205" i="9"/>
  <c r="E176" i="9"/>
  <c r="F176" i="9" s="1"/>
  <c r="G177" i="9"/>
  <c r="R205" i="9" l="1"/>
  <c r="S206" i="9"/>
  <c r="G178" i="9"/>
  <c r="E177" i="9"/>
  <c r="F177" i="9" s="1"/>
  <c r="S207" i="9" l="1"/>
  <c r="R206" i="9"/>
  <c r="G179" i="9"/>
  <c r="E178" i="9"/>
  <c r="F178" i="9" s="1"/>
  <c r="S208" i="9" l="1"/>
  <c r="R207" i="9"/>
  <c r="E179" i="9"/>
  <c r="F179" i="9" s="1"/>
  <c r="G180" i="9"/>
  <c r="R208" i="9" l="1"/>
  <c r="S209" i="9"/>
  <c r="G181" i="9"/>
  <c r="E180" i="9"/>
  <c r="F180" i="9" s="1"/>
  <c r="S210" i="9" l="1"/>
  <c r="R209" i="9"/>
  <c r="E181" i="9"/>
  <c r="F181" i="9" s="1"/>
  <c r="G182" i="9"/>
  <c r="R210" i="9" l="1"/>
  <c r="S211" i="9"/>
  <c r="E182" i="9"/>
  <c r="F182" i="9" s="1"/>
  <c r="G183" i="9"/>
  <c r="R211" i="9" l="1"/>
  <c r="S212" i="9"/>
  <c r="E183" i="9"/>
  <c r="F183" i="9" s="1"/>
  <c r="G184" i="9"/>
  <c r="R212" i="9" l="1"/>
  <c r="S213" i="9"/>
  <c r="G185" i="9"/>
  <c r="E184" i="9"/>
  <c r="F184" i="9" s="1"/>
  <c r="R213" i="9" l="1"/>
  <c r="S214" i="9"/>
  <c r="G186" i="9"/>
  <c r="E185" i="9"/>
  <c r="F185" i="9" s="1"/>
  <c r="S215" i="9" l="1"/>
  <c r="R214" i="9"/>
  <c r="G187" i="9"/>
  <c r="E186" i="9"/>
  <c r="F186" i="9" s="1"/>
  <c r="R215" i="9" l="1"/>
  <c r="S216" i="9"/>
  <c r="G188" i="9"/>
  <c r="E187" i="9"/>
  <c r="F187" i="9" s="1"/>
  <c r="R216" i="9" l="1"/>
  <c r="S217" i="9"/>
  <c r="E188" i="9"/>
  <c r="F188" i="9" s="1"/>
  <c r="G189" i="9"/>
  <c r="S218" i="9" l="1"/>
  <c r="R217" i="9"/>
  <c r="G190" i="9"/>
  <c r="E189" i="9"/>
  <c r="F189" i="9" s="1"/>
  <c r="S219" i="9" l="1"/>
  <c r="R218" i="9"/>
  <c r="E190" i="9"/>
  <c r="F190" i="9" s="1"/>
  <c r="G191" i="9"/>
  <c r="R219" i="9" l="1"/>
  <c r="S220" i="9"/>
  <c r="E191" i="9"/>
  <c r="F191" i="9" s="1"/>
  <c r="G192" i="9"/>
  <c r="R220" i="9" l="1"/>
  <c r="S221" i="9"/>
  <c r="G193" i="9"/>
  <c r="E192" i="9"/>
  <c r="F192" i="9" s="1"/>
  <c r="R221" i="9" l="1"/>
  <c r="S222" i="9"/>
  <c r="G194" i="9"/>
  <c r="E193" i="9"/>
  <c r="F193" i="9" s="1"/>
  <c r="R222" i="9" l="1"/>
  <c r="S223" i="9"/>
  <c r="E194" i="9"/>
  <c r="F194" i="9" s="1"/>
  <c r="G195" i="9"/>
  <c r="S224" i="9" l="1"/>
  <c r="R223" i="9"/>
  <c r="E195" i="9"/>
  <c r="F195" i="9" s="1"/>
  <c r="G196" i="9"/>
  <c r="R224" i="9" l="1"/>
  <c r="S225" i="9"/>
  <c r="G197" i="9"/>
  <c r="E196" i="9"/>
  <c r="F196" i="9" s="1"/>
  <c r="S226" i="9" l="1"/>
  <c r="R225" i="9"/>
  <c r="E197" i="9"/>
  <c r="F197" i="9" s="1"/>
  <c r="G198" i="9"/>
  <c r="S227" i="9" l="1"/>
  <c r="R226" i="9"/>
  <c r="G199" i="9"/>
  <c r="E198" i="9"/>
  <c r="F198" i="9" s="1"/>
  <c r="S228" i="9" l="1"/>
  <c r="R227" i="9"/>
  <c r="G200" i="9"/>
  <c r="E199" i="9"/>
  <c r="F199" i="9" s="1"/>
  <c r="R228" i="9" l="1"/>
  <c r="S229" i="9"/>
  <c r="E200" i="9"/>
  <c r="F200" i="9" s="1"/>
  <c r="G201" i="9"/>
  <c r="S230" i="9" l="1"/>
  <c r="R229" i="9"/>
  <c r="G202" i="9"/>
  <c r="E201" i="9"/>
  <c r="F201" i="9" s="1"/>
  <c r="S231" i="9" l="1"/>
  <c r="R230" i="9"/>
  <c r="E202" i="9"/>
  <c r="F202" i="9" s="1"/>
  <c r="G203" i="9"/>
  <c r="S232" i="9" l="1"/>
  <c r="R231" i="9"/>
  <c r="G204" i="9"/>
  <c r="E203" i="9"/>
  <c r="F203" i="9" s="1"/>
  <c r="R232" i="9" l="1"/>
  <c r="S233" i="9"/>
  <c r="G205" i="9"/>
  <c r="E204" i="9"/>
  <c r="F204" i="9" s="1"/>
  <c r="S234" i="9" l="1"/>
  <c r="R233" i="9"/>
  <c r="G206" i="9"/>
  <c r="E205" i="9"/>
  <c r="F205" i="9" s="1"/>
  <c r="S235" i="9" l="1"/>
  <c r="R234" i="9"/>
  <c r="G207" i="9"/>
  <c r="E206" i="9"/>
  <c r="F206" i="9" s="1"/>
  <c r="S236" i="9" l="1"/>
  <c r="R235" i="9"/>
  <c r="G208" i="9"/>
  <c r="E207" i="9"/>
  <c r="F207" i="9" s="1"/>
  <c r="S237" i="9" l="1"/>
  <c r="R236" i="9"/>
  <c r="G209" i="9"/>
  <c r="E208" i="9"/>
  <c r="F208" i="9" s="1"/>
  <c r="R237" i="9" l="1"/>
  <c r="S238" i="9"/>
  <c r="G210" i="9"/>
  <c r="E209" i="9"/>
  <c r="F209" i="9" s="1"/>
  <c r="S239" i="9" l="1"/>
  <c r="R238" i="9"/>
  <c r="G211" i="9"/>
  <c r="E210" i="9"/>
  <c r="F210" i="9" s="1"/>
  <c r="S240" i="9" l="1"/>
  <c r="R239" i="9"/>
  <c r="E211" i="9"/>
  <c r="F211" i="9" s="1"/>
  <c r="G212" i="9"/>
  <c r="R240" i="9" l="1"/>
  <c r="S241" i="9"/>
  <c r="G213" i="9"/>
  <c r="E212" i="9"/>
  <c r="F212" i="9" s="1"/>
  <c r="S242" i="9" l="1"/>
  <c r="R241" i="9"/>
  <c r="G214" i="9"/>
  <c r="E213" i="9"/>
  <c r="F213" i="9" s="1"/>
  <c r="R242" i="9" l="1"/>
  <c r="S243" i="9"/>
  <c r="G215" i="9"/>
  <c r="E214" i="9"/>
  <c r="F214" i="9" s="1"/>
  <c r="S244" i="9" l="1"/>
  <c r="R243" i="9"/>
  <c r="G216" i="9"/>
  <c r="E215" i="9"/>
  <c r="F215" i="9" s="1"/>
  <c r="S245" i="9" l="1"/>
  <c r="R244" i="9"/>
  <c r="G217" i="9"/>
  <c r="E216" i="9"/>
  <c r="F216" i="9" s="1"/>
  <c r="S246" i="9" l="1"/>
  <c r="R245" i="9"/>
  <c r="E217" i="9"/>
  <c r="F217" i="9" s="1"/>
  <c r="G218" i="9"/>
  <c r="S247" i="9" l="1"/>
  <c r="R246" i="9"/>
  <c r="E218" i="9"/>
  <c r="F218" i="9" s="1"/>
  <c r="G219" i="9"/>
  <c r="S248" i="9" l="1"/>
  <c r="R247" i="9"/>
  <c r="G220" i="9"/>
  <c r="E219" i="9"/>
  <c r="F219" i="9" s="1"/>
  <c r="R248" i="9" l="1"/>
  <c r="S249" i="9"/>
  <c r="G221" i="9"/>
  <c r="E220" i="9"/>
  <c r="F220" i="9" s="1"/>
  <c r="S250" i="9" l="1"/>
  <c r="R249" i="9"/>
  <c r="E221" i="9"/>
  <c r="F221" i="9" s="1"/>
  <c r="G222" i="9"/>
  <c r="R250" i="9" l="1"/>
  <c r="S251" i="9"/>
  <c r="G223" i="9"/>
  <c r="E222" i="9"/>
  <c r="F222" i="9" s="1"/>
  <c r="S252" i="9" l="1"/>
  <c r="R251" i="9"/>
  <c r="E223" i="9"/>
  <c r="F223" i="9" s="1"/>
  <c r="G224" i="9"/>
  <c r="R252" i="9" l="1"/>
  <c r="S253" i="9"/>
  <c r="E224" i="9"/>
  <c r="F224" i="9" s="1"/>
  <c r="G225" i="9"/>
  <c r="R253" i="9" l="1"/>
  <c r="S254" i="9"/>
  <c r="G226" i="9"/>
  <c r="E225" i="9"/>
  <c r="F225" i="9" s="1"/>
  <c r="R254" i="9" l="1"/>
  <c r="S255" i="9"/>
  <c r="G227" i="9"/>
  <c r="E226" i="9"/>
  <c r="F226" i="9" s="1"/>
  <c r="S256" i="9" l="1"/>
  <c r="R255" i="9"/>
  <c r="G228" i="9"/>
  <c r="E227" i="9"/>
  <c r="F227" i="9" s="1"/>
  <c r="S257" i="9" l="1"/>
  <c r="R256" i="9"/>
  <c r="G229" i="9"/>
  <c r="E228" i="9"/>
  <c r="F228" i="9" s="1"/>
  <c r="S258" i="9" l="1"/>
  <c r="R257" i="9"/>
  <c r="E229" i="9"/>
  <c r="F229" i="9" s="1"/>
  <c r="G230" i="9"/>
  <c r="R258" i="9" l="1"/>
  <c r="S259" i="9"/>
  <c r="G231" i="9"/>
  <c r="E230" i="9"/>
  <c r="F230" i="9" s="1"/>
  <c r="R259" i="9" l="1"/>
  <c r="S260" i="9"/>
  <c r="G232" i="9"/>
  <c r="E231" i="9"/>
  <c r="F231" i="9" s="1"/>
  <c r="S261" i="9" l="1"/>
  <c r="R260" i="9"/>
  <c r="E232" i="9"/>
  <c r="F232" i="9" s="1"/>
  <c r="G233" i="9"/>
  <c r="R261" i="9" l="1"/>
  <c r="S262" i="9"/>
  <c r="E233" i="9"/>
  <c r="F233" i="9" s="1"/>
  <c r="G234" i="9"/>
  <c r="S263" i="9" l="1"/>
  <c r="R262" i="9"/>
  <c r="G235" i="9"/>
  <c r="E234" i="9"/>
  <c r="F234" i="9" s="1"/>
  <c r="S264" i="9" l="1"/>
  <c r="R263" i="9"/>
  <c r="G236" i="9"/>
  <c r="E235" i="9"/>
  <c r="F235" i="9" s="1"/>
  <c r="S265" i="9" l="1"/>
  <c r="R264" i="9"/>
  <c r="G237" i="9"/>
  <c r="E236" i="9"/>
  <c r="F236" i="9" s="1"/>
  <c r="S266" i="9" l="1"/>
  <c r="R265" i="9"/>
  <c r="G238" i="9"/>
  <c r="E237" i="9"/>
  <c r="F237" i="9" s="1"/>
  <c r="S267" i="9" l="1"/>
  <c r="R266" i="9"/>
  <c r="E238" i="9"/>
  <c r="F238" i="9" s="1"/>
  <c r="G239" i="9"/>
  <c r="S268" i="9" l="1"/>
  <c r="R267" i="9"/>
  <c r="E239" i="9"/>
  <c r="F239" i="9" s="1"/>
  <c r="G240" i="9"/>
  <c r="R268" i="9" l="1"/>
  <c r="S269" i="9"/>
  <c r="G241" i="9"/>
  <c r="E240" i="9"/>
  <c r="F240" i="9" s="1"/>
  <c r="R269" i="9" l="1"/>
  <c r="S270" i="9"/>
  <c r="G242" i="9"/>
  <c r="E241" i="9"/>
  <c r="F241" i="9" s="1"/>
  <c r="S271" i="9" l="1"/>
  <c r="R270" i="9"/>
  <c r="G243" i="9"/>
  <c r="E242" i="9"/>
  <c r="F242" i="9" s="1"/>
  <c r="S272" i="9" l="1"/>
  <c r="R271" i="9"/>
  <c r="G244" i="9"/>
  <c r="E243" i="9"/>
  <c r="F243" i="9" s="1"/>
  <c r="R272" i="9" l="1"/>
  <c r="S273" i="9"/>
  <c r="E244" i="9"/>
  <c r="F244" i="9" s="1"/>
  <c r="G245" i="9"/>
  <c r="S274" i="9" l="1"/>
  <c r="R273" i="9"/>
  <c r="G246" i="9"/>
  <c r="E245" i="9"/>
  <c r="F245" i="9" s="1"/>
  <c r="S275" i="9" l="1"/>
  <c r="R274" i="9"/>
  <c r="G247" i="9"/>
  <c r="E246" i="9"/>
  <c r="F246" i="9" s="1"/>
  <c r="S276" i="9" l="1"/>
  <c r="R275" i="9"/>
  <c r="E247" i="9"/>
  <c r="F247" i="9" s="1"/>
  <c r="G248" i="9"/>
  <c r="S277" i="9" l="1"/>
  <c r="R276" i="9"/>
  <c r="E248" i="9"/>
  <c r="F248" i="9" s="1"/>
  <c r="G249" i="9"/>
  <c r="S278" i="9" l="1"/>
  <c r="R277" i="9"/>
  <c r="G250" i="9"/>
  <c r="E249" i="9"/>
  <c r="F249" i="9" s="1"/>
  <c r="S279" i="9" l="1"/>
  <c r="R278" i="9"/>
  <c r="E250" i="9"/>
  <c r="F250" i="9" s="1"/>
  <c r="G251" i="9"/>
  <c r="S280" i="9" l="1"/>
  <c r="R279" i="9"/>
  <c r="E251" i="9"/>
  <c r="F251" i="9" s="1"/>
  <c r="G252" i="9"/>
  <c r="R280" i="9" l="1"/>
  <c r="S281" i="9"/>
  <c r="G253" i="9"/>
  <c r="E252" i="9"/>
  <c r="F252" i="9" s="1"/>
  <c r="R281" i="9" l="1"/>
  <c r="S282" i="9"/>
  <c r="G254" i="9"/>
  <c r="E253" i="9"/>
  <c r="F253" i="9" s="1"/>
  <c r="S283" i="9" l="1"/>
  <c r="R282" i="9"/>
  <c r="G255" i="9"/>
  <c r="E254" i="9"/>
  <c r="F254" i="9" s="1"/>
  <c r="R283" i="9" l="1"/>
  <c r="S284" i="9"/>
  <c r="G256" i="9"/>
  <c r="E255" i="9"/>
  <c r="F255" i="9" s="1"/>
  <c r="S285" i="9" l="1"/>
  <c r="R284" i="9"/>
  <c r="G257" i="9"/>
  <c r="E256" i="9"/>
  <c r="F256" i="9" s="1"/>
  <c r="R285" i="9" l="1"/>
  <c r="S286" i="9"/>
  <c r="E257" i="9"/>
  <c r="F257" i="9" s="1"/>
  <c r="G258" i="9"/>
  <c r="S287" i="9" l="1"/>
  <c r="R286" i="9"/>
  <c r="G259" i="9"/>
  <c r="E258" i="9"/>
  <c r="F258" i="9" s="1"/>
  <c r="S288" i="9" l="1"/>
  <c r="R287" i="9"/>
  <c r="G260" i="9"/>
  <c r="E259" i="9"/>
  <c r="F259" i="9" s="1"/>
  <c r="S289" i="9" l="1"/>
  <c r="R288" i="9"/>
  <c r="G261" i="9"/>
  <c r="E260" i="9"/>
  <c r="F260" i="9" s="1"/>
  <c r="R289" i="9" l="1"/>
  <c r="S290" i="9"/>
  <c r="G262" i="9"/>
  <c r="E261" i="9"/>
  <c r="F261" i="9" s="1"/>
  <c r="R290" i="9" l="1"/>
  <c r="S291" i="9"/>
  <c r="G263" i="9"/>
  <c r="E262" i="9"/>
  <c r="F262" i="9" s="1"/>
  <c r="S292" i="9" l="1"/>
  <c r="R291" i="9"/>
  <c r="E263" i="9"/>
  <c r="F263" i="9" s="1"/>
  <c r="G264" i="9"/>
  <c r="S293" i="9" l="1"/>
  <c r="R292" i="9"/>
  <c r="G265" i="9"/>
  <c r="E264" i="9"/>
  <c r="F264" i="9" s="1"/>
  <c r="R293" i="9" l="1"/>
  <c r="S294" i="9"/>
  <c r="G266" i="9"/>
  <c r="E265" i="9"/>
  <c r="F265" i="9" s="1"/>
  <c r="S295" i="9" l="1"/>
  <c r="R294" i="9"/>
  <c r="E266" i="9"/>
  <c r="F266" i="9" s="1"/>
  <c r="G267" i="9"/>
  <c r="R295" i="9" l="1"/>
  <c r="S296" i="9"/>
  <c r="E267" i="9"/>
  <c r="F267" i="9" s="1"/>
  <c r="G268" i="9"/>
  <c r="S297" i="9" l="1"/>
  <c r="R296" i="9"/>
  <c r="E268" i="9"/>
  <c r="F268" i="9" s="1"/>
  <c r="G269" i="9"/>
  <c r="R297" i="9" l="1"/>
  <c r="S298" i="9"/>
  <c r="G270" i="9"/>
  <c r="E269" i="9"/>
  <c r="F269" i="9" s="1"/>
  <c r="S299" i="9" l="1"/>
  <c r="R298" i="9"/>
  <c r="G271" i="9"/>
  <c r="E270" i="9"/>
  <c r="F270" i="9" s="1"/>
  <c r="R299" i="9" l="1"/>
  <c r="S300" i="9"/>
  <c r="E271" i="9"/>
  <c r="F271" i="9" s="1"/>
  <c r="G272" i="9"/>
  <c r="S301" i="9" l="1"/>
  <c r="R300" i="9"/>
  <c r="E272" i="9"/>
  <c r="F272" i="9" s="1"/>
  <c r="G273" i="9"/>
  <c r="S302" i="9" l="1"/>
  <c r="R301" i="9"/>
  <c r="G274" i="9"/>
  <c r="E273" i="9"/>
  <c r="F273" i="9" s="1"/>
  <c r="R302" i="9" l="1"/>
  <c r="S303" i="9"/>
  <c r="G275" i="9"/>
  <c r="E274" i="9"/>
  <c r="F274" i="9" s="1"/>
  <c r="S304" i="9" l="1"/>
  <c r="R303" i="9"/>
  <c r="G276" i="9"/>
  <c r="E275" i="9"/>
  <c r="F275" i="9" s="1"/>
  <c r="S305" i="9" l="1"/>
  <c r="R304" i="9"/>
  <c r="E276" i="9"/>
  <c r="F276" i="9" s="1"/>
  <c r="G277" i="9"/>
  <c r="S306" i="9" l="1"/>
  <c r="R305" i="9"/>
  <c r="G278" i="9"/>
  <c r="E277" i="9"/>
  <c r="F277" i="9" s="1"/>
  <c r="S307" i="9" l="1"/>
  <c r="R306" i="9"/>
  <c r="E278" i="9"/>
  <c r="F278" i="9" s="1"/>
  <c r="G279" i="9"/>
  <c r="R307" i="9" l="1"/>
  <c r="S308" i="9"/>
  <c r="E279" i="9"/>
  <c r="F279" i="9" s="1"/>
  <c r="G280" i="9"/>
  <c r="S309" i="9" l="1"/>
  <c r="R308" i="9"/>
  <c r="E280" i="9"/>
  <c r="F280" i="9" s="1"/>
  <c r="G281" i="9"/>
  <c r="S310" i="9" l="1"/>
  <c r="R309" i="9"/>
  <c r="G282" i="9"/>
  <c r="E281" i="9"/>
  <c r="F281" i="9" s="1"/>
  <c r="S311" i="9" l="1"/>
  <c r="R310" i="9"/>
  <c r="G283" i="9"/>
  <c r="E282" i="9"/>
  <c r="F282" i="9" s="1"/>
  <c r="S312" i="9" l="1"/>
  <c r="R311" i="9"/>
  <c r="E283" i="9"/>
  <c r="F283" i="9" s="1"/>
  <c r="G284" i="9"/>
  <c r="S313" i="9" l="1"/>
  <c r="R312" i="9"/>
  <c r="E284" i="9"/>
  <c r="F284" i="9" s="1"/>
  <c r="G285" i="9"/>
  <c r="R313" i="9" l="1"/>
  <c r="S314" i="9"/>
  <c r="G286" i="9"/>
  <c r="E285" i="9"/>
  <c r="F285" i="9" s="1"/>
  <c r="S315" i="9" l="1"/>
  <c r="R314" i="9"/>
  <c r="G287" i="9"/>
  <c r="E286" i="9"/>
  <c r="F286" i="9" s="1"/>
  <c r="S316" i="9" l="1"/>
  <c r="R315" i="9"/>
  <c r="G288" i="9"/>
  <c r="E287" i="9"/>
  <c r="F287" i="9" s="1"/>
  <c r="S317" i="9" l="1"/>
  <c r="R316" i="9"/>
  <c r="E288" i="9"/>
  <c r="F288" i="9" s="1"/>
  <c r="G289" i="9"/>
  <c r="S318" i="9" l="1"/>
  <c r="R317" i="9"/>
  <c r="G290" i="9"/>
  <c r="E289" i="9"/>
  <c r="F289" i="9" s="1"/>
  <c r="S319" i="9" l="1"/>
  <c r="R318" i="9"/>
  <c r="E290" i="9"/>
  <c r="F290" i="9" s="1"/>
  <c r="G291" i="9"/>
  <c r="S320" i="9" l="1"/>
  <c r="R319" i="9"/>
  <c r="G292" i="9"/>
  <c r="E291" i="9"/>
  <c r="F291" i="9" s="1"/>
  <c r="S321" i="9" l="1"/>
  <c r="R320" i="9"/>
  <c r="E292" i="9"/>
  <c r="F292" i="9" s="1"/>
  <c r="G293" i="9"/>
  <c r="R321" i="9" l="1"/>
  <c r="S322" i="9"/>
  <c r="E293" i="9"/>
  <c r="F293" i="9" s="1"/>
  <c r="G294" i="9"/>
  <c r="R322" i="9" l="1"/>
  <c r="S323" i="9"/>
  <c r="E294" i="9"/>
  <c r="F294" i="9" s="1"/>
  <c r="G295" i="9"/>
  <c r="S324" i="9" l="1"/>
  <c r="R323" i="9"/>
  <c r="G296" i="9"/>
  <c r="E295" i="9"/>
  <c r="F295" i="9" s="1"/>
  <c r="S325" i="9" l="1"/>
  <c r="R324" i="9"/>
  <c r="G297" i="9"/>
  <c r="E296" i="9"/>
  <c r="F296" i="9" s="1"/>
  <c r="R325" i="9" l="1"/>
  <c r="S326" i="9"/>
  <c r="G298" i="9"/>
  <c r="E297" i="9"/>
  <c r="F297" i="9" s="1"/>
  <c r="S327" i="9" l="1"/>
  <c r="R326" i="9"/>
  <c r="E298" i="9"/>
  <c r="F298" i="9" s="1"/>
  <c r="G299" i="9"/>
  <c r="S328" i="9" l="1"/>
  <c r="R327" i="9"/>
  <c r="G300" i="9"/>
  <c r="E299" i="9"/>
  <c r="F299" i="9" s="1"/>
  <c r="S329" i="9" l="1"/>
  <c r="R328" i="9"/>
  <c r="G301" i="9"/>
  <c r="E300" i="9"/>
  <c r="F300" i="9" s="1"/>
  <c r="R329" i="9" l="1"/>
  <c r="S330" i="9"/>
  <c r="G302" i="9"/>
  <c r="E301" i="9"/>
  <c r="F301" i="9" s="1"/>
  <c r="S331" i="9" l="1"/>
  <c r="R330" i="9"/>
  <c r="G303" i="9"/>
  <c r="E302" i="9"/>
  <c r="F302" i="9" s="1"/>
  <c r="R331" i="9" l="1"/>
  <c r="S332" i="9"/>
  <c r="G304" i="9"/>
  <c r="E303" i="9"/>
  <c r="F303" i="9" s="1"/>
  <c r="S333" i="9" l="1"/>
  <c r="R332" i="9"/>
  <c r="G305" i="9"/>
  <c r="E304" i="9"/>
  <c r="F304" i="9" s="1"/>
  <c r="R333" i="9" l="1"/>
  <c r="S334" i="9"/>
  <c r="E305" i="9"/>
  <c r="F305" i="9" s="1"/>
  <c r="G306" i="9"/>
  <c r="S335" i="9" l="1"/>
  <c r="R334" i="9"/>
  <c r="E306" i="9"/>
  <c r="F306" i="9" s="1"/>
  <c r="G307" i="9"/>
  <c r="R335" i="9" l="1"/>
  <c r="S336" i="9"/>
  <c r="G308" i="9"/>
  <c r="E307" i="9"/>
  <c r="F307" i="9" s="1"/>
  <c r="S337" i="9" l="1"/>
  <c r="R336" i="9"/>
  <c r="E308" i="9"/>
  <c r="F308" i="9" s="1"/>
  <c r="G309" i="9"/>
  <c r="R337" i="9" l="1"/>
  <c r="S338" i="9"/>
  <c r="G310" i="9"/>
  <c r="E309" i="9"/>
  <c r="F309" i="9" s="1"/>
  <c r="R338" i="9" l="1"/>
  <c r="S339" i="9"/>
  <c r="G311" i="9"/>
  <c r="E310" i="9"/>
  <c r="F310" i="9" s="1"/>
  <c r="R339" i="9" l="1"/>
  <c r="S340" i="9"/>
  <c r="G312" i="9"/>
  <c r="E311" i="9"/>
  <c r="F311" i="9" s="1"/>
  <c r="R340" i="9" l="1"/>
  <c r="S341" i="9"/>
  <c r="G313" i="9"/>
  <c r="E312" i="9"/>
  <c r="F312" i="9" s="1"/>
  <c r="S342" i="9" l="1"/>
  <c r="R341" i="9"/>
  <c r="G314" i="9"/>
  <c r="E313" i="9"/>
  <c r="F313" i="9" s="1"/>
  <c r="S343" i="9" l="1"/>
  <c r="R342" i="9"/>
  <c r="G315" i="9"/>
  <c r="E314" i="9"/>
  <c r="F314" i="9" s="1"/>
  <c r="S344" i="9" l="1"/>
  <c r="R343" i="9"/>
  <c r="E315" i="9"/>
  <c r="F315" i="9" s="1"/>
  <c r="G316" i="9"/>
  <c r="S345" i="9" l="1"/>
  <c r="R344" i="9"/>
  <c r="G317" i="9"/>
  <c r="E316" i="9"/>
  <c r="F316" i="9" s="1"/>
  <c r="S346" i="9" l="1"/>
  <c r="R345" i="9"/>
  <c r="G318" i="9"/>
  <c r="E317" i="9"/>
  <c r="F317" i="9" s="1"/>
  <c r="S347" i="9" l="1"/>
  <c r="R346" i="9"/>
  <c r="E318" i="9"/>
  <c r="F318" i="9" s="1"/>
  <c r="G319" i="9"/>
  <c r="S348" i="9" l="1"/>
  <c r="R347" i="9"/>
  <c r="G320" i="9"/>
  <c r="E319" i="9"/>
  <c r="F319" i="9" s="1"/>
  <c r="S349" i="9" l="1"/>
  <c r="R348" i="9"/>
  <c r="E320" i="9"/>
  <c r="F320" i="9" s="1"/>
  <c r="G321" i="9"/>
  <c r="S350" i="9" l="1"/>
  <c r="R349" i="9"/>
  <c r="G322" i="9"/>
  <c r="E321" i="9"/>
  <c r="F321" i="9" s="1"/>
  <c r="S351" i="9" l="1"/>
  <c r="R350" i="9"/>
  <c r="E322" i="9"/>
  <c r="F322" i="9" s="1"/>
  <c r="G323" i="9"/>
  <c r="S352" i="9" l="1"/>
  <c r="R351" i="9"/>
  <c r="G324" i="9"/>
  <c r="E323" i="9"/>
  <c r="F323" i="9" s="1"/>
  <c r="S353" i="9" l="1"/>
  <c r="R352" i="9"/>
  <c r="G325" i="9"/>
  <c r="E324" i="9"/>
  <c r="F324" i="9" s="1"/>
  <c r="S354" i="9" l="1"/>
  <c r="R353" i="9"/>
  <c r="G326" i="9"/>
  <c r="E325" i="9"/>
  <c r="F325" i="9" s="1"/>
  <c r="S355" i="9" l="1"/>
  <c r="R354" i="9"/>
  <c r="G327" i="9"/>
  <c r="E326" i="9"/>
  <c r="F326" i="9" s="1"/>
  <c r="R355" i="9" l="1"/>
  <c r="S356" i="9"/>
  <c r="R356" i="9" s="1"/>
  <c r="E327" i="9"/>
  <c r="F327" i="9" s="1"/>
  <c r="G328" i="9"/>
  <c r="G329" i="9" l="1"/>
  <c r="E328" i="9"/>
  <c r="F328" i="9" s="1"/>
  <c r="E329" i="9" l="1"/>
  <c r="F329" i="9" s="1"/>
  <c r="G330" i="9"/>
  <c r="E330" i="9" l="1"/>
  <c r="F330" i="9" s="1"/>
  <c r="G331" i="9"/>
  <c r="G332" i="9" l="1"/>
  <c r="E331" i="9"/>
  <c r="F331" i="9" s="1"/>
  <c r="E332" i="9" l="1"/>
  <c r="F332" i="9" s="1"/>
  <c r="G333" i="9"/>
  <c r="E333" i="9" l="1"/>
  <c r="F333" i="9" s="1"/>
  <c r="G334" i="9"/>
  <c r="G335" i="9" l="1"/>
  <c r="E334" i="9"/>
  <c r="F334" i="9" s="1"/>
  <c r="G336" i="9" l="1"/>
  <c r="E335" i="9"/>
  <c r="F335" i="9" s="1"/>
  <c r="G337" i="9" l="1"/>
  <c r="E336" i="9"/>
  <c r="F336" i="9" s="1"/>
  <c r="G338" i="9" l="1"/>
  <c r="E337" i="9"/>
  <c r="F337" i="9" s="1"/>
  <c r="E338" i="9" l="1"/>
  <c r="F338" i="9" s="1"/>
  <c r="G339" i="9"/>
  <c r="E339" i="9" l="1"/>
  <c r="F339" i="9" s="1"/>
  <c r="G340" i="9"/>
  <c r="G341" i="9" l="1"/>
  <c r="E340" i="9"/>
  <c r="F340" i="9" s="1"/>
  <c r="E341" i="9" l="1"/>
  <c r="F341" i="9" s="1"/>
  <c r="G342" i="9"/>
  <c r="E342" i="9" l="1"/>
  <c r="F342" i="9" s="1"/>
  <c r="G343" i="9"/>
  <c r="G344" i="9" l="1"/>
  <c r="E343" i="9"/>
  <c r="F343" i="9" s="1"/>
  <c r="E344" i="9" l="1"/>
  <c r="F344" i="9" s="1"/>
  <c r="G345" i="9"/>
  <c r="G346" i="9" l="1"/>
  <c r="E345" i="9"/>
  <c r="F345" i="9" s="1"/>
  <c r="G347" i="9" l="1"/>
  <c r="E346" i="9"/>
  <c r="F346" i="9" s="1"/>
  <c r="G348" i="9" l="1"/>
  <c r="E347" i="9"/>
  <c r="F347" i="9" s="1"/>
  <c r="G349" i="9" l="1"/>
  <c r="E348" i="9"/>
  <c r="F348" i="9" s="1"/>
  <c r="G350" i="9" l="1"/>
  <c r="E349" i="9"/>
  <c r="F349" i="9" s="1"/>
  <c r="G351" i="9" l="1"/>
  <c r="E350" i="9"/>
  <c r="F350" i="9" s="1"/>
  <c r="E351" i="9" l="1"/>
  <c r="F351" i="9" s="1"/>
  <c r="G352" i="9"/>
  <c r="G353" i="9" l="1"/>
  <c r="E352" i="9"/>
  <c r="F352" i="9" s="1"/>
  <c r="G354" i="9" l="1"/>
  <c r="E353" i="9"/>
  <c r="F353" i="9" s="1"/>
  <c r="E354" i="9" l="1"/>
  <c r="F354" i="9" s="1"/>
  <c r="G355" i="9"/>
  <c r="G356" i="9" l="1"/>
  <c r="E355" i="9"/>
  <c r="F355" i="9" s="1"/>
  <c r="E356" i="9" l="1"/>
  <c r="F356" i="9" s="1"/>
  <c r="G357" i="9"/>
  <c r="G358" i="9" l="1"/>
  <c r="E357" i="9"/>
  <c r="F357" i="9" s="1"/>
  <c r="E358" i="9" l="1"/>
  <c r="F358" i="9" s="1"/>
  <c r="G359" i="9"/>
  <c r="G360" i="9" l="1"/>
  <c r="E359" i="9"/>
  <c r="F359" i="9" s="1"/>
  <c r="E360" i="9" l="1"/>
  <c r="F360" i="9" s="1"/>
  <c r="G361" i="9"/>
  <c r="G362" i="9" l="1"/>
  <c r="E361" i="9"/>
  <c r="F361" i="9" s="1"/>
  <c r="E362" i="9" l="1"/>
  <c r="F362" i="9" s="1"/>
  <c r="G363" i="9"/>
  <c r="G364" i="9" l="1"/>
  <c r="E363" i="9"/>
  <c r="F363" i="9" s="1"/>
  <c r="E364" i="9" l="1"/>
  <c r="F364" i="9" s="1"/>
  <c r="G365" i="9"/>
  <c r="G366" i="9" l="1"/>
  <c r="E365" i="9"/>
  <c r="F365" i="9" s="1"/>
  <c r="E366" i="9" l="1"/>
  <c r="F366" i="9" s="1"/>
  <c r="G367" i="9"/>
  <c r="G368" i="9" l="1"/>
  <c r="E367" i="9"/>
  <c r="F367" i="9" s="1"/>
  <c r="G369" i="9" l="1"/>
  <c r="E368" i="9"/>
  <c r="F368" i="9" s="1"/>
  <c r="G370" i="9" l="1"/>
  <c r="E369" i="9"/>
  <c r="F369" i="9" s="1"/>
  <c r="E370" i="9" l="1"/>
  <c r="F370" i="9" s="1"/>
  <c r="G371" i="9"/>
  <c r="G372" i="9" l="1"/>
  <c r="E371" i="9"/>
  <c r="F371" i="9" s="1"/>
  <c r="E372" i="9" l="1"/>
  <c r="F372" i="9" s="1"/>
  <c r="G373" i="9"/>
  <c r="E373" i="9" l="1"/>
  <c r="F373" i="9" s="1"/>
  <c r="G374" i="9"/>
  <c r="G375" i="9" l="1"/>
  <c r="E374" i="9"/>
  <c r="F374" i="9" s="1"/>
  <c r="E375" i="9" l="1"/>
  <c r="F375" i="9" s="1"/>
  <c r="G376" i="9"/>
  <c r="G377" i="9" l="1"/>
  <c r="E376" i="9"/>
  <c r="F376" i="9" s="1"/>
  <c r="G378" i="9" l="1"/>
  <c r="E377" i="9"/>
  <c r="F377" i="9" s="1"/>
  <c r="G379" i="9" l="1"/>
  <c r="E378" i="9"/>
  <c r="F378" i="9" s="1"/>
  <c r="E379" i="9" l="1"/>
  <c r="F379" i="9" s="1"/>
  <c r="G380" i="9"/>
  <c r="E380" i="9" l="1"/>
  <c r="F380" i="9" s="1"/>
  <c r="G381" i="9"/>
  <c r="G382" i="9" l="1"/>
  <c r="E381" i="9"/>
  <c r="F381" i="9" s="1"/>
  <c r="E382" i="9" l="1"/>
  <c r="F382" i="9" s="1"/>
  <c r="G383" i="9"/>
  <c r="G384" i="9" l="1"/>
  <c r="E383" i="9"/>
  <c r="F383" i="9" s="1"/>
  <c r="E384" i="9" l="1"/>
  <c r="F384" i="9" s="1"/>
  <c r="G385" i="9"/>
  <c r="G386" i="9" l="1"/>
  <c r="E385" i="9"/>
  <c r="F385" i="9" s="1"/>
  <c r="E386" i="9" l="1"/>
  <c r="F386" i="9" s="1"/>
  <c r="G387" i="9"/>
  <c r="E387" i="9" l="1"/>
  <c r="F387" i="9" s="1"/>
  <c r="G388" i="9"/>
  <c r="G389" i="9" l="1"/>
  <c r="E388" i="9"/>
  <c r="F388" i="9" s="1"/>
  <c r="G390" i="9" l="1"/>
  <c r="E389" i="9"/>
  <c r="F389" i="9" s="1"/>
  <c r="G391" i="9" l="1"/>
  <c r="E390" i="9"/>
  <c r="F390" i="9" s="1"/>
  <c r="E391" i="9" l="1"/>
  <c r="F391" i="9" s="1"/>
  <c r="G392" i="9"/>
  <c r="E392" i="9" l="1"/>
  <c r="F392" i="9" s="1"/>
  <c r="G393" i="9"/>
  <c r="G394" i="9" l="1"/>
  <c r="E393" i="9"/>
  <c r="F393" i="9" s="1"/>
  <c r="G395" i="9" l="1"/>
  <c r="E394" i="9"/>
  <c r="F394" i="9" s="1"/>
  <c r="G396" i="9" l="1"/>
  <c r="E395" i="9"/>
  <c r="F395" i="9" s="1"/>
  <c r="G397" i="9" l="1"/>
  <c r="E396" i="9"/>
  <c r="F396" i="9" s="1"/>
  <c r="G398" i="9" l="1"/>
  <c r="E397" i="9"/>
  <c r="F397" i="9" s="1"/>
  <c r="G399" i="9" l="1"/>
  <c r="E398" i="9"/>
  <c r="F398" i="9" s="1"/>
  <c r="E399" i="9" l="1"/>
  <c r="F399" i="9" s="1"/>
  <c r="G400" i="9"/>
  <c r="G401" i="9" l="1"/>
  <c r="E400" i="9"/>
  <c r="F400" i="9" s="1"/>
  <c r="E401" i="9" l="1"/>
  <c r="F401" i="9" s="1"/>
  <c r="G402" i="9"/>
  <c r="G403" i="9" l="1"/>
  <c r="E402" i="9"/>
  <c r="F402" i="9" s="1"/>
  <c r="G404" i="9" l="1"/>
  <c r="E403" i="9"/>
  <c r="F403" i="9" s="1"/>
  <c r="E404" i="9" l="1"/>
  <c r="F404" i="9" s="1"/>
  <c r="G405" i="9"/>
  <c r="G406" i="9" l="1"/>
  <c r="E405" i="9"/>
  <c r="F405" i="9" s="1"/>
  <c r="E406" i="9" l="1"/>
  <c r="F406" i="9" s="1"/>
  <c r="G407" i="9"/>
  <c r="G408" i="9" l="1"/>
  <c r="E407" i="9"/>
  <c r="F407" i="9" s="1"/>
  <c r="G409" i="9" l="1"/>
  <c r="E408" i="9"/>
  <c r="F408" i="9" s="1"/>
  <c r="G410" i="9" l="1"/>
  <c r="E409" i="9"/>
  <c r="F409" i="9" s="1"/>
  <c r="G411" i="9" l="1"/>
  <c r="E410" i="9"/>
  <c r="F410" i="9" s="1"/>
  <c r="E411" i="9" l="1"/>
  <c r="F411" i="9" s="1"/>
  <c r="G412" i="9"/>
  <c r="G413" i="9" l="1"/>
  <c r="E412" i="9"/>
  <c r="F412" i="9" s="1"/>
  <c r="G414" i="9" l="1"/>
  <c r="E413" i="9"/>
  <c r="F413" i="9" s="1"/>
  <c r="G415" i="9" l="1"/>
  <c r="E414" i="9"/>
  <c r="F414" i="9" s="1"/>
  <c r="E415" i="9" l="1"/>
  <c r="F415" i="9" s="1"/>
  <c r="G416" i="9"/>
  <c r="E416" i="9" l="1"/>
  <c r="F416" i="9" s="1"/>
  <c r="G417" i="9"/>
  <c r="G418" i="9" l="1"/>
  <c r="E417" i="9"/>
  <c r="F417" i="9" s="1"/>
  <c r="E418" i="9" l="1"/>
  <c r="F418" i="9" s="1"/>
  <c r="G419" i="9"/>
  <c r="G420" i="9" l="1"/>
  <c r="E419" i="9"/>
  <c r="F419" i="9" s="1"/>
  <c r="G421" i="9" l="1"/>
  <c r="E420" i="9"/>
  <c r="F420" i="9" s="1"/>
  <c r="G422" i="9" l="1"/>
  <c r="E421" i="9"/>
  <c r="F421" i="9" s="1"/>
  <c r="E422" i="9" l="1"/>
  <c r="F422" i="9" s="1"/>
  <c r="G423" i="9"/>
  <c r="G424" i="9" l="1"/>
  <c r="E423" i="9"/>
  <c r="F423" i="9" s="1"/>
  <c r="G425" i="9" l="1"/>
  <c r="E424" i="9"/>
  <c r="F424" i="9" s="1"/>
  <c r="E425" i="9" l="1"/>
  <c r="F425" i="9" s="1"/>
  <c r="G426" i="9"/>
  <c r="E426" i="9" l="1"/>
  <c r="F426" i="9" s="1"/>
  <c r="G427" i="9"/>
  <c r="G428" i="9" l="1"/>
  <c r="E427" i="9"/>
  <c r="F427" i="9" s="1"/>
  <c r="G429" i="9" l="1"/>
  <c r="E428" i="9"/>
  <c r="F428" i="9" s="1"/>
  <c r="E429" i="9" l="1"/>
  <c r="F429" i="9" s="1"/>
  <c r="G430" i="9"/>
  <c r="G431" i="9" l="1"/>
  <c r="E430" i="9"/>
  <c r="F430" i="9" s="1"/>
  <c r="G432" i="9" l="1"/>
  <c r="E431" i="9"/>
  <c r="F431" i="9" s="1"/>
  <c r="G433" i="9" l="1"/>
  <c r="E432" i="9"/>
  <c r="F432" i="9" s="1"/>
  <c r="G434" i="9" l="1"/>
  <c r="E433" i="9"/>
  <c r="F433" i="9" s="1"/>
  <c r="E434" i="9" l="1"/>
  <c r="F434" i="9" s="1"/>
  <c r="G435" i="9"/>
  <c r="G436" i="9" l="1"/>
  <c r="E435" i="9"/>
  <c r="F435" i="9" s="1"/>
  <c r="E436" i="9" l="1"/>
  <c r="F436" i="9" s="1"/>
  <c r="G437" i="9"/>
  <c r="G438" i="9" l="1"/>
  <c r="E437" i="9"/>
  <c r="F437" i="9" s="1"/>
  <c r="G439" i="9" l="1"/>
  <c r="E438" i="9"/>
  <c r="F438" i="9" s="1"/>
  <c r="G440" i="9" l="1"/>
  <c r="E439" i="9"/>
  <c r="F439" i="9" s="1"/>
  <c r="E440" i="9" l="1"/>
  <c r="F440" i="9" s="1"/>
  <c r="G441" i="9"/>
  <c r="G442" i="9" l="1"/>
  <c r="E441" i="9"/>
  <c r="F441" i="9" s="1"/>
  <c r="G443" i="9" l="1"/>
  <c r="E442" i="9"/>
  <c r="F442" i="9" s="1"/>
  <c r="G444" i="9" l="1"/>
  <c r="E443" i="9"/>
  <c r="F443" i="9" s="1"/>
  <c r="G445" i="9" l="1"/>
  <c r="E444" i="9"/>
  <c r="F444" i="9" s="1"/>
  <c r="G446" i="9" l="1"/>
  <c r="E445" i="9"/>
  <c r="F445" i="9" s="1"/>
  <c r="G447" i="9" l="1"/>
  <c r="E446" i="9"/>
  <c r="F446" i="9" s="1"/>
  <c r="G448" i="9" l="1"/>
  <c r="E447" i="9"/>
  <c r="F447" i="9" s="1"/>
  <c r="E448" i="9" l="1"/>
  <c r="F448" i="9" s="1"/>
  <c r="G449" i="9"/>
  <c r="G450" i="9" l="1"/>
  <c r="E449" i="9"/>
  <c r="F449" i="9" s="1"/>
  <c r="E450" i="9" l="1"/>
  <c r="F450" i="9" s="1"/>
  <c r="G451" i="9"/>
  <c r="G452" i="9" l="1"/>
  <c r="E451" i="9"/>
  <c r="F451" i="9" s="1"/>
  <c r="E452" i="9" l="1"/>
  <c r="F452" i="9" s="1"/>
  <c r="G453" i="9"/>
  <c r="G454" i="9" l="1"/>
  <c r="E453" i="9"/>
  <c r="F453" i="9" s="1"/>
  <c r="E454" i="9" l="1"/>
  <c r="F454" i="9" s="1"/>
  <c r="G455" i="9"/>
  <c r="G456" i="9" l="1"/>
  <c r="E455" i="9"/>
  <c r="F455" i="9" s="1"/>
  <c r="E456" i="9" l="1"/>
  <c r="F456" i="9" s="1"/>
  <c r="G457" i="9"/>
  <c r="G458" i="9" l="1"/>
  <c r="E457" i="9"/>
  <c r="F457" i="9" s="1"/>
  <c r="E458" i="9" l="1"/>
  <c r="F458" i="9" s="1"/>
  <c r="G459" i="9"/>
  <c r="G460" i="9" l="1"/>
  <c r="E459" i="9"/>
  <c r="F459" i="9" s="1"/>
  <c r="E460" i="9" l="1"/>
  <c r="F460" i="9" s="1"/>
  <c r="G461" i="9"/>
  <c r="G462" i="9" l="1"/>
  <c r="E461" i="9"/>
  <c r="F461" i="9" s="1"/>
  <c r="G463" i="9" l="1"/>
  <c r="E462" i="9"/>
  <c r="F462" i="9" s="1"/>
  <c r="G464" i="9" l="1"/>
  <c r="E463" i="9"/>
  <c r="F463" i="9" s="1"/>
  <c r="E464" i="9" l="1"/>
  <c r="F464" i="9" s="1"/>
  <c r="G465" i="9"/>
  <c r="G466" i="9" l="1"/>
  <c r="E465" i="9"/>
  <c r="F465" i="9" s="1"/>
  <c r="G467" i="9" l="1"/>
  <c r="E466" i="9"/>
  <c r="F466" i="9" s="1"/>
  <c r="G468" i="9" l="1"/>
  <c r="E467" i="9"/>
  <c r="F467" i="9" s="1"/>
  <c r="E468" i="9" l="1"/>
  <c r="F468" i="9" s="1"/>
  <c r="G469" i="9"/>
  <c r="G470" i="9" l="1"/>
  <c r="E469" i="9"/>
  <c r="F469" i="9" s="1"/>
  <c r="E470" i="9" l="1"/>
  <c r="F470" i="9" s="1"/>
  <c r="G471" i="9"/>
  <c r="G472" i="9" l="1"/>
  <c r="E471" i="9"/>
  <c r="F471" i="9" s="1"/>
  <c r="E472" i="9" l="1"/>
  <c r="F472" i="9" s="1"/>
  <c r="G473" i="9"/>
  <c r="G474" i="9" l="1"/>
  <c r="E473" i="9"/>
  <c r="F473" i="9" s="1"/>
  <c r="E474" i="9" l="1"/>
  <c r="F474" i="9" s="1"/>
  <c r="G475" i="9"/>
  <c r="G476" i="9" l="1"/>
  <c r="E475" i="9"/>
  <c r="F475" i="9" s="1"/>
  <c r="E476" i="9" l="1"/>
  <c r="F476" i="9" s="1"/>
  <c r="G477" i="9"/>
  <c r="G478" i="9" l="1"/>
  <c r="E477" i="9"/>
  <c r="F477" i="9" s="1"/>
  <c r="G479" i="9" l="1"/>
  <c r="E478" i="9"/>
  <c r="F478" i="9" s="1"/>
  <c r="G480" i="9" l="1"/>
  <c r="E479" i="9"/>
  <c r="F479" i="9" s="1"/>
  <c r="G481" i="9" l="1"/>
  <c r="E480" i="9"/>
  <c r="F480" i="9" s="1"/>
  <c r="G482" i="9" l="1"/>
  <c r="E481" i="9"/>
  <c r="F481" i="9" s="1"/>
  <c r="E482" i="9" l="1"/>
  <c r="F482" i="9" s="1"/>
  <c r="G483" i="9"/>
  <c r="E483" i="9" l="1"/>
  <c r="F483" i="9" s="1"/>
  <c r="G484" i="9"/>
  <c r="G485" i="9" l="1"/>
  <c r="E484" i="9"/>
  <c r="F484" i="9" s="1"/>
  <c r="G486" i="9" l="1"/>
  <c r="E485" i="9"/>
  <c r="F485" i="9" s="1"/>
  <c r="G487" i="9" l="1"/>
  <c r="E486" i="9"/>
  <c r="F486" i="9" s="1"/>
  <c r="G488" i="9" l="1"/>
  <c r="E487" i="9"/>
  <c r="F487" i="9" s="1"/>
  <c r="G489" i="9" l="1"/>
  <c r="E488" i="9"/>
  <c r="F488" i="9" s="1"/>
  <c r="G490" i="9" l="1"/>
  <c r="E489" i="9"/>
  <c r="F489" i="9" s="1"/>
  <c r="E490" i="9" l="1"/>
  <c r="F490" i="9" s="1"/>
  <c r="G491" i="9"/>
  <c r="E491" i="9" l="1"/>
  <c r="F491" i="9" s="1"/>
  <c r="G492" i="9"/>
  <c r="E492" i="9" l="1"/>
  <c r="F492" i="9" s="1"/>
  <c r="G493" i="9"/>
  <c r="G494" i="9" l="1"/>
  <c r="E493" i="9"/>
  <c r="F493" i="9" s="1"/>
  <c r="G495" i="9" l="1"/>
  <c r="E494" i="9"/>
  <c r="F494" i="9" s="1"/>
  <c r="E495" i="9" l="1"/>
  <c r="F495" i="9" s="1"/>
  <c r="G496" i="9"/>
  <c r="E496" i="9" l="1"/>
  <c r="F496" i="9" s="1"/>
  <c r="G497" i="9"/>
  <c r="E497" i="9" l="1"/>
  <c r="F497" i="9" s="1"/>
  <c r="G498" i="9"/>
  <c r="G499" i="9" l="1"/>
  <c r="E498" i="9"/>
  <c r="F498" i="9" s="1"/>
  <c r="G500" i="9" l="1"/>
  <c r="E499" i="9"/>
  <c r="F499" i="9" s="1"/>
  <c r="E500" i="9" l="1"/>
  <c r="F500" i="9" s="1"/>
  <c r="G501" i="9"/>
  <c r="G502" i="9" l="1"/>
  <c r="E501" i="9"/>
  <c r="F501" i="9" s="1"/>
  <c r="E502" i="9" l="1"/>
  <c r="F502" i="9" s="1"/>
  <c r="G503" i="9"/>
  <c r="G504" i="9" l="1"/>
  <c r="E503" i="9"/>
  <c r="F503" i="9" s="1"/>
  <c r="G505" i="9" l="1"/>
  <c r="E504" i="9"/>
  <c r="F504" i="9" s="1"/>
  <c r="E505" i="9" l="1"/>
  <c r="F505" i="9" s="1"/>
  <c r="G506" i="9"/>
  <c r="E506" i="9" l="1"/>
  <c r="F506" i="9" s="1"/>
  <c r="G507" i="9"/>
  <c r="E507" i="9" l="1"/>
  <c r="F507" i="9" s="1"/>
  <c r="G508" i="9"/>
  <c r="G509" i="9" l="1"/>
  <c r="E508" i="9"/>
  <c r="F508" i="9" s="1"/>
  <c r="E509" i="9" l="1"/>
  <c r="F509" i="9" s="1"/>
  <c r="G510" i="9"/>
  <c r="E510" i="9" l="1"/>
  <c r="F510" i="9" s="1"/>
  <c r="G511" i="9"/>
  <c r="E511" i="9" l="1"/>
  <c r="F511" i="9" s="1"/>
  <c r="G512" i="9"/>
  <c r="G513" i="9" l="1"/>
  <c r="E512" i="9"/>
  <c r="F512" i="9" s="1"/>
  <c r="E513" i="9" l="1"/>
  <c r="F513" i="9" s="1"/>
  <c r="G514" i="9"/>
  <c r="G515" i="9" l="1"/>
  <c r="E514" i="9"/>
  <c r="F514" i="9" s="1"/>
  <c r="E515" i="9" l="1"/>
  <c r="F515" i="9" s="1"/>
  <c r="G516" i="9"/>
  <c r="G517" i="9" l="1"/>
  <c r="E516" i="9"/>
  <c r="F516" i="9" s="1"/>
  <c r="E517" i="9" l="1"/>
  <c r="F517" i="9" s="1"/>
  <c r="G518" i="9"/>
  <c r="G519" i="9" l="1"/>
  <c r="E518" i="9"/>
  <c r="F518" i="9" s="1"/>
  <c r="E519" i="9" l="1"/>
  <c r="F519" i="9" s="1"/>
  <c r="G520" i="9"/>
  <c r="E520" i="9" l="1"/>
  <c r="F520" i="9" s="1"/>
  <c r="G521" i="9"/>
  <c r="E521" i="9" l="1"/>
  <c r="F521" i="9" s="1"/>
  <c r="G522" i="9"/>
  <c r="E522" i="9" l="1"/>
  <c r="F522" i="9" s="1"/>
  <c r="G523" i="9"/>
  <c r="E523" i="9" l="1"/>
  <c r="F523" i="9" s="1"/>
  <c r="G524" i="9"/>
  <c r="E524" i="9" l="1"/>
  <c r="F524" i="9" s="1"/>
  <c r="G525" i="9"/>
  <c r="G526" i="9" l="1"/>
  <c r="E525" i="9"/>
  <c r="F525" i="9" s="1"/>
  <c r="E526" i="9" l="1"/>
  <c r="F526" i="9" s="1"/>
  <c r="G527" i="9"/>
  <c r="G528" i="9" l="1"/>
  <c r="E527" i="9"/>
  <c r="F527" i="9" s="1"/>
  <c r="E528" i="9" l="1"/>
  <c r="F528" i="9" s="1"/>
  <c r="G529" i="9"/>
  <c r="E529" i="9" l="1"/>
  <c r="F529" i="9" s="1"/>
  <c r="G530" i="9"/>
  <c r="E530" i="9" l="1"/>
  <c r="F530" i="9" s="1"/>
  <c r="G531" i="9"/>
  <c r="G532" i="9" l="1"/>
  <c r="E531" i="9"/>
  <c r="F531" i="9" s="1"/>
  <c r="E532" i="9" l="1"/>
  <c r="F532" i="9" s="1"/>
  <c r="G533" i="9"/>
  <c r="G534" i="9" l="1"/>
  <c r="E533" i="9"/>
  <c r="F533" i="9" s="1"/>
  <c r="E534" i="9" l="1"/>
  <c r="F534" i="9" s="1"/>
  <c r="G535" i="9"/>
  <c r="G536" i="9" l="1"/>
  <c r="E535" i="9"/>
  <c r="F535" i="9" s="1"/>
  <c r="E536" i="9" l="1"/>
  <c r="F536" i="9" s="1"/>
  <c r="G537" i="9"/>
  <c r="G538" i="9" l="1"/>
  <c r="E537" i="9"/>
  <c r="F537" i="9" s="1"/>
  <c r="E538" i="9" l="1"/>
  <c r="F538" i="9" s="1"/>
  <c r="G539" i="9"/>
  <c r="G540" i="9" l="1"/>
  <c r="E539" i="9"/>
  <c r="F539" i="9" s="1"/>
  <c r="E540" i="9" l="1"/>
  <c r="F540" i="9" s="1"/>
  <c r="G541" i="9"/>
  <c r="G542" i="9" l="1"/>
  <c r="E541" i="9"/>
  <c r="F541" i="9" s="1"/>
  <c r="G543" i="9" l="1"/>
  <c r="E542" i="9"/>
  <c r="F542" i="9" s="1"/>
  <c r="G544" i="9" l="1"/>
  <c r="E543" i="9"/>
  <c r="F543" i="9" s="1"/>
  <c r="G545" i="9" l="1"/>
  <c r="E544" i="9"/>
  <c r="F544" i="9" s="1"/>
  <c r="E545" i="9" l="1"/>
  <c r="F545" i="9" s="1"/>
  <c r="G546" i="9"/>
  <c r="G547" i="9" l="1"/>
  <c r="E546" i="9"/>
  <c r="F546" i="9" s="1"/>
  <c r="G548" i="9" l="1"/>
  <c r="E547" i="9"/>
  <c r="F547" i="9" s="1"/>
  <c r="E548" i="9" l="1"/>
  <c r="F548" i="9" s="1"/>
  <c r="G549" i="9"/>
  <c r="E549" i="9" l="1"/>
  <c r="F549" i="9" s="1"/>
  <c r="G550" i="9"/>
  <c r="G551" i="9" l="1"/>
  <c r="E550" i="9"/>
  <c r="F550" i="9" s="1"/>
  <c r="G552" i="9" l="1"/>
  <c r="E551" i="9"/>
  <c r="F551" i="9" s="1"/>
  <c r="G553" i="9" l="1"/>
  <c r="E552" i="9"/>
  <c r="F552" i="9" s="1"/>
  <c r="E553" i="9" l="1"/>
  <c r="F553" i="9" s="1"/>
  <c r="G554" i="9"/>
  <c r="E554" i="9" l="1"/>
  <c r="F554" i="9" s="1"/>
  <c r="G555" i="9"/>
  <c r="G556" i="9" l="1"/>
  <c r="E555" i="9"/>
  <c r="F555" i="9" s="1"/>
  <c r="G557" i="9" l="1"/>
  <c r="E556" i="9"/>
  <c r="F556" i="9" s="1"/>
  <c r="G558" i="9" l="1"/>
  <c r="E557" i="9"/>
  <c r="F557" i="9" s="1"/>
  <c r="G559" i="9" l="1"/>
  <c r="E558" i="9"/>
  <c r="F558" i="9" s="1"/>
  <c r="E559" i="9" l="1"/>
  <c r="F559" i="9" s="1"/>
  <c r="G560" i="9"/>
  <c r="G561" i="9" l="1"/>
  <c r="E560" i="9"/>
  <c r="F560" i="9" s="1"/>
  <c r="G562" i="9" l="1"/>
  <c r="E561" i="9"/>
  <c r="F561" i="9" s="1"/>
  <c r="E562" i="9" l="1"/>
  <c r="F562" i="9" s="1"/>
  <c r="G563" i="9"/>
  <c r="E563" i="9" l="1"/>
  <c r="F563" i="9" s="1"/>
  <c r="G564" i="9"/>
  <c r="E564" i="9" l="1"/>
  <c r="F564" i="9" s="1"/>
  <c r="G565" i="9"/>
  <c r="E565" i="9" l="1"/>
  <c r="F565" i="9" s="1"/>
  <c r="G566" i="9"/>
  <c r="G567" i="9" l="1"/>
  <c r="E566" i="9"/>
  <c r="F566" i="9" s="1"/>
  <c r="E567" i="9" l="1"/>
  <c r="F567" i="9" s="1"/>
  <c r="G568" i="9"/>
  <c r="G569" i="9" l="1"/>
  <c r="E568" i="9"/>
  <c r="F568" i="9" s="1"/>
  <c r="E569" i="9" l="1"/>
  <c r="F569" i="9" s="1"/>
  <c r="G570" i="9"/>
  <c r="G571" i="9" l="1"/>
  <c r="E570" i="9"/>
  <c r="F570" i="9" s="1"/>
  <c r="G572" i="9" l="1"/>
  <c r="E571" i="9"/>
  <c r="F571" i="9" s="1"/>
  <c r="E572" i="9" l="1"/>
  <c r="F572" i="9" s="1"/>
  <c r="G573" i="9"/>
  <c r="G574" i="9" l="1"/>
  <c r="E573" i="9"/>
  <c r="F573" i="9" s="1"/>
  <c r="E574" i="9" l="1"/>
  <c r="F574" i="9" s="1"/>
  <c r="G575" i="9"/>
  <c r="G576" i="9" l="1"/>
  <c r="E575" i="9"/>
  <c r="F575" i="9" s="1"/>
  <c r="E576" i="9" l="1"/>
  <c r="F576" i="9" s="1"/>
  <c r="G577" i="9"/>
  <c r="E577" i="9" l="1"/>
  <c r="F577" i="9" s="1"/>
  <c r="G578" i="9"/>
  <c r="G579" i="9" l="1"/>
  <c r="E578" i="9"/>
  <c r="F578" i="9" s="1"/>
  <c r="E579" i="9" l="1"/>
  <c r="F579" i="9" s="1"/>
  <c r="G580" i="9"/>
  <c r="G581" i="9" l="1"/>
  <c r="E580" i="9"/>
  <c r="F580" i="9" s="1"/>
  <c r="G582" i="9" l="1"/>
  <c r="E581" i="9"/>
  <c r="F581" i="9" s="1"/>
  <c r="E582" i="9" l="1"/>
  <c r="F582" i="9" s="1"/>
  <c r="G583" i="9"/>
  <c r="G584" i="9" l="1"/>
  <c r="E583" i="9"/>
  <c r="F583" i="9" s="1"/>
  <c r="G585" i="9" l="1"/>
  <c r="E584" i="9"/>
  <c r="F584" i="9" s="1"/>
  <c r="G586" i="9" l="1"/>
  <c r="E585" i="9"/>
  <c r="F585" i="9" s="1"/>
  <c r="E586" i="9" l="1"/>
  <c r="F586" i="9" s="1"/>
  <c r="G587" i="9"/>
  <c r="E587" i="9" l="1"/>
  <c r="F587" i="9" s="1"/>
  <c r="G588" i="9"/>
  <c r="G589" i="9" l="1"/>
  <c r="E588" i="9"/>
  <c r="F588" i="9" s="1"/>
  <c r="G590" i="9" l="1"/>
  <c r="E589" i="9"/>
  <c r="F589" i="9" s="1"/>
  <c r="G591" i="9" l="1"/>
  <c r="E590" i="9"/>
  <c r="F590" i="9" s="1"/>
  <c r="E591" i="9" l="1"/>
  <c r="F591" i="9" s="1"/>
  <c r="G592" i="9"/>
  <c r="E592" i="9" l="1"/>
  <c r="F592" i="9" s="1"/>
  <c r="G593" i="9"/>
  <c r="G594" i="9" l="1"/>
  <c r="E593" i="9"/>
  <c r="F593" i="9" s="1"/>
  <c r="E594" i="9" l="1"/>
  <c r="F594" i="9" s="1"/>
  <c r="G595" i="9"/>
  <c r="E595" i="9" l="1"/>
  <c r="F595" i="9" s="1"/>
  <c r="G596" i="9"/>
  <c r="G597" i="9" l="1"/>
  <c r="E596" i="9"/>
  <c r="F596" i="9" s="1"/>
  <c r="G598" i="9" l="1"/>
  <c r="E597" i="9"/>
  <c r="F597" i="9" s="1"/>
  <c r="G599" i="9" l="1"/>
  <c r="E598" i="9"/>
  <c r="F598" i="9" s="1"/>
  <c r="E599" i="9" l="1"/>
  <c r="F599" i="9" s="1"/>
  <c r="G600" i="9"/>
  <c r="G601" i="9" l="1"/>
  <c r="E600" i="9"/>
  <c r="F600" i="9" s="1"/>
  <c r="G602" i="9" l="1"/>
  <c r="E601" i="9"/>
  <c r="F601" i="9" s="1"/>
  <c r="G603" i="9" l="1"/>
  <c r="E602" i="9"/>
  <c r="F602" i="9" s="1"/>
  <c r="E603" i="9" l="1"/>
  <c r="F603" i="9" s="1"/>
  <c r="G604" i="9"/>
  <c r="G605" i="9" l="1"/>
  <c r="E604" i="9"/>
  <c r="F604" i="9" s="1"/>
  <c r="E605" i="9" l="1"/>
  <c r="F605" i="9" s="1"/>
  <c r="G606" i="9"/>
  <c r="G607" i="9" l="1"/>
  <c r="E606" i="9"/>
  <c r="F606" i="9" s="1"/>
  <c r="E607" i="9" l="1"/>
  <c r="F607" i="9" s="1"/>
  <c r="G608" i="9"/>
  <c r="G609" i="9" l="1"/>
  <c r="E608" i="9"/>
  <c r="F608" i="9" s="1"/>
  <c r="E609" i="9" l="1"/>
  <c r="F609" i="9" s="1"/>
  <c r="G610" i="9"/>
  <c r="G611" i="9" l="1"/>
  <c r="E610" i="9"/>
  <c r="F610" i="9" s="1"/>
  <c r="E611" i="9" l="1"/>
  <c r="F611" i="9" s="1"/>
  <c r="G612" i="9"/>
  <c r="G613" i="9" l="1"/>
  <c r="E612" i="9"/>
  <c r="F612" i="9" s="1"/>
  <c r="E613" i="9" l="1"/>
  <c r="F613" i="9" s="1"/>
  <c r="G614" i="9"/>
  <c r="E614" i="9" l="1"/>
  <c r="F614" i="9" s="1"/>
  <c r="G615" i="9"/>
  <c r="E615" i="9" l="1"/>
  <c r="F615" i="9" s="1"/>
  <c r="G616" i="9"/>
  <c r="G617" i="9" l="1"/>
  <c r="E616" i="9"/>
  <c r="F616" i="9" s="1"/>
  <c r="E617" i="9" l="1"/>
  <c r="F617" i="9" s="1"/>
  <c r="G618" i="9"/>
  <c r="G619" i="9" l="1"/>
  <c r="E618" i="9"/>
  <c r="F618" i="9" s="1"/>
  <c r="G620" i="9" l="1"/>
  <c r="E619" i="9"/>
  <c r="F619" i="9" s="1"/>
  <c r="E620" i="9" l="1"/>
  <c r="F620" i="9" s="1"/>
  <c r="G621" i="9"/>
  <c r="E621" i="9" l="1"/>
  <c r="F621" i="9" s="1"/>
  <c r="G622" i="9"/>
  <c r="G623" i="9" l="1"/>
  <c r="E622" i="9"/>
  <c r="F622" i="9" s="1"/>
  <c r="E623" i="9" l="1"/>
  <c r="F623" i="9" s="1"/>
  <c r="G624" i="9"/>
  <c r="G625" i="9" l="1"/>
  <c r="E624" i="9"/>
  <c r="F624" i="9" s="1"/>
  <c r="E625" i="9" l="1"/>
  <c r="F625" i="9" s="1"/>
  <c r="G626" i="9"/>
  <c r="G627" i="9" l="1"/>
  <c r="E626" i="9"/>
  <c r="F626" i="9" s="1"/>
  <c r="E627" i="9" l="1"/>
  <c r="F627" i="9" s="1"/>
  <c r="G628" i="9"/>
  <c r="G629" i="9" l="1"/>
  <c r="E628" i="9"/>
  <c r="F628" i="9" s="1"/>
  <c r="G630" i="9" l="1"/>
  <c r="E629" i="9"/>
  <c r="F629" i="9" s="1"/>
  <c r="G631" i="9" l="1"/>
  <c r="E630" i="9"/>
  <c r="F630" i="9" s="1"/>
  <c r="E631" i="9" l="1"/>
  <c r="F631" i="9" s="1"/>
  <c r="G632" i="9"/>
  <c r="G633" i="9" l="1"/>
  <c r="E632" i="9"/>
  <c r="F632" i="9" s="1"/>
  <c r="E633" i="9" l="1"/>
  <c r="F633" i="9" s="1"/>
  <c r="G634" i="9"/>
  <c r="G635" i="9" l="1"/>
  <c r="E634" i="9"/>
  <c r="F634" i="9" s="1"/>
  <c r="G636" i="9" l="1"/>
  <c r="E635" i="9"/>
  <c r="F635" i="9" s="1"/>
  <c r="G637" i="9" l="1"/>
  <c r="E636" i="9"/>
  <c r="F636" i="9" s="1"/>
  <c r="G638" i="9" l="1"/>
  <c r="E637" i="9"/>
  <c r="F637" i="9" s="1"/>
  <c r="E638" i="9" l="1"/>
  <c r="F638" i="9" s="1"/>
  <c r="G639" i="9"/>
  <c r="E639" i="9" l="1"/>
  <c r="F639" i="9" s="1"/>
  <c r="G640" i="9"/>
  <c r="G641" i="9" l="1"/>
  <c r="E640" i="9"/>
  <c r="F640" i="9" s="1"/>
  <c r="E641" i="9" l="1"/>
  <c r="F641" i="9" s="1"/>
  <c r="G642" i="9"/>
  <c r="G643" i="9" l="1"/>
  <c r="E642" i="9"/>
  <c r="F642" i="9" s="1"/>
  <c r="G644" i="9" l="1"/>
  <c r="E643" i="9"/>
  <c r="F643" i="9" s="1"/>
  <c r="G645" i="9" l="1"/>
  <c r="E644" i="9"/>
  <c r="F644" i="9" s="1"/>
  <c r="E645" i="9" l="1"/>
  <c r="F645" i="9" s="1"/>
  <c r="G646" i="9"/>
  <c r="G647" i="9" l="1"/>
  <c r="E646" i="9"/>
  <c r="F646" i="9" s="1"/>
  <c r="G648" i="9" l="1"/>
  <c r="E647" i="9"/>
  <c r="F647" i="9" s="1"/>
  <c r="G649" i="9" l="1"/>
  <c r="E648" i="9"/>
  <c r="F648" i="9" s="1"/>
  <c r="E649" i="9" l="1"/>
  <c r="F649" i="9" s="1"/>
  <c r="G650" i="9"/>
  <c r="E650" i="9" l="1"/>
  <c r="F650" i="9" s="1"/>
  <c r="G651" i="9"/>
  <c r="E651" i="9" l="1"/>
  <c r="F651" i="9" s="1"/>
  <c r="G652" i="9"/>
  <c r="G653" i="9" l="1"/>
  <c r="E652" i="9"/>
  <c r="F652" i="9" s="1"/>
  <c r="G654" i="9" l="1"/>
  <c r="E653" i="9"/>
  <c r="F653" i="9" s="1"/>
  <c r="G655" i="9" l="1"/>
  <c r="E654" i="9"/>
  <c r="F654" i="9" s="1"/>
  <c r="G656" i="9" l="1"/>
  <c r="E655" i="9"/>
  <c r="F655" i="9" s="1"/>
  <c r="G657" i="9" l="1"/>
  <c r="E656" i="9"/>
  <c r="F656" i="9" s="1"/>
  <c r="E657" i="9" l="1"/>
  <c r="F657" i="9" s="1"/>
  <c r="G658" i="9"/>
  <c r="E658" i="9" l="1"/>
  <c r="F658" i="9" s="1"/>
  <c r="G659" i="9"/>
  <c r="E659" i="9" l="1"/>
  <c r="F659" i="9" s="1"/>
  <c r="G660" i="9"/>
  <c r="E660" i="9" l="1"/>
  <c r="F660" i="9" s="1"/>
  <c r="G661" i="9"/>
  <c r="E661" i="9" l="1"/>
  <c r="F661" i="9" s="1"/>
  <c r="G662" i="9"/>
  <c r="G663" i="9" l="1"/>
  <c r="E662" i="9"/>
  <c r="F662" i="9" s="1"/>
  <c r="E663" i="9" l="1"/>
  <c r="F663" i="9" s="1"/>
  <c r="G664" i="9"/>
  <c r="G665" i="9" l="1"/>
  <c r="E664" i="9"/>
  <c r="F664" i="9" s="1"/>
  <c r="E665" i="9" l="1"/>
  <c r="F665" i="9" s="1"/>
  <c r="G666" i="9"/>
  <c r="E666" i="9" l="1"/>
  <c r="F666" i="9" s="1"/>
  <c r="G667" i="9"/>
  <c r="E667" i="9" l="1"/>
  <c r="F667" i="9" s="1"/>
  <c r="G668" i="9"/>
  <c r="G669" i="9" l="1"/>
  <c r="E668" i="9"/>
  <c r="F668" i="9" s="1"/>
  <c r="E669" i="9" l="1"/>
  <c r="F669" i="9" s="1"/>
  <c r="G670" i="9"/>
  <c r="G671" i="9" l="1"/>
  <c r="E670" i="9"/>
  <c r="F670" i="9" s="1"/>
  <c r="E671" i="9" l="1"/>
  <c r="F671" i="9" s="1"/>
  <c r="G672" i="9"/>
  <c r="E672" i="9" l="1"/>
  <c r="F672" i="9" s="1"/>
  <c r="G673" i="9"/>
  <c r="E673" i="9" l="1"/>
  <c r="F673" i="9" s="1"/>
  <c r="G674" i="9"/>
  <c r="G675" i="9" l="1"/>
  <c r="E674" i="9"/>
  <c r="F674" i="9" s="1"/>
  <c r="E675" i="9" l="1"/>
  <c r="F675" i="9" s="1"/>
  <c r="G676" i="9"/>
  <c r="G677" i="9" l="1"/>
  <c r="E676" i="9"/>
  <c r="F676" i="9" s="1"/>
  <c r="E677" i="9" l="1"/>
  <c r="F677" i="9" s="1"/>
  <c r="G678" i="9"/>
  <c r="G679" i="9" l="1"/>
  <c r="E678" i="9"/>
  <c r="F678" i="9" s="1"/>
  <c r="E679" i="9" l="1"/>
  <c r="F679" i="9" s="1"/>
  <c r="G680" i="9"/>
  <c r="E680" i="9" l="1"/>
  <c r="F680" i="9" s="1"/>
  <c r="G681" i="9"/>
  <c r="E681" i="9" l="1"/>
  <c r="F681" i="9" s="1"/>
  <c r="G682" i="9"/>
  <c r="G683" i="9" l="1"/>
  <c r="E682" i="9"/>
  <c r="F682" i="9" s="1"/>
  <c r="E683" i="9" l="1"/>
  <c r="F683" i="9" s="1"/>
  <c r="G684" i="9"/>
  <c r="E684" i="9" l="1"/>
  <c r="F684" i="9" s="1"/>
  <c r="G685" i="9"/>
  <c r="E685" i="9" l="1"/>
  <c r="F685" i="9" s="1"/>
  <c r="G686" i="9"/>
  <c r="E686" i="9" l="1"/>
  <c r="F686" i="9" s="1"/>
  <c r="G687" i="9"/>
  <c r="E687" i="9" l="1"/>
  <c r="F687" i="9" s="1"/>
  <c r="G688" i="9"/>
  <c r="E688" i="9" l="1"/>
  <c r="F688" i="9" s="1"/>
  <c r="G689" i="9"/>
  <c r="G690" i="9" l="1"/>
  <c r="E689" i="9"/>
  <c r="F689" i="9" s="1"/>
  <c r="E690" i="9" l="1"/>
  <c r="F690" i="9" s="1"/>
  <c r="G691" i="9"/>
  <c r="E691" i="9" l="1"/>
  <c r="F691" i="9" s="1"/>
  <c r="G692" i="9"/>
  <c r="E692" i="9" l="1"/>
  <c r="F692" i="9" s="1"/>
  <c r="G693" i="9"/>
  <c r="G694" i="9" l="1"/>
  <c r="E693" i="9"/>
  <c r="F693" i="9" s="1"/>
  <c r="E694" i="9" l="1"/>
  <c r="F694" i="9" s="1"/>
  <c r="G695" i="9"/>
  <c r="E695" i="9" l="1"/>
  <c r="F695" i="9" s="1"/>
  <c r="G696" i="9"/>
  <c r="G697" i="9" l="1"/>
  <c r="E696" i="9"/>
  <c r="F696" i="9" s="1"/>
  <c r="E697" i="9" l="1"/>
  <c r="F697" i="9" s="1"/>
  <c r="G698" i="9"/>
  <c r="E698" i="9" l="1"/>
  <c r="F698" i="9" s="1"/>
  <c r="G699" i="9"/>
  <c r="G700" i="9" l="1"/>
  <c r="E699" i="9"/>
  <c r="F699" i="9" s="1"/>
  <c r="E700" i="9" l="1"/>
  <c r="F700" i="9" s="1"/>
  <c r="G701" i="9"/>
  <c r="G702" i="9" l="1"/>
  <c r="E701" i="9"/>
  <c r="F701" i="9" s="1"/>
  <c r="E702" i="9" l="1"/>
  <c r="F702" i="9" s="1"/>
  <c r="G703" i="9"/>
  <c r="E703" i="9" l="1"/>
  <c r="F703" i="9" s="1"/>
  <c r="G704" i="9"/>
  <c r="G705" i="9" l="1"/>
  <c r="E704" i="9"/>
  <c r="F704" i="9" s="1"/>
  <c r="G706" i="9" l="1"/>
  <c r="E705" i="9"/>
  <c r="F705" i="9" s="1"/>
  <c r="G707" i="9" l="1"/>
  <c r="E706" i="9"/>
  <c r="F706" i="9" s="1"/>
  <c r="E707" i="9" l="1"/>
  <c r="F707" i="9" s="1"/>
  <c r="G708" i="9"/>
  <c r="E708" i="9" l="1"/>
  <c r="F708" i="9" s="1"/>
  <c r="G709" i="9"/>
  <c r="G710" i="9" l="1"/>
  <c r="E709" i="9"/>
  <c r="F709" i="9" s="1"/>
  <c r="G711" i="9" l="1"/>
  <c r="E710" i="9"/>
  <c r="F710" i="9" s="1"/>
  <c r="E711" i="9" l="1"/>
  <c r="F711" i="9" s="1"/>
  <c r="G712" i="9"/>
  <c r="E712" i="9" l="1"/>
  <c r="F712" i="9" s="1"/>
  <c r="G713" i="9"/>
  <c r="G714" i="9" l="1"/>
  <c r="E713" i="9"/>
  <c r="F713" i="9" s="1"/>
  <c r="E714" i="9" l="1"/>
  <c r="F714" i="9" s="1"/>
  <c r="G715" i="9"/>
  <c r="E715" i="9" l="1"/>
  <c r="F715" i="9" s="1"/>
  <c r="G716" i="9"/>
  <c r="E716" i="9" l="1"/>
  <c r="F716" i="9" s="1"/>
  <c r="G717" i="9"/>
  <c r="E717" i="9" l="1"/>
  <c r="F717" i="9" s="1"/>
  <c r="G718" i="9"/>
  <c r="E718" i="9" l="1"/>
  <c r="F718" i="9" s="1"/>
  <c r="G719" i="9"/>
  <c r="E719" i="9" l="1"/>
  <c r="F719" i="9" s="1"/>
  <c r="G720" i="9"/>
  <c r="E720" i="9" l="1"/>
  <c r="F720" i="9" s="1"/>
  <c r="G721" i="9"/>
  <c r="E721" i="9" l="1"/>
  <c r="F721" i="9" s="1"/>
  <c r="G722" i="9"/>
  <c r="E722" i="9" l="1"/>
  <c r="F722" i="9" s="1"/>
  <c r="G723" i="9"/>
  <c r="E723" i="9" l="1"/>
  <c r="F723" i="9" s="1"/>
  <c r="G724" i="9"/>
  <c r="G725" i="9" l="1"/>
  <c r="E724" i="9"/>
  <c r="F724" i="9" s="1"/>
  <c r="E725" i="9" l="1"/>
  <c r="F725" i="9" s="1"/>
  <c r="G726" i="9"/>
  <c r="E726" i="9" l="1"/>
  <c r="F726" i="9" s="1"/>
  <c r="G727" i="9"/>
  <c r="E727" i="9" l="1"/>
  <c r="F727" i="9" s="1"/>
  <c r="G728" i="9"/>
  <c r="E728" i="9" l="1"/>
  <c r="F728" i="9" s="1"/>
  <c r="G729" i="9"/>
  <c r="G730" i="9" l="1"/>
  <c r="E729" i="9"/>
  <c r="F729" i="9" s="1"/>
  <c r="E730" i="9" l="1"/>
  <c r="F730" i="9" s="1"/>
  <c r="G731" i="9"/>
  <c r="G732" i="9" l="1"/>
  <c r="E731" i="9"/>
  <c r="F731" i="9" s="1"/>
  <c r="E732" i="9" l="1"/>
  <c r="F732" i="9" s="1"/>
  <c r="G733" i="9"/>
  <c r="E733" i="9" l="1"/>
  <c r="F733" i="9" s="1"/>
  <c r="G734" i="9"/>
  <c r="G735" i="9" l="1"/>
  <c r="E734" i="9"/>
  <c r="F734" i="9" s="1"/>
  <c r="G736" i="9" l="1"/>
  <c r="E735" i="9"/>
  <c r="F735" i="9" s="1"/>
  <c r="E736" i="9" l="1"/>
  <c r="F736" i="9" s="1"/>
  <c r="G737" i="9"/>
  <c r="G738" i="9" l="1"/>
  <c r="E737" i="9"/>
  <c r="F737" i="9" s="1"/>
  <c r="E738" i="9" l="1"/>
  <c r="F738" i="9" s="1"/>
  <c r="G739" i="9"/>
  <c r="E739" i="9" l="1"/>
  <c r="F739" i="9" s="1"/>
  <c r="G740" i="9"/>
  <c r="G741" i="9" l="1"/>
  <c r="E740" i="9"/>
  <c r="F740" i="9" s="1"/>
  <c r="G742" i="9" l="1"/>
  <c r="E741" i="9"/>
  <c r="F741" i="9" s="1"/>
  <c r="G743" i="9" l="1"/>
  <c r="E742" i="9"/>
  <c r="F742" i="9" s="1"/>
  <c r="G744" i="9" l="1"/>
  <c r="E743" i="9"/>
  <c r="F743" i="9" s="1"/>
  <c r="E744" i="9" l="1"/>
  <c r="F744" i="9" s="1"/>
  <c r="G745" i="9"/>
  <c r="G746" i="9" l="1"/>
  <c r="E745" i="9"/>
  <c r="F745" i="9" s="1"/>
  <c r="G747" i="9" l="1"/>
  <c r="E746" i="9"/>
  <c r="F746" i="9" s="1"/>
  <c r="E747" i="9" l="1"/>
  <c r="F747" i="9" s="1"/>
  <c r="G748" i="9"/>
  <c r="G749" i="9" l="1"/>
  <c r="E748" i="9"/>
  <c r="F748" i="9" s="1"/>
  <c r="E749" i="9" l="1"/>
  <c r="F749" i="9" s="1"/>
  <c r="G750" i="9"/>
  <c r="G751" i="9" l="1"/>
  <c r="E750" i="9"/>
  <c r="F750" i="9" s="1"/>
  <c r="G752" i="9" l="1"/>
  <c r="E751" i="9"/>
  <c r="F751" i="9" s="1"/>
  <c r="G753" i="9" l="1"/>
  <c r="E752" i="9"/>
  <c r="F752" i="9" s="1"/>
  <c r="G754" i="9" l="1"/>
  <c r="E753" i="9"/>
  <c r="F753" i="9" s="1"/>
  <c r="G755" i="9" l="1"/>
  <c r="E754" i="9"/>
  <c r="F754" i="9" s="1"/>
  <c r="E755" i="9" l="1"/>
  <c r="F755" i="9" s="1"/>
  <c r="G756" i="9"/>
  <c r="E756" i="9" l="1"/>
  <c r="F756" i="9" s="1"/>
  <c r="G757" i="9"/>
  <c r="G758" i="9" l="1"/>
  <c r="E757" i="9"/>
  <c r="F757" i="9" s="1"/>
  <c r="G759" i="9" l="1"/>
  <c r="E758" i="9"/>
  <c r="F758" i="9" s="1"/>
  <c r="G760" i="9" l="1"/>
  <c r="E759" i="9"/>
  <c r="F759" i="9" s="1"/>
  <c r="G761" i="9" l="1"/>
  <c r="E760" i="9"/>
  <c r="F760" i="9" s="1"/>
  <c r="G762" i="9" l="1"/>
  <c r="E761" i="9"/>
  <c r="F761" i="9" s="1"/>
  <c r="E762" i="9" l="1"/>
  <c r="F762" i="9" s="1"/>
  <c r="G763" i="9"/>
  <c r="G764" i="9" l="1"/>
  <c r="E763" i="9"/>
  <c r="F763" i="9" s="1"/>
  <c r="G765" i="9" l="1"/>
  <c r="E764" i="9"/>
  <c r="F764" i="9" s="1"/>
  <c r="G766" i="9" l="1"/>
  <c r="E765" i="9"/>
  <c r="F765" i="9" s="1"/>
  <c r="G767" i="9" l="1"/>
  <c r="E766" i="9"/>
  <c r="F766" i="9" s="1"/>
  <c r="E767" i="9" l="1"/>
  <c r="F767" i="9" s="1"/>
  <c r="G768" i="9"/>
  <c r="G769" i="9" l="1"/>
  <c r="E768" i="9"/>
  <c r="F768" i="9" s="1"/>
  <c r="G770" i="9" l="1"/>
  <c r="E769" i="9"/>
  <c r="F769" i="9" s="1"/>
  <c r="G771" i="9" l="1"/>
  <c r="E770" i="9"/>
  <c r="F770" i="9" s="1"/>
  <c r="G772" i="9" l="1"/>
  <c r="E771" i="9"/>
  <c r="F771" i="9" s="1"/>
  <c r="G773" i="9" l="1"/>
  <c r="E772" i="9"/>
  <c r="F772" i="9" s="1"/>
  <c r="G774" i="9" l="1"/>
  <c r="E773" i="9"/>
  <c r="F773" i="9" s="1"/>
  <c r="E774" i="9" l="1"/>
  <c r="F774" i="9" s="1"/>
  <c r="G775" i="9"/>
  <c r="G776" i="9" l="1"/>
  <c r="E775" i="9"/>
  <c r="F775" i="9" s="1"/>
  <c r="G777" i="9" l="1"/>
  <c r="E776" i="9"/>
  <c r="F776" i="9" s="1"/>
  <c r="G778" i="9" l="1"/>
  <c r="E777" i="9"/>
  <c r="F777" i="9" s="1"/>
  <c r="G779" i="9" l="1"/>
  <c r="E778" i="9"/>
  <c r="F778" i="9" s="1"/>
  <c r="E779" i="9" l="1"/>
  <c r="F779" i="9" s="1"/>
  <c r="G780" i="9"/>
  <c r="G781" i="9" l="1"/>
  <c r="E780" i="9"/>
  <c r="F780" i="9" s="1"/>
  <c r="G782" i="9" l="1"/>
  <c r="E781" i="9"/>
  <c r="F781" i="9" s="1"/>
  <c r="G783" i="9" l="1"/>
  <c r="E782" i="9"/>
  <c r="F782" i="9" s="1"/>
  <c r="G784" i="9" l="1"/>
  <c r="E783" i="9"/>
  <c r="F783" i="9" s="1"/>
  <c r="E784" i="9" l="1"/>
  <c r="F784" i="9" s="1"/>
  <c r="G785" i="9"/>
  <c r="G786" i="9" l="1"/>
  <c r="E785" i="9"/>
  <c r="F785" i="9" s="1"/>
  <c r="G787" i="9" l="1"/>
  <c r="E786" i="9"/>
  <c r="F786" i="9" s="1"/>
  <c r="G788" i="9" l="1"/>
  <c r="E787" i="9"/>
  <c r="F787" i="9" s="1"/>
  <c r="G789" i="9" l="1"/>
  <c r="E788" i="9"/>
  <c r="F788" i="9" s="1"/>
  <c r="G790" i="9" l="1"/>
  <c r="E789" i="9"/>
  <c r="F789" i="9" s="1"/>
  <c r="G791" i="9" l="1"/>
  <c r="E790" i="9"/>
  <c r="F790" i="9" s="1"/>
  <c r="G792" i="9" l="1"/>
  <c r="E791" i="9"/>
  <c r="F791" i="9" s="1"/>
  <c r="G793" i="9" l="1"/>
  <c r="E792" i="9"/>
  <c r="F792" i="9" s="1"/>
  <c r="G794" i="9" l="1"/>
  <c r="E793" i="9"/>
  <c r="F793" i="9" s="1"/>
  <c r="G795" i="9" l="1"/>
  <c r="E794" i="9"/>
  <c r="F794" i="9" s="1"/>
  <c r="G796" i="9" l="1"/>
  <c r="E795" i="9"/>
  <c r="F795" i="9" s="1"/>
  <c r="G797" i="9" l="1"/>
  <c r="E796" i="9"/>
  <c r="F796" i="9" s="1"/>
  <c r="G798" i="9" l="1"/>
  <c r="E797" i="9"/>
  <c r="F797" i="9" s="1"/>
  <c r="G799" i="9" l="1"/>
  <c r="E798" i="9"/>
  <c r="F798" i="9" s="1"/>
  <c r="E799" i="9" l="1"/>
  <c r="F799" i="9" s="1"/>
  <c r="G800" i="9"/>
  <c r="G801" i="9" l="1"/>
  <c r="E800" i="9"/>
  <c r="F800" i="9" s="1"/>
  <c r="G802" i="9" l="1"/>
  <c r="E801" i="9"/>
  <c r="F801" i="9" s="1"/>
  <c r="G803" i="9" l="1"/>
  <c r="E802" i="9"/>
  <c r="F802" i="9" s="1"/>
  <c r="G804" i="9" l="1"/>
  <c r="E803" i="9"/>
  <c r="F803" i="9" s="1"/>
  <c r="E804" i="9" l="1"/>
  <c r="F804" i="9" s="1"/>
  <c r="G805" i="9"/>
  <c r="G806" i="9" l="1"/>
  <c r="E805" i="9"/>
  <c r="F805" i="9" s="1"/>
  <c r="E806" i="9" l="1"/>
  <c r="F806" i="9" s="1"/>
  <c r="G807" i="9"/>
  <c r="E807" i="9" l="1"/>
  <c r="F807" i="9" s="1"/>
  <c r="G808" i="9"/>
  <c r="E808" i="9" l="1"/>
  <c r="F808" i="9" s="1"/>
  <c r="G809" i="9"/>
  <c r="G810" i="9" l="1"/>
  <c r="E809" i="9"/>
  <c r="F809" i="9" s="1"/>
  <c r="E810" i="9" l="1"/>
  <c r="F810" i="9" s="1"/>
  <c r="G811" i="9"/>
  <c r="E811" i="9" l="1"/>
  <c r="F811" i="9" s="1"/>
  <c r="G812" i="9"/>
  <c r="E812" i="9" l="1"/>
  <c r="F812" i="9" s="1"/>
  <c r="G813" i="9"/>
  <c r="E813" i="9" l="1"/>
  <c r="F813" i="9" s="1"/>
  <c r="G814" i="9"/>
  <c r="E814" i="9" l="1"/>
  <c r="F814" i="9" s="1"/>
  <c r="G815" i="9"/>
  <c r="G816" i="9" l="1"/>
  <c r="E815" i="9"/>
  <c r="F815" i="9" s="1"/>
  <c r="E816" i="9" l="1"/>
  <c r="F816" i="9" s="1"/>
  <c r="G817" i="9"/>
  <c r="G818" i="9" l="1"/>
  <c r="E817" i="9"/>
  <c r="F817" i="9" s="1"/>
  <c r="E818" i="9" l="1"/>
  <c r="F818" i="9" s="1"/>
  <c r="G819" i="9"/>
  <c r="E819" i="9" l="1"/>
  <c r="F819" i="9" s="1"/>
  <c r="G820" i="9"/>
  <c r="E820" i="9" l="1"/>
  <c r="F820" i="9" s="1"/>
  <c r="G821" i="9"/>
  <c r="E821" i="9" l="1"/>
  <c r="F821" i="9" s="1"/>
  <c r="G822" i="9"/>
  <c r="E822" i="9" l="1"/>
  <c r="F822" i="9" s="1"/>
  <c r="G823" i="9"/>
  <c r="G824" i="9" l="1"/>
  <c r="E823" i="9"/>
  <c r="F823" i="9" s="1"/>
  <c r="E824" i="9" l="1"/>
  <c r="F824" i="9" s="1"/>
  <c r="G825" i="9"/>
  <c r="G826" i="9" l="1"/>
  <c r="E825" i="9"/>
  <c r="F825" i="9" s="1"/>
  <c r="E826" i="9" l="1"/>
  <c r="F826" i="9" s="1"/>
  <c r="G827" i="9"/>
  <c r="G828" i="9" l="1"/>
  <c r="E827" i="9"/>
  <c r="F827" i="9" s="1"/>
  <c r="E828" i="9" l="1"/>
  <c r="F828" i="9" s="1"/>
  <c r="G829" i="9"/>
  <c r="E829" i="9" l="1"/>
  <c r="F829" i="9" s="1"/>
  <c r="G830" i="9"/>
  <c r="E830" i="9" l="1"/>
  <c r="F830" i="9" s="1"/>
  <c r="G831" i="9"/>
  <c r="E831" i="9" l="1"/>
  <c r="F831" i="9" s="1"/>
  <c r="G832" i="9"/>
  <c r="E832" i="9" l="1"/>
  <c r="F832" i="9" s="1"/>
  <c r="G833" i="9"/>
  <c r="E833" i="9" l="1"/>
  <c r="F833" i="9" s="1"/>
  <c r="G834" i="9"/>
  <c r="E834" i="9" l="1"/>
  <c r="F834" i="9" s="1"/>
  <c r="G835" i="9"/>
  <c r="G836" i="9" l="1"/>
  <c r="E835" i="9"/>
  <c r="F835" i="9" s="1"/>
  <c r="E836" i="9" l="1"/>
  <c r="F836" i="9" s="1"/>
  <c r="G837" i="9"/>
  <c r="E837" i="9" l="1"/>
  <c r="F837" i="9" s="1"/>
  <c r="G838" i="9"/>
  <c r="E838" i="9" l="1"/>
  <c r="F838" i="9" s="1"/>
  <c r="G839" i="9"/>
  <c r="E839" i="9" l="1"/>
  <c r="F839" i="9" s="1"/>
  <c r="G840" i="9"/>
  <c r="E840" i="9" l="1"/>
  <c r="F840" i="9" s="1"/>
  <c r="G841" i="9"/>
  <c r="E841" i="9" l="1"/>
  <c r="F841" i="9" s="1"/>
  <c r="G842" i="9"/>
  <c r="E842" i="9" l="1"/>
  <c r="F842" i="9" s="1"/>
  <c r="G843" i="9"/>
  <c r="E843" i="9" l="1"/>
  <c r="F843" i="9" s="1"/>
  <c r="G844" i="9"/>
  <c r="E844" i="9" l="1"/>
  <c r="F844" i="9" s="1"/>
  <c r="G845" i="9"/>
  <c r="E845" i="9" l="1"/>
  <c r="F845" i="9" s="1"/>
  <c r="G846" i="9"/>
  <c r="E846" i="9" l="1"/>
  <c r="F846" i="9" s="1"/>
  <c r="G847" i="9"/>
  <c r="G848" i="9" l="1"/>
  <c r="E847" i="9"/>
  <c r="F847" i="9" s="1"/>
  <c r="E848" i="9" l="1"/>
  <c r="F848" i="9" s="1"/>
  <c r="G849" i="9"/>
  <c r="G850" i="9" l="1"/>
  <c r="E849" i="9"/>
  <c r="F849" i="9" s="1"/>
  <c r="E850" i="9" l="1"/>
  <c r="F850" i="9" s="1"/>
  <c r="G851" i="9"/>
  <c r="G852" i="9" l="1"/>
  <c r="E851" i="9"/>
  <c r="F851" i="9" s="1"/>
  <c r="E852" i="9" l="1"/>
  <c r="F852" i="9" s="1"/>
  <c r="G853" i="9"/>
  <c r="G854" i="9" l="1"/>
  <c r="E853" i="9"/>
  <c r="F853" i="9" s="1"/>
  <c r="E854" i="9" l="1"/>
  <c r="F854" i="9" s="1"/>
  <c r="G855" i="9"/>
  <c r="E855" i="9" l="1"/>
  <c r="F855" i="9" s="1"/>
  <c r="G856" i="9"/>
  <c r="E856" i="9" l="1"/>
  <c r="F856" i="9" s="1"/>
  <c r="G857" i="9"/>
  <c r="E857" i="9" l="1"/>
  <c r="F857" i="9" s="1"/>
  <c r="G858" i="9"/>
  <c r="E858" i="9" l="1"/>
  <c r="F858" i="9" s="1"/>
  <c r="G859" i="9"/>
  <c r="E859" i="9" l="1"/>
  <c r="F859" i="9" s="1"/>
  <c r="G860" i="9"/>
  <c r="E860" i="9" l="1"/>
  <c r="F860" i="9" s="1"/>
  <c r="G861" i="9"/>
  <c r="G862" i="9" l="1"/>
  <c r="E861" i="9"/>
  <c r="F861" i="9" s="1"/>
  <c r="G863" i="9" l="1"/>
  <c r="E862" i="9"/>
  <c r="F862" i="9" s="1"/>
  <c r="G864" i="9" l="1"/>
  <c r="E863" i="9"/>
  <c r="F863" i="9" s="1"/>
  <c r="G865" i="9" l="1"/>
  <c r="E864" i="9"/>
  <c r="F864" i="9" s="1"/>
  <c r="G866" i="9" l="1"/>
  <c r="E865" i="9"/>
  <c r="F865" i="9" s="1"/>
  <c r="E866" i="9" l="1"/>
  <c r="F866" i="9" s="1"/>
  <c r="G867" i="9"/>
  <c r="G868" i="9" l="1"/>
  <c r="E867" i="9"/>
  <c r="F867" i="9" s="1"/>
  <c r="G869" i="9" l="1"/>
  <c r="E868" i="9"/>
  <c r="F868" i="9" s="1"/>
  <c r="G870" i="9" l="1"/>
  <c r="E869" i="9"/>
  <c r="F869" i="9" s="1"/>
  <c r="G871" i="9" l="1"/>
  <c r="E870" i="9"/>
  <c r="F870" i="9" s="1"/>
  <c r="G872" i="9" l="1"/>
  <c r="E871" i="9"/>
  <c r="F871" i="9" s="1"/>
  <c r="G873" i="9" l="1"/>
  <c r="E872" i="9"/>
  <c r="F872" i="9" s="1"/>
  <c r="G874" i="9" l="1"/>
  <c r="E873" i="9"/>
  <c r="F873" i="9" s="1"/>
  <c r="G875" i="9" l="1"/>
  <c r="E874" i="9"/>
  <c r="F874" i="9" s="1"/>
  <c r="E875" i="9" l="1"/>
  <c r="F875" i="9" s="1"/>
  <c r="G876" i="9"/>
  <c r="G877" i="9" l="1"/>
  <c r="E876" i="9"/>
  <c r="F876" i="9" s="1"/>
  <c r="G878" i="9" l="1"/>
  <c r="E877" i="9"/>
  <c r="F877" i="9" s="1"/>
  <c r="G879" i="9" l="1"/>
  <c r="E878" i="9"/>
  <c r="F878" i="9" s="1"/>
  <c r="G880" i="9" l="1"/>
  <c r="E879" i="9"/>
  <c r="F879" i="9" s="1"/>
  <c r="G881" i="9" l="1"/>
  <c r="E880" i="9"/>
  <c r="F880" i="9" s="1"/>
  <c r="G882" i="9" l="1"/>
  <c r="E881" i="9"/>
  <c r="F881" i="9" s="1"/>
  <c r="G883" i="9" l="1"/>
  <c r="E882" i="9"/>
  <c r="F882" i="9" s="1"/>
  <c r="G884" i="9" l="1"/>
  <c r="E883" i="9"/>
  <c r="F883" i="9" s="1"/>
  <c r="G885" i="9" l="1"/>
  <c r="E884" i="9"/>
  <c r="F884" i="9" s="1"/>
  <c r="G886" i="9" l="1"/>
  <c r="E885" i="9"/>
  <c r="F885" i="9" s="1"/>
  <c r="G887" i="9" l="1"/>
  <c r="E886" i="9"/>
  <c r="F886" i="9" s="1"/>
  <c r="G888" i="9" l="1"/>
  <c r="E887" i="9"/>
  <c r="F887" i="9" s="1"/>
  <c r="E888" i="9" l="1"/>
  <c r="F888" i="9" s="1"/>
  <c r="G889" i="9"/>
  <c r="G890" i="9" l="1"/>
  <c r="E889" i="9"/>
  <c r="F889" i="9" s="1"/>
  <c r="G891" i="9" l="1"/>
  <c r="E890" i="9"/>
  <c r="F890" i="9" s="1"/>
  <c r="G892" i="9" l="1"/>
  <c r="E891" i="9"/>
  <c r="F891" i="9" s="1"/>
  <c r="G893" i="9" l="1"/>
  <c r="E892" i="9"/>
  <c r="F892" i="9" s="1"/>
  <c r="G894" i="9" l="1"/>
  <c r="E893" i="9"/>
  <c r="F893" i="9" s="1"/>
  <c r="G895" i="9" l="1"/>
  <c r="E894" i="9"/>
  <c r="F894" i="9" s="1"/>
  <c r="G896" i="9" l="1"/>
  <c r="E895" i="9"/>
  <c r="F895" i="9" s="1"/>
  <c r="G897" i="9" l="1"/>
  <c r="E896" i="9"/>
  <c r="F896" i="9" s="1"/>
  <c r="G898" i="9" l="1"/>
  <c r="E897" i="9"/>
  <c r="F897" i="9" s="1"/>
  <c r="G899" i="9" l="1"/>
  <c r="E898" i="9"/>
  <c r="F898" i="9" s="1"/>
  <c r="G900" i="9" l="1"/>
  <c r="E899" i="9"/>
  <c r="F899" i="9" s="1"/>
  <c r="G901" i="9" l="1"/>
  <c r="E900" i="9"/>
  <c r="F900" i="9" s="1"/>
  <c r="G902" i="9" l="1"/>
  <c r="E901" i="9"/>
  <c r="F901" i="9" s="1"/>
  <c r="G903" i="9" l="1"/>
  <c r="E902" i="9"/>
  <c r="F902" i="9" s="1"/>
  <c r="G904" i="9" l="1"/>
  <c r="E903" i="9"/>
  <c r="F903" i="9" s="1"/>
  <c r="G905" i="9" l="1"/>
  <c r="E904" i="9"/>
  <c r="F904" i="9" s="1"/>
  <c r="G906" i="9" l="1"/>
  <c r="E905" i="9"/>
  <c r="F905" i="9" s="1"/>
  <c r="G907" i="9" l="1"/>
  <c r="E906" i="9"/>
  <c r="F906" i="9" s="1"/>
  <c r="E907" i="9" l="1"/>
  <c r="F907" i="9" s="1"/>
  <c r="G908" i="9"/>
  <c r="G909" i="9" l="1"/>
  <c r="E908" i="9"/>
  <c r="F908" i="9" s="1"/>
  <c r="G910" i="9" l="1"/>
  <c r="E909" i="9"/>
  <c r="F909" i="9" s="1"/>
  <c r="G911" i="9" l="1"/>
  <c r="E910" i="9"/>
  <c r="F910" i="9" s="1"/>
  <c r="G912" i="9" l="1"/>
  <c r="E911" i="9"/>
  <c r="F911" i="9" s="1"/>
  <c r="G913" i="9" l="1"/>
  <c r="E912" i="9"/>
  <c r="F912" i="9" s="1"/>
  <c r="G914" i="9" l="1"/>
  <c r="E913" i="9"/>
  <c r="F913" i="9" s="1"/>
  <c r="G915" i="9" l="1"/>
  <c r="E914" i="9"/>
  <c r="F914" i="9" s="1"/>
  <c r="G916" i="9" l="1"/>
  <c r="E915" i="9"/>
  <c r="F915" i="9" s="1"/>
  <c r="G917" i="9" l="1"/>
  <c r="E916" i="9"/>
  <c r="F916" i="9" s="1"/>
  <c r="G918" i="9" l="1"/>
  <c r="E917" i="9"/>
  <c r="F917" i="9" s="1"/>
  <c r="G919" i="9" l="1"/>
  <c r="E918" i="9"/>
  <c r="F918" i="9" s="1"/>
  <c r="G920" i="9" l="1"/>
  <c r="E919" i="9"/>
  <c r="F919" i="9" s="1"/>
  <c r="G921" i="9" l="1"/>
  <c r="E920" i="9"/>
  <c r="F920" i="9" s="1"/>
  <c r="G922" i="9" l="1"/>
  <c r="E921" i="9"/>
  <c r="F921" i="9" s="1"/>
  <c r="G923" i="9" l="1"/>
  <c r="E922" i="9"/>
  <c r="F922" i="9" s="1"/>
  <c r="G924" i="9" l="1"/>
  <c r="E923" i="9"/>
  <c r="F923" i="9" s="1"/>
  <c r="G925" i="9" l="1"/>
  <c r="E924" i="9"/>
  <c r="F924" i="9" s="1"/>
  <c r="G926" i="9" l="1"/>
  <c r="E925" i="9"/>
  <c r="F925" i="9" s="1"/>
  <c r="G927" i="9" l="1"/>
  <c r="E926" i="9"/>
  <c r="F926" i="9" s="1"/>
  <c r="G928" i="9" l="1"/>
  <c r="E927" i="9"/>
  <c r="F927" i="9" s="1"/>
  <c r="G929" i="9" l="1"/>
  <c r="E928" i="9"/>
  <c r="F928" i="9" s="1"/>
  <c r="G930" i="9" l="1"/>
  <c r="E929" i="9"/>
  <c r="F929" i="9" s="1"/>
  <c r="G931" i="9" l="1"/>
  <c r="E930" i="9"/>
  <c r="F930" i="9" s="1"/>
  <c r="G932" i="9" l="1"/>
  <c r="E931" i="9"/>
  <c r="F931" i="9" s="1"/>
  <c r="G933" i="9" l="1"/>
  <c r="E932" i="9"/>
  <c r="F932" i="9" s="1"/>
  <c r="G934" i="9" l="1"/>
  <c r="E933" i="9"/>
  <c r="F933" i="9" s="1"/>
  <c r="G935" i="9" l="1"/>
  <c r="E934" i="9"/>
  <c r="F934" i="9" s="1"/>
  <c r="G936" i="9" l="1"/>
  <c r="E935" i="9"/>
  <c r="F935" i="9" s="1"/>
  <c r="G937" i="9" l="1"/>
  <c r="E936" i="9"/>
  <c r="F936" i="9" s="1"/>
  <c r="G938" i="9" l="1"/>
  <c r="E937" i="9"/>
  <c r="F937" i="9" s="1"/>
  <c r="G939" i="9" l="1"/>
  <c r="E938" i="9"/>
  <c r="F938" i="9" s="1"/>
  <c r="G940" i="9" l="1"/>
  <c r="E939" i="9"/>
  <c r="F939" i="9" s="1"/>
  <c r="G941" i="9" l="1"/>
  <c r="E940" i="9"/>
  <c r="F940" i="9" s="1"/>
  <c r="G942" i="9" l="1"/>
  <c r="E941" i="9"/>
  <c r="F941" i="9" s="1"/>
  <c r="G943" i="9" l="1"/>
  <c r="E942" i="9"/>
  <c r="F942" i="9" s="1"/>
  <c r="G944" i="9" l="1"/>
  <c r="E943" i="9"/>
  <c r="F943" i="9" s="1"/>
  <c r="G945" i="9" l="1"/>
  <c r="E944" i="9"/>
  <c r="F944" i="9" s="1"/>
  <c r="E945" i="9" l="1"/>
  <c r="F945" i="9" s="1"/>
  <c r="G946" i="9"/>
  <c r="G947" i="9" l="1"/>
  <c r="E946" i="9"/>
  <c r="F946" i="9" s="1"/>
  <c r="G948" i="9" l="1"/>
  <c r="E947" i="9"/>
  <c r="F947" i="9" s="1"/>
  <c r="G949" i="9" l="1"/>
  <c r="E948" i="9"/>
  <c r="F948" i="9" s="1"/>
  <c r="G950" i="9" l="1"/>
  <c r="E949" i="9"/>
  <c r="F949" i="9" s="1"/>
  <c r="G951" i="9" l="1"/>
  <c r="E950" i="9"/>
  <c r="F950" i="9" s="1"/>
  <c r="G952" i="9" l="1"/>
  <c r="E951" i="9"/>
  <c r="F951" i="9" s="1"/>
  <c r="E952" i="9" l="1"/>
  <c r="F952" i="9" s="1"/>
  <c r="G953" i="9"/>
  <c r="E953" i="9" l="1"/>
  <c r="F953" i="9" s="1"/>
  <c r="G954" i="9"/>
  <c r="E954" i="9" l="1"/>
  <c r="F954" i="9" s="1"/>
  <c r="G955" i="9"/>
  <c r="G956" i="9" l="1"/>
  <c r="E955" i="9"/>
  <c r="F955" i="9" s="1"/>
  <c r="E956" i="9" l="1"/>
  <c r="F956" i="9" s="1"/>
  <c r="G957" i="9"/>
  <c r="G958" i="9" l="1"/>
  <c r="E957" i="9"/>
  <c r="F957" i="9" s="1"/>
  <c r="E958" i="9" l="1"/>
  <c r="F958" i="9" s="1"/>
  <c r="G959" i="9"/>
  <c r="E959" i="9" l="1"/>
  <c r="F959" i="9" s="1"/>
  <c r="G960" i="9"/>
  <c r="E960" i="9" l="1"/>
  <c r="F960" i="9" s="1"/>
  <c r="G961" i="9"/>
  <c r="G962" i="9" l="1"/>
  <c r="E961" i="9"/>
  <c r="F961" i="9" s="1"/>
  <c r="E962" i="9" l="1"/>
  <c r="F962" i="9" s="1"/>
  <c r="G963" i="9"/>
  <c r="E963" i="9" l="1"/>
  <c r="F963" i="9" s="1"/>
  <c r="G964" i="9"/>
  <c r="E964" i="9" l="1"/>
  <c r="F964" i="9" s="1"/>
  <c r="G965" i="9"/>
  <c r="G966" i="9" l="1"/>
  <c r="E965" i="9"/>
  <c r="F965" i="9" s="1"/>
  <c r="E966" i="9" l="1"/>
  <c r="F966" i="9" s="1"/>
  <c r="G967" i="9"/>
  <c r="G968" i="9" l="1"/>
  <c r="E967" i="9"/>
  <c r="F967" i="9" s="1"/>
  <c r="E968" i="9" l="1"/>
  <c r="F968" i="9" s="1"/>
  <c r="G969" i="9"/>
  <c r="E969" i="9" l="1"/>
  <c r="F969" i="9" s="1"/>
  <c r="G970" i="9"/>
  <c r="E970" i="9" l="1"/>
  <c r="F970" i="9" s="1"/>
  <c r="G971" i="9"/>
  <c r="G972" i="9" l="1"/>
  <c r="E971" i="9"/>
  <c r="F971" i="9" s="1"/>
  <c r="E972" i="9" l="1"/>
  <c r="F972" i="9" s="1"/>
  <c r="G973" i="9"/>
  <c r="G974" i="9" l="1"/>
  <c r="E973" i="9"/>
  <c r="F973" i="9" s="1"/>
  <c r="E974" i="9" l="1"/>
  <c r="F974" i="9" s="1"/>
  <c r="G975" i="9"/>
  <c r="G976" i="9" l="1"/>
  <c r="E975" i="9"/>
  <c r="F975" i="9" s="1"/>
  <c r="G977" i="9" l="1"/>
  <c r="E976" i="9"/>
  <c r="F976" i="9" s="1"/>
  <c r="G978" i="9" l="1"/>
  <c r="E977" i="9"/>
  <c r="F977" i="9" s="1"/>
  <c r="E978" i="9" l="1"/>
  <c r="F978" i="9" s="1"/>
  <c r="G979" i="9"/>
  <c r="G980" i="9" l="1"/>
  <c r="E979" i="9"/>
  <c r="F979" i="9" s="1"/>
  <c r="E980" i="9" l="1"/>
  <c r="F980" i="9" s="1"/>
  <c r="G981" i="9"/>
  <c r="G982" i="9" l="1"/>
  <c r="E981" i="9"/>
  <c r="F981" i="9" s="1"/>
  <c r="E982" i="9" l="1"/>
  <c r="F982" i="9" s="1"/>
  <c r="G983" i="9"/>
  <c r="G984" i="9" l="1"/>
  <c r="E983" i="9"/>
  <c r="F983" i="9" s="1"/>
  <c r="E984" i="9" l="1"/>
  <c r="F984" i="9" s="1"/>
  <c r="G985" i="9"/>
  <c r="G986" i="9" l="1"/>
  <c r="E985" i="9"/>
  <c r="F985" i="9" s="1"/>
  <c r="E986" i="9" l="1"/>
  <c r="F986" i="9" s="1"/>
  <c r="G987" i="9"/>
  <c r="G988" i="9" l="1"/>
  <c r="E987" i="9"/>
  <c r="F987" i="9" s="1"/>
  <c r="G989" i="9" l="1"/>
  <c r="E988" i="9"/>
  <c r="F988" i="9" s="1"/>
  <c r="G990" i="9" l="1"/>
  <c r="E989" i="9"/>
  <c r="F989" i="9" s="1"/>
  <c r="E990" i="9" l="1"/>
  <c r="F990" i="9" s="1"/>
  <c r="G991" i="9"/>
  <c r="G992" i="9" l="1"/>
  <c r="E991" i="9"/>
  <c r="F991" i="9" s="1"/>
  <c r="E992" i="9" l="1"/>
  <c r="F992" i="9" s="1"/>
  <c r="G993" i="9"/>
  <c r="G994" i="9" l="1"/>
  <c r="E993" i="9"/>
  <c r="F993" i="9" s="1"/>
  <c r="E994" i="9" l="1"/>
  <c r="F994" i="9" s="1"/>
  <c r="G995" i="9"/>
  <c r="E995" i="9" l="1"/>
  <c r="F995" i="9" s="1"/>
  <c r="G996" i="9"/>
  <c r="E996" i="9" l="1"/>
  <c r="F996" i="9" s="1"/>
  <c r="G997" i="9"/>
  <c r="G998" i="9" l="1"/>
  <c r="E997" i="9"/>
  <c r="F997" i="9" s="1"/>
  <c r="E998" i="9" l="1"/>
  <c r="F998" i="9" s="1"/>
  <c r="G999" i="9"/>
  <c r="G1000" i="9" l="1"/>
  <c r="E999" i="9"/>
  <c r="F999" i="9" s="1"/>
  <c r="E1000" i="9" l="1"/>
  <c r="F1000" i="9" s="1"/>
  <c r="G1001" i="9"/>
  <c r="G1002" i="9" l="1"/>
  <c r="E1001" i="9"/>
  <c r="F1001" i="9" s="1"/>
  <c r="E1002" i="9" l="1"/>
  <c r="F1002" i="9" s="1"/>
  <c r="G1003" i="9"/>
  <c r="G1004" i="9" l="1"/>
  <c r="E1003" i="9"/>
  <c r="F1003" i="9" s="1"/>
  <c r="E1004" i="9" l="1"/>
  <c r="F1004" i="9" s="1"/>
  <c r="G1005" i="9"/>
  <c r="G1006" i="9" l="1"/>
  <c r="E1005" i="9"/>
  <c r="F1005" i="9" s="1"/>
  <c r="E1006" i="9" l="1"/>
  <c r="F1006" i="9" s="1"/>
  <c r="G1007" i="9"/>
  <c r="E1007" i="9" l="1"/>
  <c r="F1007" i="9" s="1"/>
  <c r="G1008" i="9"/>
  <c r="E1008" i="9" l="1"/>
  <c r="F1008" i="9" s="1"/>
  <c r="G1009" i="9"/>
  <c r="G1010" i="9" l="1"/>
  <c r="E1009" i="9"/>
  <c r="F1009" i="9" s="1"/>
  <c r="E1010" i="9" l="1"/>
  <c r="F1010" i="9" s="1"/>
  <c r="G1011" i="9"/>
  <c r="G1012" i="9" l="1"/>
  <c r="E1011" i="9"/>
  <c r="F1011" i="9" s="1"/>
  <c r="E1012" i="9" l="1"/>
  <c r="F1012" i="9" s="1"/>
  <c r="G1013" i="9"/>
  <c r="G1014" i="9" l="1"/>
  <c r="E1013" i="9"/>
  <c r="F1013" i="9" s="1"/>
  <c r="E1014" i="9" l="1"/>
  <c r="F1014" i="9" s="1"/>
  <c r="G1015" i="9"/>
  <c r="E1015" i="9" l="1"/>
  <c r="F1015" i="9" s="1"/>
  <c r="G1016" i="9"/>
  <c r="E1016" i="9" l="1"/>
  <c r="F1016" i="9" s="1"/>
  <c r="G1017" i="9"/>
  <c r="G1018" i="9" l="1"/>
  <c r="E1017" i="9"/>
  <c r="F1017" i="9" s="1"/>
  <c r="E1018" i="9" l="1"/>
  <c r="F1018" i="9" s="1"/>
  <c r="G1019" i="9"/>
  <c r="E1019" i="9" l="1"/>
  <c r="F1019" i="9" s="1"/>
  <c r="G1020" i="9"/>
  <c r="E1020" i="9" l="1"/>
  <c r="F1020" i="9" s="1"/>
  <c r="G1021" i="9"/>
  <c r="G1022" i="9" l="1"/>
  <c r="E1021" i="9"/>
  <c r="F1021" i="9" s="1"/>
  <c r="E1022" i="9" l="1"/>
  <c r="F1022" i="9" s="1"/>
  <c r="G1023" i="9"/>
  <c r="E1023" i="9" l="1"/>
  <c r="F1023" i="9" s="1"/>
  <c r="G1024" i="9"/>
  <c r="E1024" i="9" l="1"/>
  <c r="F1024" i="9" s="1"/>
  <c r="G1025" i="9"/>
  <c r="G1026" i="9" l="1"/>
  <c r="E1025" i="9"/>
  <c r="F1025" i="9" s="1"/>
  <c r="E1026" i="9" l="1"/>
  <c r="F1026" i="9" s="1"/>
  <c r="G1027" i="9"/>
  <c r="E1027" i="9" l="1"/>
  <c r="F1027" i="9" s="1"/>
  <c r="G1028" i="9"/>
  <c r="E1028" i="9" l="1"/>
  <c r="F1028" i="9" s="1"/>
  <c r="G1029" i="9"/>
  <c r="G1030" i="9" l="1"/>
  <c r="E1029" i="9"/>
  <c r="F1029" i="9" s="1"/>
  <c r="E1030" i="9" l="1"/>
  <c r="F1030" i="9" s="1"/>
  <c r="G1031" i="9"/>
  <c r="E1031" i="9" l="1"/>
  <c r="F1031" i="9" s="1"/>
  <c r="G1032" i="9"/>
  <c r="E1032" i="9" l="1"/>
  <c r="F1032" i="9" s="1"/>
  <c r="G1033" i="9"/>
  <c r="G1034" i="9" l="1"/>
  <c r="E1033" i="9"/>
  <c r="F1033" i="9" s="1"/>
  <c r="E1034" i="9" l="1"/>
  <c r="F1034" i="9" s="1"/>
  <c r="G1035" i="9"/>
  <c r="E1035" i="9" l="1"/>
  <c r="F1035" i="9" s="1"/>
  <c r="G1036" i="9"/>
  <c r="E1036" i="9" l="1"/>
  <c r="F1036" i="9" s="1"/>
  <c r="G1037" i="9"/>
  <c r="G1038" i="9" l="1"/>
  <c r="E1037" i="9"/>
  <c r="F1037" i="9" s="1"/>
  <c r="E1038" i="9" l="1"/>
  <c r="F1038" i="9" s="1"/>
  <c r="G1039" i="9"/>
  <c r="G1040" i="9" l="1"/>
  <c r="E1039" i="9"/>
  <c r="F1039" i="9" s="1"/>
  <c r="E1040" i="9" l="1"/>
  <c r="F1040" i="9" s="1"/>
  <c r="G1041" i="9"/>
  <c r="G1042" i="9" l="1"/>
  <c r="E1041" i="9"/>
  <c r="F1041" i="9" s="1"/>
  <c r="E1042" i="9" l="1"/>
  <c r="F1042" i="9" s="1"/>
  <c r="G1043" i="9"/>
  <c r="G1044" i="9" l="1"/>
  <c r="E1043" i="9"/>
  <c r="F1043" i="9" s="1"/>
  <c r="G1045" i="9" l="1"/>
  <c r="E1044" i="9"/>
  <c r="F1044" i="9" s="1"/>
  <c r="G1046" i="9" l="1"/>
  <c r="E1045" i="9"/>
  <c r="F1045" i="9" s="1"/>
  <c r="G1047" i="9" l="1"/>
  <c r="E1046" i="9"/>
  <c r="F1046" i="9" s="1"/>
  <c r="G1048" i="9" l="1"/>
  <c r="E1047" i="9"/>
  <c r="F1047" i="9" s="1"/>
  <c r="E1048" i="9" l="1"/>
  <c r="F1048" i="9" s="1"/>
  <c r="G1049" i="9"/>
  <c r="G1050" i="9" l="1"/>
  <c r="E1049" i="9"/>
  <c r="F1049" i="9" s="1"/>
  <c r="E1050" i="9" l="1"/>
  <c r="F1050" i="9" s="1"/>
  <c r="G1051" i="9"/>
  <c r="E1051" i="9" l="1"/>
  <c r="F1051" i="9" s="1"/>
  <c r="G1052" i="9"/>
  <c r="G1053" i="9" l="1"/>
  <c r="E1052" i="9"/>
  <c r="F1052" i="9" s="1"/>
  <c r="G1054" i="9" l="1"/>
  <c r="E1053" i="9"/>
  <c r="F1053" i="9" s="1"/>
  <c r="G1055" i="9" l="1"/>
  <c r="E1054" i="9"/>
  <c r="F1054" i="9" s="1"/>
  <c r="G1056" i="9" l="1"/>
  <c r="E1055" i="9"/>
  <c r="F1055" i="9" s="1"/>
  <c r="E1056" i="9" l="1"/>
  <c r="F1056" i="9" s="1"/>
  <c r="G1057" i="9"/>
  <c r="G1058" i="9" l="1"/>
  <c r="E1057" i="9"/>
  <c r="F1057" i="9" s="1"/>
  <c r="E1058" i="9" l="1"/>
  <c r="F1058" i="9" s="1"/>
  <c r="G1059" i="9"/>
  <c r="E1059" i="9" l="1"/>
  <c r="F1059" i="9" s="1"/>
  <c r="G1060" i="9"/>
  <c r="G1061" i="9" l="1"/>
  <c r="E1060" i="9"/>
  <c r="F1060" i="9" s="1"/>
  <c r="G1062" i="9" l="1"/>
  <c r="E1061" i="9"/>
  <c r="F1061" i="9" s="1"/>
  <c r="G1063" i="9" l="1"/>
  <c r="E1062" i="9"/>
  <c r="F1062" i="9" s="1"/>
  <c r="G1064" i="9" l="1"/>
  <c r="E1063" i="9"/>
  <c r="F1063" i="9" s="1"/>
  <c r="E1064" i="9" l="1"/>
  <c r="F1064" i="9" s="1"/>
  <c r="G1065" i="9"/>
  <c r="G1066" i="9" l="1"/>
  <c r="E1065" i="9"/>
  <c r="F1065" i="9" s="1"/>
  <c r="G1067" i="9" l="1"/>
  <c r="E1066" i="9"/>
  <c r="F1066" i="9" s="1"/>
  <c r="G1068" i="9" l="1"/>
  <c r="E1067" i="9"/>
  <c r="F1067" i="9" s="1"/>
  <c r="G1069" i="9" l="1"/>
  <c r="E1068" i="9"/>
  <c r="F1068" i="9" s="1"/>
  <c r="G1070" i="9" l="1"/>
  <c r="E1069" i="9"/>
  <c r="F1069" i="9" s="1"/>
  <c r="G1071" i="9" l="1"/>
  <c r="E1070" i="9"/>
  <c r="F1070" i="9" s="1"/>
  <c r="G1072" i="9" l="1"/>
  <c r="E1071" i="9"/>
  <c r="F1071" i="9" s="1"/>
  <c r="G1073" i="9" l="1"/>
  <c r="E1072" i="9"/>
  <c r="F1072" i="9" s="1"/>
  <c r="G1074" i="9" l="1"/>
  <c r="E1073" i="9"/>
  <c r="F1073" i="9" s="1"/>
  <c r="G1075" i="9" l="1"/>
  <c r="E1074" i="9"/>
  <c r="F1074" i="9" s="1"/>
  <c r="G1076" i="9" l="1"/>
  <c r="E1075" i="9"/>
  <c r="F1075" i="9" s="1"/>
  <c r="G1077" i="9" l="1"/>
  <c r="E1076" i="9"/>
  <c r="F1076" i="9" s="1"/>
  <c r="G1078" i="9" l="1"/>
  <c r="E1077" i="9"/>
  <c r="F1077" i="9" s="1"/>
  <c r="G1079" i="9" l="1"/>
  <c r="E1078" i="9"/>
  <c r="F1078" i="9" s="1"/>
  <c r="G1080" i="9" l="1"/>
  <c r="E1079" i="9"/>
  <c r="F1079" i="9" s="1"/>
  <c r="G1081" i="9" l="1"/>
  <c r="E1080" i="9"/>
  <c r="F1080" i="9" s="1"/>
  <c r="G1082" i="9" l="1"/>
  <c r="E1081" i="9"/>
  <c r="F1081" i="9" s="1"/>
  <c r="E1082" i="9" l="1"/>
  <c r="F1082" i="9" s="1"/>
  <c r="G1083" i="9"/>
  <c r="G1084" i="9" l="1"/>
  <c r="E1083" i="9"/>
  <c r="F1083" i="9" s="1"/>
  <c r="G1085" i="9" l="1"/>
  <c r="E1084" i="9"/>
  <c r="F1084" i="9" s="1"/>
  <c r="G1086" i="9" l="1"/>
  <c r="E1085" i="9"/>
  <c r="F1085" i="9" s="1"/>
  <c r="G1087" i="9" l="1"/>
  <c r="E1086" i="9"/>
  <c r="F1086" i="9" s="1"/>
  <c r="G1088" i="9" l="1"/>
  <c r="E1087" i="9"/>
  <c r="F1087" i="9" s="1"/>
  <c r="G1089" i="9" l="1"/>
  <c r="E1088" i="9"/>
  <c r="F1088" i="9" s="1"/>
  <c r="G1090" i="9" l="1"/>
  <c r="E1089" i="9"/>
  <c r="F1089" i="9" s="1"/>
  <c r="G1091" i="9" l="1"/>
  <c r="E1090" i="9"/>
  <c r="F1090" i="9" s="1"/>
  <c r="G1092" i="9" l="1"/>
  <c r="E1091" i="9"/>
  <c r="F1091" i="9" s="1"/>
  <c r="G1093" i="9" l="1"/>
  <c r="E1092" i="9"/>
  <c r="F1092" i="9" s="1"/>
  <c r="G1094" i="9" l="1"/>
  <c r="E1093" i="9"/>
  <c r="F1093" i="9" s="1"/>
  <c r="G1095" i="9" l="1"/>
  <c r="E1094" i="9"/>
  <c r="F1094" i="9" s="1"/>
  <c r="G1096" i="9" l="1"/>
  <c r="E1095" i="9"/>
  <c r="F1095" i="9" s="1"/>
  <c r="G1097" i="9" l="1"/>
  <c r="E1096" i="9"/>
  <c r="F1096" i="9" s="1"/>
  <c r="G1098" i="9" l="1"/>
  <c r="E1097" i="9"/>
  <c r="F1097" i="9" s="1"/>
  <c r="G1099" i="9" l="1"/>
  <c r="E1098" i="9"/>
  <c r="F1098" i="9" s="1"/>
  <c r="G1100" i="9" l="1"/>
  <c r="E1099" i="9"/>
  <c r="F1099" i="9" s="1"/>
  <c r="G1101" i="9" l="1"/>
  <c r="E1100" i="9"/>
  <c r="F1100" i="9" s="1"/>
  <c r="G1102" i="9" l="1"/>
  <c r="E1101" i="9"/>
  <c r="F1101" i="9" s="1"/>
  <c r="G1103" i="9" l="1"/>
  <c r="E1102" i="9"/>
  <c r="F1102" i="9" s="1"/>
  <c r="G1104" i="9" l="1"/>
  <c r="E1103" i="9"/>
  <c r="F1103" i="9" s="1"/>
  <c r="G1105" i="9" l="1"/>
  <c r="E1104" i="9"/>
  <c r="F1104" i="9" s="1"/>
  <c r="G1106" i="9" l="1"/>
  <c r="E1105" i="9"/>
  <c r="F1105" i="9" s="1"/>
  <c r="G1107" i="9" l="1"/>
  <c r="E1106" i="9"/>
  <c r="F1106" i="9" s="1"/>
  <c r="G1108" i="9" l="1"/>
  <c r="E1107" i="9"/>
  <c r="F1107" i="9" s="1"/>
  <c r="G1109" i="9" l="1"/>
  <c r="E1108" i="9"/>
  <c r="F1108" i="9" s="1"/>
  <c r="G1110" i="9" l="1"/>
  <c r="E1109" i="9"/>
  <c r="F1109" i="9" s="1"/>
  <c r="G1111" i="9" l="1"/>
  <c r="E1110" i="9"/>
  <c r="F1110" i="9" s="1"/>
  <c r="G1112" i="9" l="1"/>
  <c r="E1111" i="9"/>
  <c r="F1111" i="9" s="1"/>
  <c r="G1113" i="9" l="1"/>
  <c r="E1112" i="9"/>
  <c r="F1112" i="9" s="1"/>
  <c r="G1114" i="9" l="1"/>
  <c r="E1113" i="9"/>
  <c r="F1113" i="9" s="1"/>
  <c r="G1115" i="9" l="1"/>
  <c r="E1114" i="9"/>
  <c r="F1114" i="9" s="1"/>
  <c r="G1116" i="9" l="1"/>
  <c r="E1115" i="9"/>
  <c r="F1115" i="9" s="1"/>
  <c r="G1117" i="9" l="1"/>
  <c r="E1116" i="9"/>
  <c r="F1116" i="9" s="1"/>
  <c r="G1118" i="9" l="1"/>
  <c r="E1117" i="9"/>
  <c r="F1117" i="9" s="1"/>
  <c r="G1119" i="9" l="1"/>
  <c r="E1118" i="9"/>
  <c r="F1118" i="9" s="1"/>
  <c r="G1120" i="9" l="1"/>
  <c r="E1119" i="9"/>
  <c r="F1119" i="9" s="1"/>
  <c r="G1121" i="9" l="1"/>
  <c r="E1120" i="9"/>
  <c r="F1120" i="9" s="1"/>
  <c r="G1122" i="9" l="1"/>
  <c r="E1121" i="9"/>
  <c r="F1121" i="9" s="1"/>
  <c r="G1123" i="9" l="1"/>
  <c r="E1122" i="9"/>
  <c r="F1122" i="9" s="1"/>
  <c r="G1124" i="9" l="1"/>
  <c r="E1123" i="9"/>
  <c r="F1123" i="9" s="1"/>
  <c r="G1125" i="9" l="1"/>
  <c r="E1124" i="9"/>
  <c r="F1124" i="9" s="1"/>
  <c r="G1126" i="9" l="1"/>
  <c r="E1125" i="9"/>
  <c r="F1125" i="9" s="1"/>
  <c r="G1127" i="9" l="1"/>
  <c r="E1126" i="9"/>
  <c r="F1126" i="9" s="1"/>
  <c r="G1128" i="9" l="1"/>
  <c r="E1127" i="9"/>
  <c r="F1127" i="9" s="1"/>
  <c r="G1129" i="9" l="1"/>
  <c r="E1128" i="9"/>
  <c r="F1128" i="9" s="1"/>
  <c r="G1130" i="9" l="1"/>
  <c r="E1129" i="9"/>
  <c r="F1129" i="9" s="1"/>
  <c r="G1131" i="9" l="1"/>
  <c r="E1130" i="9"/>
  <c r="F1130" i="9" s="1"/>
  <c r="G1132" i="9" l="1"/>
  <c r="E1131" i="9"/>
  <c r="F1131" i="9" s="1"/>
  <c r="G1133" i="9" l="1"/>
  <c r="E1132" i="9"/>
  <c r="F1132" i="9" s="1"/>
  <c r="G1134" i="9" l="1"/>
  <c r="E1133" i="9"/>
  <c r="F1133" i="9" s="1"/>
  <c r="G1135" i="9" l="1"/>
  <c r="E1134" i="9"/>
  <c r="F1134" i="9" s="1"/>
  <c r="G1136" i="9" l="1"/>
  <c r="E1135" i="9"/>
  <c r="F1135" i="9" s="1"/>
  <c r="G1137" i="9" l="1"/>
  <c r="E1136" i="9"/>
  <c r="F1136" i="9" s="1"/>
  <c r="G1138" i="9" l="1"/>
  <c r="E1137" i="9"/>
  <c r="F1137" i="9" s="1"/>
  <c r="G1139" i="9" l="1"/>
  <c r="E1138" i="9"/>
  <c r="F1138" i="9" s="1"/>
  <c r="G1140" i="9" l="1"/>
  <c r="E1139" i="9"/>
  <c r="F1139" i="9" s="1"/>
  <c r="G1141" i="9" l="1"/>
  <c r="E1140" i="9"/>
  <c r="F1140" i="9" s="1"/>
  <c r="G1142" i="9" l="1"/>
  <c r="E1141" i="9"/>
  <c r="F1141" i="9" s="1"/>
  <c r="E1142" i="9" l="1"/>
  <c r="F1142" i="9" s="1"/>
  <c r="G1143" i="9"/>
  <c r="E1143" i="9" l="1"/>
  <c r="F1143" i="9" s="1"/>
  <c r="G1144" i="9"/>
  <c r="E1144" i="9" l="1"/>
  <c r="F1144" i="9" s="1"/>
  <c r="G1145" i="9"/>
  <c r="E1145" i="9" l="1"/>
  <c r="F1145" i="9" s="1"/>
  <c r="G1146" i="9"/>
  <c r="E1146" i="9" l="1"/>
  <c r="F1146" i="9" s="1"/>
  <c r="G1147" i="9"/>
  <c r="G1148" i="9" l="1"/>
  <c r="E1147" i="9"/>
  <c r="F1147" i="9" s="1"/>
  <c r="E1148" i="9" l="1"/>
  <c r="F1148" i="9" s="1"/>
  <c r="G1149" i="9"/>
  <c r="G1150" i="9" l="1"/>
  <c r="E1149" i="9"/>
  <c r="F1149" i="9" s="1"/>
  <c r="E1150" i="9" l="1"/>
  <c r="F1150" i="9" s="1"/>
  <c r="G1151" i="9"/>
  <c r="E1151" i="9" l="1"/>
  <c r="F1151" i="9" s="1"/>
  <c r="G1152" i="9"/>
  <c r="E1152" i="9" l="1"/>
  <c r="F1152" i="9" s="1"/>
  <c r="G1153" i="9"/>
  <c r="E1153" i="9" l="1"/>
  <c r="F1153" i="9" s="1"/>
  <c r="G1154" i="9"/>
  <c r="E1154" i="9" l="1"/>
  <c r="F1154" i="9" s="1"/>
  <c r="G1155" i="9"/>
  <c r="G1156" i="9" l="1"/>
  <c r="E1155" i="9"/>
  <c r="F1155" i="9" s="1"/>
  <c r="E1156" i="9" l="1"/>
  <c r="F1156" i="9" s="1"/>
  <c r="G1157" i="9"/>
  <c r="G1158" i="9" l="1"/>
  <c r="E1157" i="9"/>
  <c r="F1157" i="9" s="1"/>
  <c r="G1159" i="9" l="1"/>
  <c r="E1158" i="9"/>
  <c r="F1158" i="9" s="1"/>
  <c r="G1160" i="9" l="1"/>
  <c r="E1159" i="9"/>
  <c r="F1159" i="9" s="1"/>
  <c r="E1160" i="9" l="1"/>
  <c r="F1160" i="9" s="1"/>
  <c r="G1161" i="9"/>
  <c r="G1162" i="9" l="1"/>
  <c r="E1161" i="9"/>
  <c r="F1161" i="9" s="1"/>
  <c r="G1163" i="9" l="1"/>
  <c r="E1162" i="9"/>
  <c r="F1162" i="9" s="1"/>
  <c r="G1164" i="9" l="1"/>
  <c r="E1163" i="9"/>
  <c r="F1163" i="9" s="1"/>
  <c r="G1165" i="9" l="1"/>
  <c r="E1164" i="9"/>
  <c r="F1164" i="9" s="1"/>
  <c r="G1166" i="9" l="1"/>
  <c r="E1165" i="9"/>
  <c r="F1165" i="9" s="1"/>
  <c r="E1166" i="9" l="1"/>
  <c r="F1166" i="9" s="1"/>
  <c r="G1167" i="9"/>
  <c r="G1168" i="9" l="1"/>
  <c r="E1167" i="9"/>
  <c r="F1167" i="9" s="1"/>
  <c r="G1169" i="9" l="1"/>
  <c r="E1168" i="9"/>
  <c r="F1168" i="9" s="1"/>
  <c r="E1169" i="9" l="1"/>
  <c r="F1169" i="9" s="1"/>
  <c r="G1170" i="9"/>
  <c r="E1170" i="9" l="1"/>
  <c r="F1170" i="9" s="1"/>
  <c r="G1171" i="9"/>
  <c r="G1172" i="9" l="1"/>
  <c r="E1171" i="9"/>
  <c r="F1171" i="9" s="1"/>
  <c r="E1172" i="9" l="1"/>
  <c r="F1172" i="9" s="1"/>
  <c r="G1173" i="9"/>
  <c r="G1174" i="9" l="1"/>
  <c r="E1173" i="9"/>
  <c r="F1173" i="9" s="1"/>
  <c r="G1175" i="9" l="1"/>
  <c r="E1174" i="9"/>
  <c r="F1174" i="9" s="1"/>
  <c r="G1176" i="9" l="1"/>
  <c r="E1175" i="9"/>
  <c r="F1175" i="9" s="1"/>
  <c r="G1177" i="9" l="1"/>
  <c r="E1176" i="9"/>
  <c r="F1176" i="9" s="1"/>
  <c r="E1177" i="9" l="1"/>
  <c r="F1177" i="9" s="1"/>
  <c r="G1178" i="9"/>
  <c r="G1179" i="9" l="1"/>
  <c r="E1178" i="9"/>
  <c r="F1178" i="9" s="1"/>
  <c r="G1180" i="9" l="1"/>
  <c r="E1179" i="9"/>
  <c r="F1179" i="9" s="1"/>
  <c r="G1181" i="9" l="1"/>
  <c r="E1180" i="9"/>
  <c r="F1180" i="9" s="1"/>
  <c r="G1182" i="9" l="1"/>
  <c r="E1181" i="9"/>
  <c r="F1181" i="9" s="1"/>
  <c r="E1182" i="9" l="1"/>
  <c r="F1182" i="9" s="1"/>
  <c r="G1183" i="9"/>
  <c r="E1183" i="9" l="1"/>
  <c r="F1183" i="9" s="1"/>
  <c r="G1184" i="9"/>
  <c r="G1185" i="9" l="1"/>
  <c r="E1184" i="9"/>
  <c r="F1184" i="9" s="1"/>
  <c r="G1186" i="9" l="1"/>
  <c r="E1185" i="9"/>
  <c r="F1185" i="9" s="1"/>
  <c r="E1186" i="9" l="1"/>
  <c r="F1186" i="9" s="1"/>
  <c r="G1187" i="9"/>
  <c r="G1188" i="9" l="1"/>
  <c r="E1187" i="9"/>
  <c r="F1187" i="9" s="1"/>
  <c r="E1188" i="9" l="1"/>
  <c r="F1188" i="9" s="1"/>
  <c r="G1189" i="9"/>
  <c r="E1189" i="9" l="1"/>
  <c r="F1189" i="9" s="1"/>
  <c r="G1190" i="9"/>
  <c r="E1190" i="9" l="1"/>
  <c r="F1190" i="9" s="1"/>
  <c r="G1191" i="9"/>
  <c r="G1192" i="9" l="1"/>
  <c r="E1191" i="9"/>
  <c r="F1191" i="9" s="1"/>
  <c r="G1193" i="9" l="1"/>
  <c r="E1192" i="9"/>
  <c r="F1192" i="9" s="1"/>
  <c r="G1194" i="9" l="1"/>
  <c r="E1193" i="9"/>
  <c r="F1193" i="9" s="1"/>
  <c r="G1195" i="9" l="1"/>
  <c r="E1194" i="9"/>
  <c r="F1194" i="9" s="1"/>
  <c r="E1195" i="9" l="1"/>
  <c r="F1195" i="9" s="1"/>
  <c r="G1196" i="9"/>
  <c r="E1196" i="9" l="1"/>
  <c r="F1196" i="9" s="1"/>
  <c r="G1197" i="9"/>
  <c r="E1197" i="9" l="1"/>
  <c r="F1197" i="9" s="1"/>
  <c r="G1198" i="9"/>
  <c r="G1199" i="9" l="1"/>
  <c r="E1198" i="9"/>
  <c r="F1198" i="9" s="1"/>
  <c r="E1199" i="9" l="1"/>
  <c r="F1199" i="9" s="1"/>
  <c r="G1200" i="9"/>
  <c r="G1201" i="9" l="1"/>
  <c r="E1200" i="9"/>
  <c r="F1200" i="9" s="1"/>
  <c r="G1202" i="9" l="1"/>
  <c r="E1201" i="9"/>
  <c r="F1201" i="9" s="1"/>
  <c r="G1203" i="9" l="1"/>
  <c r="E1202" i="9"/>
  <c r="F1202" i="9" s="1"/>
  <c r="G1204" i="9" l="1"/>
  <c r="E1203" i="9"/>
  <c r="F1203" i="9" s="1"/>
  <c r="G1205" i="9" l="1"/>
  <c r="E1204" i="9"/>
  <c r="F1204" i="9" s="1"/>
  <c r="E1205" i="9" l="1"/>
  <c r="F1205" i="9" s="1"/>
  <c r="G1206" i="9"/>
  <c r="G1207" i="9" l="1"/>
  <c r="E1206" i="9"/>
  <c r="F1206" i="9" s="1"/>
  <c r="G1208" i="9" l="1"/>
  <c r="E1207" i="9"/>
  <c r="F1207" i="9" s="1"/>
  <c r="E1208" i="9" l="1"/>
  <c r="F1208" i="9" s="1"/>
  <c r="G1209" i="9"/>
  <c r="G1210" i="9" l="1"/>
  <c r="E1209" i="9"/>
  <c r="F1209" i="9" s="1"/>
  <c r="G1211" i="9" l="1"/>
  <c r="E1210" i="9"/>
  <c r="F1210" i="9" s="1"/>
  <c r="G1212" i="9" l="1"/>
  <c r="E1211" i="9"/>
  <c r="F1211" i="9" s="1"/>
  <c r="G1213" i="9" l="1"/>
  <c r="E1212" i="9"/>
  <c r="F1212" i="9" s="1"/>
  <c r="E1213" i="9" l="1"/>
  <c r="F1213" i="9" s="1"/>
  <c r="G1214" i="9"/>
  <c r="G1215" i="9" l="1"/>
  <c r="E1214" i="9"/>
  <c r="F1214" i="9" s="1"/>
  <c r="E1215" i="9" l="1"/>
  <c r="F1215" i="9" s="1"/>
  <c r="G1216" i="9"/>
  <c r="G1217" i="9" l="1"/>
  <c r="E1216" i="9"/>
  <c r="F1216" i="9" s="1"/>
  <c r="G1218" i="9" l="1"/>
  <c r="E1217" i="9"/>
  <c r="F1217" i="9" s="1"/>
  <c r="G1219" i="9" l="1"/>
  <c r="E1218" i="9"/>
  <c r="F1218" i="9" s="1"/>
  <c r="G1220" i="9" l="1"/>
  <c r="E1219" i="9"/>
  <c r="F1219" i="9" s="1"/>
  <c r="G1221" i="9" l="1"/>
  <c r="E1220" i="9"/>
  <c r="F1220" i="9" s="1"/>
  <c r="G1222" i="9" l="1"/>
  <c r="E1221" i="9"/>
  <c r="F1221" i="9" s="1"/>
  <c r="E1222" i="9" l="1"/>
  <c r="F1222" i="9" s="1"/>
  <c r="G1223" i="9"/>
  <c r="G1224" i="9" l="1"/>
  <c r="E1223" i="9"/>
  <c r="F1223" i="9" s="1"/>
  <c r="G1225" i="9" l="1"/>
  <c r="E1224" i="9"/>
  <c r="F1224" i="9" s="1"/>
  <c r="E1225" i="9" l="1"/>
  <c r="F1225" i="9" s="1"/>
  <c r="G1226" i="9"/>
  <c r="G1227" i="9" l="1"/>
  <c r="E1226" i="9"/>
  <c r="F1226" i="9" s="1"/>
  <c r="E1227" i="9" l="1"/>
  <c r="F1227" i="9" s="1"/>
  <c r="G1228" i="9"/>
  <c r="E1228" i="9" l="1"/>
  <c r="F1228" i="9" s="1"/>
  <c r="G1229" i="9"/>
  <c r="E1229" i="9" l="1"/>
  <c r="F1229" i="9" s="1"/>
  <c r="G1230" i="9"/>
  <c r="G1231" i="9" l="1"/>
  <c r="E1230" i="9"/>
  <c r="F1230" i="9" s="1"/>
  <c r="E1231" i="9" l="1"/>
  <c r="F1231" i="9" s="1"/>
  <c r="G1232" i="9"/>
  <c r="G1233" i="9" l="1"/>
  <c r="E1232" i="9"/>
  <c r="F1232" i="9" s="1"/>
  <c r="G1234" i="9" l="1"/>
  <c r="E1233" i="9"/>
  <c r="F1233" i="9" s="1"/>
  <c r="E1234" i="9" l="1"/>
  <c r="F1234" i="9" s="1"/>
  <c r="G1235" i="9"/>
  <c r="E1235" i="9" l="1"/>
  <c r="F1235" i="9" s="1"/>
  <c r="G1236" i="9"/>
  <c r="E1236" i="9" l="1"/>
  <c r="F1236" i="9" s="1"/>
  <c r="G1237" i="9"/>
  <c r="E1237" i="9" l="1"/>
  <c r="F1237" i="9" s="1"/>
  <c r="G1238" i="9"/>
  <c r="E1238" i="9" l="1"/>
  <c r="F1238" i="9" s="1"/>
  <c r="G1239" i="9"/>
  <c r="G1240" i="9" l="1"/>
  <c r="E1239" i="9"/>
  <c r="F1239" i="9" s="1"/>
  <c r="G1241" i="9" l="1"/>
  <c r="E1240" i="9"/>
  <c r="F1240" i="9" s="1"/>
  <c r="G1242" i="9" l="1"/>
  <c r="E1241" i="9"/>
  <c r="F1241" i="9" s="1"/>
  <c r="E1242" i="9" l="1"/>
  <c r="F1242" i="9" s="1"/>
  <c r="G1243" i="9"/>
  <c r="G1244" i="9" l="1"/>
  <c r="E1243" i="9"/>
  <c r="F1243" i="9" s="1"/>
  <c r="G1245" i="9" l="1"/>
  <c r="E1244" i="9"/>
  <c r="F1244" i="9" s="1"/>
  <c r="E1245" i="9" l="1"/>
  <c r="F1245" i="9" s="1"/>
  <c r="G1246" i="9"/>
  <c r="E1246" i="9" l="1"/>
  <c r="F1246" i="9" s="1"/>
  <c r="G1247" i="9"/>
  <c r="G1248" i="9" l="1"/>
  <c r="E1247" i="9"/>
  <c r="F1247" i="9" s="1"/>
  <c r="G1249" i="9" l="1"/>
  <c r="E1248" i="9"/>
  <c r="F1248" i="9" s="1"/>
  <c r="E1249" i="9" l="1"/>
  <c r="F1249" i="9" s="1"/>
  <c r="G1250" i="9"/>
  <c r="E1250" i="9" l="1"/>
  <c r="F1250" i="9" s="1"/>
  <c r="G1251" i="9"/>
  <c r="E1251" i="9" l="1"/>
  <c r="F1251" i="9" s="1"/>
  <c r="G1252" i="9"/>
  <c r="E1252" i="9" l="1"/>
  <c r="F1252" i="9" s="1"/>
  <c r="G1253" i="9"/>
  <c r="E1253" i="9" l="1"/>
  <c r="F1253" i="9" s="1"/>
  <c r="G1254" i="9"/>
  <c r="E1254" i="9" l="1"/>
  <c r="F1254" i="9" s="1"/>
  <c r="G1255" i="9"/>
  <c r="G1256" i="9" l="1"/>
  <c r="E1255" i="9"/>
  <c r="F1255" i="9" s="1"/>
  <c r="G1257" i="9" l="1"/>
  <c r="E1256" i="9"/>
  <c r="F1256" i="9" s="1"/>
  <c r="G1258" i="9" l="1"/>
  <c r="E1257" i="9"/>
  <c r="F1257" i="9" s="1"/>
  <c r="E1258" i="9" l="1"/>
  <c r="F1258" i="9" s="1"/>
  <c r="G1259" i="9"/>
  <c r="G1260" i="9" l="1"/>
  <c r="E1259" i="9"/>
  <c r="F1259" i="9" s="1"/>
  <c r="E1260" i="9" l="1"/>
  <c r="F1260" i="9" s="1"/>
  <c r="G1261" i="9"/>
  <c r="E1261" i="9" l="1"/>
  <c r="F1261" i="9" s="1"/>
  <c r="G1262" i="9"/>
  <c r="E1262" i="9" l="1"/>
  <c r="F1262" i="9" s="1"/>
  <c r="G1263" i="9"/>
  <c r="G1264" i="9" l="1"/>
  <c r="E1263" i="9"/>
  <c r="F1263" i="9" s="1"/>
  <c r="E1264" i="9" l="1"/>
  <c r="F1264" i="9" s="1"/>
  <c r="G1265" i="9"/>
  <c r="E1265" i="9" l="1"/>
  <c r="F1265" i="9" s="1"/>
  <c r="G1266" i="9"/>
  <c r="G1267" i="9" l="1"/>
  <c r="E1266" i="9"/>
  <c r="F1266" i="9" s="1"/>
  <c r="G1268" i="9" l="1"/>
  <c r="E1267" i="9"/>
  <c r="F1267" i="9" s="1"/>
  <c r="E1268" i="9" l="1"/>
  <c r="F1268" i="9" s="1"/>
  <c r="G1269" i="9"/>
  <c r="G1270" i="9" l="1"/>
  <c r="E1269" i="9"/>
  <c r="F1269" i="9" s="1"/>
  <c r="E1270" i="9" l="1"/>
  <c r="F1270" i="9" s="1"/>
  <c r="G1271" i="9"/>
  <c r="G1272" i="9" l="1"/>
  <c r="E1271" i="9"/>
  <c r="F1271" i="9" s="1"/>
  <c r="G1273" i="9" l="1"/>
  <c r="E1272" i="9"/>
  <c r="F1272" i="9" s="1"/>
  <c r="E1273" i="9" l="1"/>
  <c r="F1273" i="9" s="1"/>
  <c r="G1274" i="9"/>
  <c r="G1275" i="9" l="1"/>
  <c r="E1274" i="9"/>
  <c r="F1274" i="9" s="1"/>
  <c r="E1275" i="9" l="1"/>
  <c r="F1275" i="9" s="1"/>
  <c r="G1276" i="9"/>
  <c r="E1276" i="9" l="1"/>
  <c r="F1276" i="9" s="1"/>
  <c r="G1277" i="9"/>
  <c r="E1277" i="9" l="1"/>
  <c r="F1277" i="9" s="1"/>
  <c r="G1278" i="9"/>
  <c r="E1278" i="9" l="1"/>
  <c r="F1278" i="9" s="1"/>
  <c r="G1279" i="9"/>
  <c r="E1279" i="9" l="1"/>
  <c r="F1279" i="9" s="1"/>
  <c r="G1280" i="9"/>
  <c r="E1280" i="9" l="1"/>
  <c r="F1280" i="9" s="1"/>
  <c r="G1281" i="9"/>
  <c r="E1281" i="9" l="1"/>
  <c r="F1281" i="9" s="1"/>
  <c r="G1282" i="9"/>
  <c r="G1283" i="9" l="1"/>
  <c r="E1282" i="9"/>
  <c r="F1282" i="9" s="1"/>
  <c r="E1283" i="9" l="1"/>
  <c r="F1283" i="9" s="1"/>
  <c r="G1284" i="9"/>
  <c r="E1284" i="9" l="1"/>
  <c r="F1284" i="9" s="1"/>
  <c r="G1285" i="9"/>
  <c r="E1285" i="9" l="1"/>
  <c r="F1285" i="9" s="1"/>
  <c r="G1286" i="9"/>
  <c r="G1287" i="9" l="1"/>
  <c r="E1286" i="9"/>
  <c r="F1286" i="9" s="1"/>
  <c r="E1287" i="9" l="1"/>
  <c r="F1287" i="9" s="1"/>
  <c r="G1288" i="9"/>
  <c r="G1289" i="9" l="1"/>
  <c r="E1288" i="9"/>
  <c r="F1288" i="9" s="1"/>
  <c r="G1290" i="9" l="1"/>
  <c r="E1289" i="9"/>
  <c r="F1289" i="9" s="1"/>
  <c r="E1290" i="9" l="1"/>
  <c r="F1290" i="9" s="1"/>
  <c r="G1291" i="9"/>
  <c r="E1291" i="9" l="1"/>
  <c r="F1291" i="9" s="1"/>
  <c r="G1292" i="9"/>
  <c r="E1292" i="9" l="1"/>
  <c r="F1292" i="9" s="1"/>
  <c r="G1293" i="9"/>
  <c r="G1294" i="9" l="1"/>
  <c r="E1293" i="9"/>
  <c r="F1293" i="9" s="1"/>
  <c r="G1295" i="9" l="1"/>
  <c r="E1294" i="9"/>
  <c r="F1294" i="9" s="1"/>
  <c r="G1296" i="9" l="1"/>
  <c r="E1295" i="9"/>
  <c r="F1295" i="9" s="1"/>
  <c r="G1297" i="9" l="1"/>
  <c r="E1296" i="9"/>
  <c r="F1296" i="9" s="1"/>
  <c r="E1297" i="9" l="1"/>
  <c r="F1297" i="9" s="1"/>
  <c r="G1298" i="9"/>
  <c r="E1298" i="9" l="1"/>
  <c r="F1298" i="9" s="1"/>
  <c r="G1299" i="9"/>
  <c r="G1300" i="9" l="1"/>
  <c r="E1299" i="9"/>
  <c r="F1299" i="9" s="1"/>
  <c r="E1300" i="9" l="1"/>
  <c r="F1300" i="9" s="1"/>
  <c r="G1301" i="9"/>
  <c r="G1302" i="9" l="1"/>
  <c r="E1301" i="9"/>
  <c r="F1301" i="9" s="1"/>
  <c r="G1303" i="9" l="1"/>
  <c r="E1302" i="9"/>
  <c r="F1302" i="9" s="1"/>
  <c r="G1304" i="9" l="1"/>
  <c r="E1303" i="9"/>
  <c r="F1303" i="9" s="1"/>
  <c r="G1305" i="9" l="1"/>
  <c r="E1304" i="9"/>
  <c r="F1304" i="9" s="1"/>
  <c r="E1305" i="9" l="1"/>
  <c r="F1305" i="9" s="1"/>
  <c r="G1306" i="9"/>
  <c r="E1306" i="9" l="1"/>
  <c r="F1306" i="9" s="1"/>
  <c r="G1307" i="9"/>
  <c r="G1308" i="9" l="1"/>
  <c r="E1307" i="9"/>
  <c r="F1307" i="9" s="1"/>
  <c r="E1308" i="9" l="1"/>
  <c r="F1308" i="9" s="1"/>
  <c r="G1309" i="9"/>
  <c r="G1310" i="9" l="1"/>
  <c r="E1309" i="9"/>
  <c r="F1309" i="9" s="1"/>
  <c r="E1310" i="9" l="1"/>
  <c r="F1310" i="9" s="1"/>
  <c r="G1311" i="9"/>
  <c r="G1312" i="9" l="1"/>
  <c r="E1311" i="9"/>
  <c r="F1311" i="9" s="1"/>
  <c r="G1313" i="9" l="1"/>
  <c r="E1312" i="9"/>
  <c r="F1312" i="9" s="1"/>
  <c r="G1314" i="9" l="1"/>
  <c r="E1313" i="9"/>
  <c r="F1313" i="9" s="1"/>
  <c r="E1314" i="9" l="1"/>
  <c r="F1314" i="9" s="1"/>
  <c r="G1315" i="9"/>
  <c r="G1316" i="9" l="1"/>
  <c r="E1315" i="9"/>
  <c r="F1315" i="9" s="1"/>
  <c r="E1316" i="9" l="1"/>
  <c r="F1316" i="9" s="1"/>
  <c r="G1317" i="9"/>
  <c r="E1317" i="9" l="1"/>
  <c r="F1317" i="9" s="1"/>
  <c r="G1318" i="9"/>
  <c r="G1319" i="9" l="1"/>
  <c r="E1318" i="9"/>
  <c r="F1318" i="9" s="1"/>
  <c r="E1319" i="9" l="1"/>
  <c r="F1319" i="9" s="1"/>
  <c r="G1320" i="9"/>
  <c r="E1320" i="9" l="1"/>
  <c r="F1320" i="9" s="1"/>
  <c r="G1321" i="9"/>
  <c r="E1321" i="9" l="1"/>
  <c r="F1321" i="9" s="1"/>
  <c r="G1322" i="9"/>
  <c r="E1322" i="9" l="1"/>
  <c r="F1322" i="9" s="1"/>
  <c r="G1323" i="9"/>
  <c r="E1323" i="9" l="1"/>
  <c r="F1323" i="9" s="1"/>
  <c r="G1324" i="9"/>
  <c r="E1324" i="9" l="1"/>
  <c r="F1324" i="9" s="1"/>
  <c r="G1325" i="9"/>
  <c r="E1325" i="9" l="1"/>
  <c r="F1325" i="9" s="1"/>
  <c r="G1326" i="9"/>
  <c r="E1326" i="9" l="1"/>
  <c r="F1326" i="9" s="1"/>
  <c r="G1327" i="9"/>
  <c r="E1327" i="9" l="1"/>
  <c r="F1327" i="9" s="1"/>
  <c r="G1328" i="9"/>
  <c r="E1328" i="9" l="1"/>
  <c r="F1328" i="9" s="1"/>
  <c r="G1329" i="9"/>
  <c r="E1329" i="9" l="1"/>
  <c r="F1329" i="9" s="1"/>
  <c r="G1330" i="9"/>
  <c r="E1330" i="9" l="1"/>
  <c r="F1330" i="9" s="1"/>
  <c r="G1331" i="9"/>
  <c r="G1332" i="9" l="1"/>
  <c r="E1331" i="9"/>
  <c r="F1331" i="9" s="1"/>
  <c r="E1332" i="9" l="1"/>
  <c r="F1332" i="9" s="1"/>
  <c r="G1333" i="9"/>
  <c r="E1333" i="9" l="1"/>
  <c r="F1333" i="9" s="1"/>
  <c r="G1334" i="9"/>
  <c r="E1334" i="9" l="1"/>
  <c r="F1334" i="9" s="1"/>
  <c r="G1335" i="9"/>
  <c r="E1335" i="9" l="1"/>
  <c r="F1335" i="9" s="1"/>
  <c r="G1336" i="9"/>
  <c r="E1336" i="9" l="1"/>
  <c r="F1336" i="9" s="1"/>
  <c r="G1337" i="9"/>
  <c r="G1338" i="9" l="1"/>
  <c r="E1337" i="9"/>
  <c r="F1337" i="9" s="1"/>
  <c r="E1338" i="9" l="1"/>
  <c r="F1338" i="9" s="1"/>
  <c r="G1339" i="9"/>
  <c r="G1340" i="9" l="1"/>
  <c r="E1339" i="9"/>
  <c r="F1339" i="9" s="1"/>
  <c r="E1340" i="9" l="1"/>
  <c r="F1340" i="9" s="1"/>
  <c r="G1341" i="9"/>
  <c r="G1342" i="9" l="1"/>
  <c r="E1341" i="9"/>
  <c r="F1341" i="9" s="1"/>
  <c r="E1342" i="9" l="1"/>
  <c r="F1342" i="9" s="1"/>
  <c r="G1343" i="9"/>
  <c r="G1344" i="9" l="1"/>
  <c r="E1343" i="9"/>
  <c r="F1343" i="9" s="1"/>
  <c r="E1344" i="9" l="1"/>
  <c r="F1344" i="9" s="1"/>
  <c r="G1345" i="9"/>
  <c r="E1345" i="9" l="1"/>
  <c r="F1345" i="9" s="1"/>
  <c r="G1346" i="9"/>
  <c r="E1346" i="9" l="1"/>
  <c r="F1346" i="9" s="1"/>
  <c r="G1347" i="9"/>
  <c r="G1348" i="9" l="1"/>
  <c r="E1347" i="9"/>
  <c r="F1347" i="9" s="1"/>
  <c r="E1348" i="9" l="1"/>
  <c r="F1348" i="9" s="1"/>
  <c r="G1349" i="9"/>
  <c r="E1349" i="9" l="1"/>
  <c r="F1349" i="9" s="1"/>
  <c r="G1350" i="9"/>
  <c r="E1350" i="9" l="1"/>
  <c r="F1350" i="9" s="1"/>
  <c r="G1351" i="9"/>
  <c r="G1352" i="9" l="1"/>
  <c r="E1351" i="9"/>
  <c r="F1351" i="9" s="1"/>
  <c r="E1352" i="9" l="1"/>
  <c r="F1352" i="9" s="1"/>
  <c r="G1353" i="9"/>
  <c r="E1353" i="9" l="1"/>
  <c r="F1353" i="9" s="1"/>
  <c r="G1354" i="9"/>
  <c r="E1354" i="9" l="1"/>
  <c r="F1354" i="9" s="1"/>
  <c r="G1355" i="9"/>
  <c r="E1355" i="9" l="1"/>
  <c r="F1355" i="9" s="1"/>
  <c r="G1356" i="9"/>
  <c r="E1356" i="9" l="1"/>
  <c r="F1356" i="9" s="1"/>
  <c r="G1357" i="9"/>
  <c r="E1357" i="9" l="1"/>
  <c r="F1357" i="9" s="1"/>
  <c r="G1358" i="9"/>
  <c r="E1358" i="9" l="1"/>
  <c r="F1358" i="9" s="1"/>
  <c r="G1359" i="9"/>
  <c r="G1360" i="9" l="1"/>
  <c r="E1359" i="9"/>
  <c r="F1359" i="9" s="1"/>
  <c r="E1360" i="9" l="1"/>
  <c r="F1360" i="9" s="1"/>
  <c r="G1361" i="9"/>
  <c r="G1362" i="9" l="1"/>
  <c r="E1361" i="9"/>
  <c r="F1361" i="9" s="1"/>
  <c r="E1362" i="9" l="1"/>
  <c r="F1362" i="9" s="1"/>
  <c r="G1363" i="9"/>
  <c r="E1363" i="9" l="1"/>
  <c r="F1363" i="9" s="1"/>
  <c r="G1364" i="9"/>
  <c r="E1364" i="9" l="1"/>
  <c r="F1364" i="9" s="1"/>
  <c r="G1365" i="9"/>
  <c r="E1365" i="9" l="1"/>
  <c r="F1365" i="9" s="1"/>
  <c r="G1366" i="9"/>
  <c r="E1366" i="9" l="1"/>
  <c r="F1366" i="9" s="1"/>
  <c r="G1367" i="9"/>
  <c r="E1367" i="9" l="1"/>
  <c r="F1367" i="9" s="1"/>
  <c r="G1368" i="9"/>
  <c r="E1368" i="9" l="1"/>
  <c r="F1368" i="9" s="1"/>
  <c r="G1369" i="9"/>
  <c r="G1370" i="9" l="1"/>
  <c r="E1369" i="9"/>
  <c r="F1369" i="9" s="1"/>
  <c r="E1370" i="9" l="1"/>
  <c r="F1370" i="9" s="1"/>
  <c r="G1371" i="9"/>
  <c r="E1371" i="9" l="1"/>
  <c r="F1371" i="9" s="1"/>
  <c r="G1372" i="9"/>
  <c r="E1372" i="9" l="1"/>
  <c r="F1372" i="9" s="1"/>
  <c r="G1373" i="9"/>
  <c r="E1373" i="9" l="1"/>
  <c r="F1373" i="9" s="1"/>
  <c r="G1374" i="9"/>
  <c r="E1374" i="9" l="1"/>
  <c r="F1374" i="9" s="1"/>
  <c r="G1375" i="9"/>
  <c r="G1376" i="9" l="1"/>
  <c r="E1375" i="9"/>
  <c r="F1375" i="9" s="1"/>
  <c r="E1376" i="9" l="1"/>
  <c r="F1376" i="9" s="1"/>
  <c r="G1377" i="9"/>
  <c r="G1378" i="9" l="1"/>
  <c r="E1377" i="9"/>
  <c r="F1377" i="9" s="1"/>
  <c r="E1378" i="9" l="1"/>
  <c r="F1378" i="9" s="1"/>
  <c r="G1379" i="9"/>
  <c r="E1379" i="9" l="1"/>
  <c r="F1379" i="9" s="1"/>
  <c r="G1380" i="9"/>
  <c r="E1380" i="9" l="1"/>
  <c r="F1380" i="9" s="1"/>
  <c r="G1381" i="9"/>
  <c r="G1382" i="9" l="1"/>
  <c r="E1381" i="9"/>
  <c r="F1381" i="9" s="1"/>
  <c r="E1382" i="9" l="1"/>
  <c r="F1382" i="9" s="1"/>
  <c r="G1383" i="9"/>
  <c r="E1383" i="9" l="1"/>
  <c r="F1383" i="9" s="1"/>
  <c r="G1384" i="9"/>
  <c r="E1384" i="9" l="1"/>
  <c r="F1384" i="9" s="1"/>
  <c r="G1385" i="9"/>
  <c r="G1386" i="9" l="1"/>
  <c r="E1385" i="9"/>
  <c r="F1385" i="9" s="1"/>
  <c r="E1386" i="9" l="1"/>
  <c r="F1386" i="9" s="1"/>
  <c r="G1387" i="9"/>
  <c r="G1388" i="9" l="1"/>
  <c r="E1387" i="9"/>
  <c r="F1387" i="9" s="1"/>
  <c r="E1388" i="9" l="1"/>
  <c r="F1388" i="9" s="1"/>
  <c r="G1389" i="9"/>
  <c r="E1389" i="9" l="1"/>
  <c r="F1389" i="9" s="1"/>
  <c r="G1390" i="9"/>
  <c r="E1390" i="9" l="1"/>
  <c r="F1390" i="9" s="1"/>
  <c r="G1391" i="9"/>
  <c r="G1392" i="9" l="1"/>
  <c r="E1391" i="9"/>
  <c r="F1391" i="9" s="1"/>
  <c r="E1392" i="9" l="1"/>
  <c r="F1392" i="9" s="1"/>
  <c r="G1393" i="9"/>
  <c r="E1393" i="9" l="1"/>
  <c r="F1393" i="9" s="1"/>
  <c r="G1394" i="9"/>
  <c r="E1394" i="9" l="1"/>
  <c r="F1394" i="9" s="1"/>
  <c r="G1395" i="9"/>
  <c r="E1395" i="9" l="1"/>
  <c r="F1395" i="9" s="1"/>
  <c r="G1396" i="9"/>
  <c r="E1396" i="9" l="1"/>
  <c r="F1396" i="9" s="1"/>
  <c r="G1397" i="9"/>
  <c r="E1397" i="9" l="1"/>
  <c r="F1397" i="9" s="1"/>
  <c r="G1398" i="9"/>
  <c r="E1398" i="9" l="1"/>
  <c r="F1398" i="9" s="1"/>
  <c r="G1399" i="9"/>
  <c r="E1399" i="9" l="1"/>
  <c r="F1399" i="9" s="1"/>
  <c r="G1400" i="9"/>
  <c r="E1400" i="9" l="1"/>
  <c r="F1400" i="9" s="1"/>
  <c r="G1401" i="9"/>
  <c r="E1401" i="9" l="1"/>
  <c r="F1401" i="9" s="1"/>
  <c r="G1402" i="9"/>
  <c r="E1402" i="9" l="1"/>
  <c r="F1402" i="9" s="1"/>
  <c r="G1403" i="9"/>
  <c r="G1404" i="9" l="1"/>
  <c r="E1403" i="9"/>
  <c r="F1403" i="9" s="1"/>
  <c r="E1404" i="9" l="1"/>
  <c r="F1404" i="9" s="1"/>
  <c r="G1405" i="9"/>
  <c r="E1405" i="9" l="1"/>
  <c r="F1405" i="9" s="1"/>
  <c r="G1406" i="9"/>
  <c r="E1406" i="9" l="1"/>
  <c r="F1406" i="9" s="1"/>
  <c r="G1407" i="9"/>
  <c r="E1407" i="9" l="1"/>
  <c r="F1407" i="9" s="1"/>
  <c r="G1408" i="9"/>
  <c r="E1408" i="9" l="1"/>
  <c r="F1408" i="9" s="1"/>
  <c r="G1409" i="9"/>
  <c r="G1410" i="9" l="1"/>
  <c r="E1409" i="9"/>
  <c r="F1409" i="9" s="1"/>
  <c r="E1410" i="9" l="1"/>
  <c r="F1410" i="9" s="1"/>
  <c r="G1411" i="9"/>
  <c r="G1412" i="9" l="1"/>
  <c r="E1411" i="9"/>
  <c r="F1411" i="9" s="1"/>
  <c r="E1412" i="9" l="1"/>
  <c r="F1412" i="9" s="1"/>
  <c r="G1413" i="9"/>
  <c r="E1413" i="9" s="1"/>
  <c r="F1413" i="9" s="1"/>
  <c r="I8" i="9" s="1"/>
  <c r="I1411" i="9" l="1"/>
  <c r="I1407" i="9"/>
  <c r="I1405" i="9"/>
  <c r="I1403" i="9"/>
  <c r="I1409" i="9"/>
  <c r="I1413" i="9"/>
  <c r="I9" i="9"/>
  <c r="I10" i="9"/>
  <c r="I14" i="9"/>
  <c r="I11" i="9"/>
  <c r="I12" i="9"/>
  <c r="I15" i="9"/>
  <c r="I16" i="9"/>
  <c r="I13" i="9"/>
  <c r="I18" i="9"/>
  <c r="I17" i="9"/>
  <c r="I20" i="9"/>
  <c r="I19" i="9"/>
  <c r="I21" i="9"/>
  <c r="I22" i="9"/>
  <c r="I23" i="9"/>
  <c r="I25" i="9"/>
  <c r="I24" i="9"/>
  <c r="I27" i="9"/>
  <c r="I26" i="9"/>
  <c r="I28" i="9"/>
  <c r="I30" i="9"/>
  <c r="I29" i="9"/>
  <c r="I31" i="9"/>
  <c r="I32" i="9"/>
  <c r="I36" i="9"/>
  <c r="I33" i="9"/>
  <c r="I38" i="9"/>
  <c r="I34" i="9"/>
  <c r="I37" i="9"/>
  <c r="I35" i="9"/>
  <c r="I43" i="9"/>
  <c r="I39" i="9"/>
  <c r="I40" i="9"/>
  <c r="I41" i="9"/>
  <c r="I47" i="9"/>
  <c r="I42" i="9"/>
  <c r="I45" i="9"/>
  <c r="I49" i="9"/>
  <c r="I44" i="9"/>
  <c r="I46" i="9"/>
  <c r="I53" i="9"/>
  <c r="I51" i="9"/>
  <c r="I48" i="9"/>
  <c r="I50" i="9"/>
  <c r="I52" i="9"/>
  <c r="I55" i="9"/>
  <c r="I54" i="9"/>
  <c r="I57" i="9"/>
  <c r="I58" i="9"/>
  <c r="I56" i="9"/>
  <c r="I59" i="9"/>
  <c r="I60" i="9"/>
  <c r="I63" i="9"/>
  <c r="I61" i="9"/>
  <c r="I62" i="9"/>
  <c r="I64" i="9"/>
  <c r="I65" i="9"/>
  <c r="I66" i="9"/>
  <c r="I67" i="9"/>
  <c r="I69" i="9"/>
  <c r="I68" i="9"/>
  <c r="I71" i="9"/>
  <c r="I72" i="9"/>
  <c r="I70" i="9"/>
  <c r="I73" i="9"/>
  <c r="I75" i="9"/>
  <c r="I74" i="9"/>
  <c r="I77" i="9"/>
  <c r="I76" i="9"/>
  <c r="I78" i="9"/>
  <c r="I81" i="9"/>
  <c r="I79" i="9"/>
  <c r="I80" i="9"/>
  <c r="I83" i="9"/>
  <c r="I82" i="9"/>
  <c r="I86" i="9"/>
  <c r="I84" i="9"/>
  <c r="I85" i="9"/>
  <c r="I87" i="9"/>
  <c r="I91" i="9"/>
  <c r="I89" i="9"/>
  <c r="I88" i="9"/>
  <c r="I90" i="9"/>
  <c r="I92" i="9"/>
  <c r="I95" i="9"/>
  <c r="I94" i="9"/>
  <c r="I93" i="9"/>
  <c r="I96" i="9"/>
  <c r="I97" i="9"/>
  <c r="I99" i="9"/>
  <c r="I98" i="9"/>
  <c r="I102" i="9"/>
  <c r="I100" i="9"/>
  <c r="I101" i="9"/>
  <c r="I104" i="9"/>
  <c r="I107" i="9"/>
  <c r="I103" i="9"/>
  <c r="I106" i="9"/>
  <c r="I105" i="9"/>
  <c r="I108" i="9"/>
  <c r="I109" i="9"/>
  <c r="I110" i="9"/>
  <c r="I111" i="9"/>
  <c r="I112" i="9"/>
  <c r="I115" i="9"/>
  <c r="I114" i="9"/>
  <c r="I113" i="9"/>
  <c r="I118" i="9"/>
  <c r="I117" i="9"/>
  <c r="I119" i="9"/>
  <c r="I116" i="9"/>
  <c r="I120" i="9"/>
  <c r="I121" i="9"/>
  <c r="I122" i="9"/>
  <c r="I124" i="9"/>
  <c r="I123" i="9"/>
  <c r="I125" i="9"/>
  <c r="I126" i="9"/>
  <c r="I129" i="9"/>
  <c r="I127" i="9"/>
  <c r="I128" i="9"/>
  <c r="I131" i="9"/>
  <c r="I130" i="9"/>
  <c r="I132" i="9"/>
  <c r="I135" i="9"/>
  <c r="I133" i="9"/>
  <c r="I134" i="9"/>
  <c r="I137" i="9"/>
  <c r="I138" i="9"/>
  <c r="I136" i="9"/>
  <c r="I142" i="9"/>
  <c r="I140" i="9"/>
  <c r="I139" i="9"/>
  <c r="I141" i="9"/>
  <c r="I143" i="9"/>
  <c r="I144" i="9"/>
  <c r="I145" i="9"/>
  <c r="I146" i="9"/>
  <c r="I147" i="9"/>
  <c r="I148" i="9"/>
  <c r="I150" i="9"/>
  <c r="I151" i="9"/>
  <c r="I149" i="9"/>
  <c r="I152" i="9"/>
  <c r="I153" i="9"/>
  <c r="I154" i="9"/>
  <c r="I155" i="9"/>
  <c r="I156" i="9"/>
  <c r="I157" i="9"/>
  <c r="I158" i="9"/>
  <c r="I161" i="9"/>
  <c r="I160" i="9"/>
  <c r="I159" i="9"/>
  <c r="I165" i="9"/>
  <c r="I162" i="9"/>
  <c r="I163" i="9"/>
  <c r="I164" i="9"/>
  <c r="I167" i="9"/>
  <c r="I166" i="9"/>
  <c r="I171" i="9"/>
  <c r="I168" i="9"/>
  <c r="I169" i="9"/>
  <c r="I170" i="9"/>
  <c r="I172" i="9"/>
  <c r="I173" i="9"/>
  <c r="I174" i="9"/>
  <c r="I175" i="9"/>
  <c r="I177" i="9"/>
  <c r="I176" i="9"/>
  <c r="I178" i="9"/>
  <c r="I179" i="9"/>
  <c r="I180" i="9"/>
  <c r="I181" i="9"/>
  <c r="I182" i="9"/>
  <c r="I184" i="9"/>
  <c r="I183" i="9"/>
  <c r="I186" i="9"/>
  <c r="I187" i="9"/>
  <c r="I185" i="9"/>
  <c r="I188" i="9"/>
  <c r="I189" i="9"/>
  <c r="I190" i="9"/>
  <c r="I191" i="9"/>
  <c r="I194" i="9"/>
  <c r="I192" i="9"/>
  <c r="I193" i="9"/>
  <c r="I195" i="9"/>
  <c r="I196" i="9"/>
  <c r="I197" i="9"/>
  <c r="I198" i="9"/>
  <c r="I200" i="9"/>
  <c r="I199" i="9"/>
  <c r="I201" i="9"/>
  <c r="I202" i="9"/>
  <c r="I203" i="9"/>
  <c r="I204" i="9"/>
  <c r="I205" i="9"/>
  <c r="I207" i="9"/>
  <c r="I208" i="9"/>
  <c r="I206" i="9"/>
  <c r="I210" i="9"/>
  <c r="I209" i="9"/>
  <c r="I211" i="9"/>
  <c r="I212" i="9"/>
  <c r="I213" i="9"/>
  <c r="I214" i="9"/>
  <c r="I216" i="9"/>
  <c r="I215" i="9"/>
  <c r="I219" i="9"/>
  <c r="I217" i="9"/>
  <c r="I218" i="9"/>
  <c r="I220" i="9"/>
  <c r="I221" i="9"/>
  <c r="I222" i="9"/>
  <c r="I223" i="9"/>
  <c r="I224" i="9"/>
  <c r="I225" i="9"/>
  <c r="I226" i="9"/>
  <c r="I227" i="9"/>
  <c r="I230" i="9"/>
  <c r="I228" i="9"/>
  <c r="I229" i="9"/>
  <c r="I231" i="9"/>
  <c r="I232" i="9"/>
  <c r="I234" i="9"/>
  <c r="I233" i="9"/>
  <c r="I236" i="9"/>
  <c r="I235" i="9"/>
  <c r="I238" i="9"/>
  <c r="I237" i="9"/>
  <c r="I240" i="9"/>
  <c r="I239" i="9"/>
  <c r="I241" i="9"/>
  <c r="I243" i="9"/>
  <c r="I242" i="9"/>
  <c r="I244" i="9"/>
  <c r="I245" i="9"/>
  <c r="I246" i="9"/>
  <c r="I250" i="9"/>
  <c r="I247" i="9"/>
  <c r="I248" i="9"/>
  <c r="I249" i="9"/>
  <c r="I252" i="9"/>
  <c r="I251" i="9"/>
  <c r="I253" i="9"/>
  <c r="I256" i="9"/>
  <c r="I254" i="9"/>
  <c r="I257" i="9"/>
  <c r="I255" i="9"/>
  <c r="I258" i="9"/>
  <c r="I259" i="9"/>
  <c r="I261" i="9"/>
  <c r="I260" i="9"/>
  <c r="I262" i="9"/>
  <c r="I263" i="9"/>
  <c r="I265" i="9"/>
  <c r="I264" i="9"/>
  <c r="I266" i="9"/>
  <c r="I268" i="9"/>
  <c r="I267" i="9"/>
  <c r="I269" i="9"/>
  <c r="I270" i="9"/>
  <c r="I272" i="9"/>
  <c r="I274" i="9"/>
  <c r="I271" i="9"/>
  <c r="I273" i="9"/>
  <c r="I275" i="9"/>
  <c r="I276" i="9"/>
  <c r="I277" i="9"/>
  <c r="I278" i="9"/>
  <c r="I279" i="9"/>
  <c r="I280" i="9"/>
  <c r="I281" i="9"/>
  <c r="I282" i="9"/>
  <c r="I283" i="9"/>
  <c r="I285" i="9"/>
  <c r="I284" i="9"/>
  <c r="I287" i="9"/>
  <c r="I286" i="9"/>
  <c r="I288" i="9"/>
  <c r="I289" i="9"/>
  <c r="I291" i="9"/>
  <c r="I290" i="9"/>
  <c r="I292" i="9"/>
  <c r="I293" i="9"/>
  <c r="I294" i="9"/>
  <c r="I296" i="9"/>
  <c r="I295" i="9"/>
  <c r="I297" i="9"/>
  <c r="I298" i="9"/>
  <c r="I299" i="9"/>
  <c r="I300" i="9"/>
  <c r="I301" i="9"/>
  <c r="I303" i="9"/>
  <c r="I302" i="9"/>
  <c r="I304" i="9"/>
  <c r="I305" i="9"/>
  <c r="I310" i="9"/>
  <c r="I306" i="9"/>
  <c r="I307" i="9"/>
  <c r="I308" i="9"/>
  <c r="I312" i="9"/>
  <c r="I309" i="9"/>
  <c r="I311" i="9"/>
  <c r="I313" i="9"/>
  <c r="I314" i="9"/>
  <c r="I315" i="9"/>
  <c r="I316" i="9"/>
  <c r="I317" i="9"/>
  <c r="I319" i="9"/>
  <c r="I318" i="9"/>
  <c r="I321" i="9"/>
  <c r="I320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7" i="9"/>
  <c r="I336" i="9"/>
  <c r="I339" i="9"/>
  <c r="I338" i="9"/>
  <c r="I340" i="9"/>
  <c r="I341" i="9"/>
  <c r="I342" i="9"/>
  <c r="I343" i="9"/>
  <c r="I344" i="9"/>
  <c r="I346" i="9"/>
  <c r="I345" i="9"/>
  <c r="I347" i="9"/>
  <c r="I348" i="9"/>
  <c r="I349" i="9"/>
  <c r="I350" i="9"/>
  <c r="I351" i="9"/>
  <c r="I352" i="9"/>
  <c r="I353" i="9"/>
  <c r="I355" i="9"/>
  <c r="I354" i="9"/>
  <c r="I356" i="9"/>
  <c r="I357" i="9"/>
  <c r="I358" i="9"/>
  <c r="I359" i="9"/>
  <c r="I360" i="9"/>
  <c r="I361" i="9"/>
  <c r="I363" i="9"/>
  <c r="I362" i="9"/>
  <c r="I364" i="9"/>
  <c r="I365" i="9"/>
  <c r="I366" i="9"/>
  <c r="I367" i="9"/>
  <c r="I368" i="9"/>
  <c r="I369" i="9"/>
  <c r="I370" i="9"/>
  <c r="I371" i="9"/>
  <c r="I372" i="9"/>
  <c r="I374" i="9"/>
  <c r="I373" i="9"/>
  <c r="I375" i="9"/>
  <c r="I377" i="9"/>
  <c r="I376" i="9"/>
  <c r="I378" i="9"/>
  <c r="I379" i="9"/>
  <c r="I380" i="9"/>
  <c r="I381" i="9"/>
  <c r="I382" i="9"/>
  <c r="I383" i="9"/>
  <c r="I384" i="9"/>
  <c r="I386" i="9"/>
  <c r="I385" i="9"/>
  <c r="I387" i="9"/>
  <c r="I388" i="9"/>
  <c r="I390" i="9"/>
  <c r="I389" i="9"/>
  <c r="I391" i="9"/>
  <c r="I392" i="9"/>
  <c r="I393" i="9"/>
  <c r="I394" i="9"/>
  <c r="I396" i="9"/>
  <c r="I395" i="9"/>
  <c r="I397" i="9"/>
  <c r="I398" i="9"/>
  <c r="I399" i="9"/>
  <c r="I400" i="9"/>
  <c r="I401" i="9"/>
  <c r="I402" i="9"/>
  <c r="I403" i="9"/>
  <c r="I404" i="9"/>
  <c r="I405" i="9"/>
  <c r="I406" i="9"/>
  <c r="I408" i="9"/>
  <c r="I407" i="9"/>
  <c r="I410" i="9"/>
  <c r="I409" i="9"/>
  <c r="I411" i="9"/>
  <c r="I412" i="9"/>
  <c r="I413" i="9"/>
  <c r="I414" i="9"/>
  <c r="I415" i="9"/>
  <c r="I417" i="9"/>
  <c r="I416" i="9"/>
  <c r="I418" i="9"/>
  <c r="I419" i="9"/>
  <c r="I420" i="9"/>
  <c r="I421" i="9"/>
  <c r="I423" i="9"/>
  <c r="I422" i="9"/>
  <c r="I424" i="9"/>
  <c r="I425" i="9"/>
  <c r="I428" i="9"/>
  <c r="I426" i="9"/>
  <c r="I427" i="9"/>
  <c r="I429" i="9"/>
  <c r="I430" i="9"/>
  <c r="I431" i="9"/>
  <c r="I432" i="9"/>
  <c r="I433" i="9"/>
  <c r="I434" i="9"/>
  <c r="I435" i="9"/>
  <c r="I437" i="9"/>
  <c r="I436" i="9"/>
  <c r="I438" i="9"/>
  <c r="I439" i="9"/>
  <c r="I440" i="9"/>
  <c r="I441" i="9"/>
  <c r="I442" i="9"/>
  <c r="I443" i="9"/>
  <c r="I444" i="9"/>
  <c r="I445" i="9"/>
  <c r="I447" i="9"/>
  <c r="I446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7" i="9"/>
  <c r="I476" i="9"/>
  <c r="I478" i="9"/>
  <c r="I479" i="9"/>
  <c r="I480" i="9"/>
  <c r="I481" i="9"/>
  <c r="I482" i="9"/>
  <c r="I483" i="9"/>
  <c r="I484" i="9"/>
  <c r="I486" i="9"/>
  <c r="I485" i="9"/>
  <c r="I487" i="9"/>
  <c r="I488" i="9"/>
  <c r="I489" i="9"/>
  <c r="I490" i="9"/>
  <c r="I491" i="9"/>
  <c r="I493" i="9"/>
  <c r="I492" i="9"/>
  <c r="I494" i="9"/>
  <c r="I495" i="9"/>
  <c r="I496" i="9"/>
  <c r="I498" i="9"/>
  <c r="I497" i="9"/>
  <c r="I499" i="9"/>
  <c r="I500" i="9"/>
  <c r="I501" i="9"/>
  <c r="I502" i="9"/>
  <c r="I503" i="9"/>
  <c r="I504" i="9"/>
  <c r="I505" i="9"/>
  <c r="I506" i="9"/>
  <c r="I508" i="9"/>
  <c r="I507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1" i="9"/>
  <c r="I570" i="9"/>
  <c r="I572" i="9"/>
  <c r="I573" i="9"/>
  <c r="I574" i="9"/>
  <c r="I575" i="9"/>
  <c r="I576" i="9"/>
  <c r="I578" i="9"/>
  <c r="I577" i="9"/>
  <c r="I579" i="9"/>
  <c r="I580" i="9"/>
  <c r="I581" i="9"/>
  <c r="I583" i="9"/>
  <c r="I582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12" i="9"/>
  <c r="I1404" i="9"/>
  <c r="I1410" i="9"/>
  <c r="I1406" i="9"/>
  <c r="I1408" i="9"/>
  <c r="M14" i="9" l="1"/>
  <c r="D1764" i="3" l="1"/>
  <c r="E1764" i="3" s="1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2" i="3"/>
  <c r="F2" i="3"/>
  <c r="F3" i="3" l="1"/>
  <c r="F4" i="3" s="1"/>
  <c r="F5" i="3" s="1"/>
  <c r="D5" i="3" s="1"/>
  <c r="K14" i="3"/>
  <c r="E5" i="3" l="1"/>
  <c r="F6" i="3"/>
  <c r="D6" i="3" l="1"/>
  <c r="E6" i="3" s="1"/>
  <c r="F7" i="3"/>
  <c r="D7" i="3" l="1"/>
  <c r="E7" i="3" s="1"/>
  <c r="F8" i="3"/>
  <c r="D8" i="3" l="1"/>
  <c r="E8" i="3" s="1"/>
  <c r="F9" i="3"/>
  <c r="F10" i="3" l="1"/>
  <c r="D9" i="3"/>
  <c r="E9" i="3" s="1"/>
  <c r="D10" i="3" l="1"/>
  <c r="E10" i="3" s="1"/>
  <c r="F11" i="3"/>
  <c r="F12" i="3" l="1"/>
  <c r="D11" i="3"/>
  <c r="E11" i="3" s="1"/>
  <c r="D12" i="3" l="1"/>
  <c r="E12" i="3" s="1"/>
  <c r="F13" i="3"/>
  <c r="D13" i="3" l="1"/>
  <c r="E13" i="3" s="1"/>
  <c r="F14" i="3"/>
  <c r="D14" i="3" l="1"/>
  <c r="E14" i="3" s="1"/>
  <c r="F15" i="3"/>
  <c r="D15" i="3" l="1"/>
  <c r="E15" i="3" s="1"/>
  <c r="F16" i="3"/>
  <c r="D16" i="3" l="1"/>
  <c r="E16" i="3" s="1"/>
  <c r="F17" i="3"/>
  <c r="D17" i="3" l="1"/>
  <c r="E17" i="3" s="1"/>
  <c r="F18" i="3"/>
  <c r="D18" i="3" l="1"/>
  <c r="E18" i="3" s="1"/>
  <c r="F19" i="3"/>
  <c r="D19" i="3" l="1"/>
  <c r="E19" i="3" s="1"/>
  <c r="F20" i="3"/>
  <c r="D20" i="3" l="1"/>
  <c r="E20" i="3" s="1"/>
  <c r="F21" i="3"/>
  <c r="D21" i="3" l="1"/>
  <c r="E21" i="3" s="1"/>
  <c r="F22" i="3"/>
  <c r="D22" i="3" l="1"/>
  <c r="E22" i="3" s="1"/>
  <c r="F23" i="3"/>
  <c r="F24" i="3" l="1"/>
  <c r="D23" i="3"/>
  <c r="E23" i="3" s="1"/>
  <c r="D24" i="3" l="1"/>
  <c r="E24" i="3" s="1"/>
  <c r="F25" i="3"/>
  <c r="F26" i="3" l="1"/>
  <c r="D25" i="3"/>
  <c r="E25" i="3" s="1"/>
  <c r="D26" i="3" l="1"/>
  <c r="E26" i="3" s="1"/>
  <c r="F27" i="3"/>
  <c r="D27" i="3" l="1"/>
  <c r="E27" i="3" s="1"/>
  <c r="F28" i="3"/>
  <c r="D28" i="3" l="1"/>
  <c r="E28" i="3" s="1"/>
  <c r="F29" i="3"/>
  <c r="D29" i="3" l="1"/>
  <c r="E29" i="3" s="1"/>
  <c r="F30" i="3"/>
  <c r="D30" i="3" l="1"/>
  <c r="E30" i="3" s="1"/>
  <c r="F31" i="3"/>
  <c r="D31" i="3" l="1"/>
  <c r="E31" i="3" s="1"/>
  <c r="F32" i="3"/>
  <c r="D32" i="3" l="1"/>
  <c r="E32" i="3" s="1"/>
  <c r="F33" i="3"/>
  <c r="D33" i="3" l="1"/>
  <c r="E33" i="3" s="1"/>
  <c r="F34" i="3"/>
  <c r="D34" i="3" l="1"/>
  <c r="E34" i="3" s="1"/>
  <c r="F35" i="3"/>
  <c r="F36" i="3" l="1"/>
  <c r="D35" i="3"/>
  <c r="E35" i="3" s="1"/>
  <c r="D36" i="3" l="1"/>
  <c r="E36" i="3" s="1"/>
  <c r="F37" i="3"/>
  <c r="F38" i="3" l="1"/>
  <c r="D37" i="3"/>
  <c r="E37" i="3" s="1"/>
  <c r="D38" i="3" l="1"/>
  <c r="E38" i="3" s="1"/>
  <c r="F39" i="3"/>
  <c r="D39" i="3" l="1"/>
  <c r="E39" i="3" s="1"/>
  <c r="F40" i="3"/>
  <c r="D40" i="3" l="1"/>
  <c r="E40" i="3" s="1"/>
  <c r="F41" i="3"/>
  <c r="D41" i="3" l="1"/>
  <c r="E41" i="3" s="1"/>
  <c r="F42" i="3"/>
  <c r="D42" i="3" l="1"/>
  <c r="E42" i="3" s="1"/>
  <c r="F43" i="3"/>
  <c r="D43" i="3" l="1"/>
  <c r="E43" i="3" s="1"/>
  <c r="F44" i="3"/>
  <c r="D44" i="3" l="1"/>
  <c r="E44" i="3" s="1"/>
  <c r="F45" i="3"/>
  <c r="D45" i="3" l="1"/>
  <c r="E45" i="3" s="1"/>
  <c r="F46" i="3"/>
  <c r="D46" i="3" l="1"/>
  <c r="E46" i="3" s="1"/>
  <c r="F47" i="3"/>
  <c r="F48" i="3" l="1"/>
  <c r="D47" i="3"/>
  <c r="E47" i="3" s="1"/>
  <c r="D48" i="3" l="1"/>
  <c r="E48" i="3" s="1"/>
  <c r="F49" i="3"/>
  <c r="F50" i="3" l="1"/>
  <c r="D49" i="3"/>
  <c r="E49" i="3" s="1"/>
  <c r="D50" i="3" l="1"/>
  <c r="E50" i="3" s="1"/>
  <c r="F51" i="3"/>
  <c r="D51" i="3" l="1"/>
  <c r="E51" i="3" s="1"/>
  <c r="F52" i="3"/>
  <c r="D52" i="3" l="1"/>
  <c r="E52" i="3" s="1"/>
  <c r="F53" i="3"/>
  <c r="D53" i="3" l="1"/>
  <c r="E53" i="3" s="1"/>
  <c r="F54" i="3"/>
  <c r="D54" i="3" l="1"/>
  <c r="E54" i="3" s="1"/>
  <c r="F55" i="3"/>
  <c r="D55" i="3" l="1"/>
  <c r="E55" i="3" s="1"/>
  <c r="F56" i="3"/>
  <c r="D56" i="3" l="1"/>
  <c r="E56" i="3" s="1"/>
  <c r="F57" i="3"/>
  <c r="D57" i="3" l="1"/>
  <c r="E57" i="3" s="1"/>
  <c r="F58" i="3"/>
  <c r="D58" i="3" l="1"/>
  <c r="E58" i="3" s="1"/>
  <c r="F59" i="3"/>
  <c r="F60" i="3" l="1"/>
  <c r="D59" i="3"/>
  <c r="E59" i="3" s="1"/>
  <c r="D60" i="3" l="1"/>
  <c r="E60" i="3" s="1"/>
  <c r="F61" i="3"/>
  <c r="F62" i="3" l="1"/>
  <c r="D61" i="3"/>
  <c r="E61" i="3" s="1"/>
  <c r="D62" i="3" l="1"/>
  <c r="E62" i="3" s="1"/>
  <c r="F63" i="3"/>
  <c r="D63" i="3" l="1"/>
  <c r="E63" i="3" s="1"/>
  <c r="F64" i="3"/>
  <c r="F65" i="3" l="1"/>
  <c r="D64" i="3"/>
  <c r="E64" i="3" s="1"/>
  <c r="D65" i="3" l="1"/>
  <c r="E65" i="3" s="1"/>
  <c r="F66" i="3"/>
  <c r="F67" i="3" l="1"/>
  <c r="D66" i="3"/>
  <c r="E66" i="3" s="1"/>
  <c r="D67" i="3" l="1"/>
  <c r="E67" i="3" s="1"/>
  <c r="F68" i="3"/>
  <c r="D68" i="3" l="1"/>
  <c r="E68" i="3" s="1"/>
  <c r="F69" i="3"/>
  <c r="D69" i="3" l="1"/>
  <c r="E69" i="3" s="1"/>
  <c r="F70" i="3"/>
  <c r="D70" i="3" l="1"/>
  <c r="E70" i="3" s="1"/>
  <c r="F71" i="3"/>
  <c r="D71" i="3" l="1"/>
  <c r="E71" i="3" s="1"/>
  <c r="F72" i="3"/>
  <c r="F73" i="3" l="1"/>
  <c r="D72" i="3"/>
  <c r="E72" i="3" s="1"/>
  <c r="D73" i="3" l="1"/>
  <c r="E73" i="3" s="1"/>
  <c r="F74" i="3"/>
  <c r="D74" i="3" l="1"/>
  <c r="E74" i="3" s="1"/>
  <c r="F75" i="3"/>
  <c r="D75" i="3" l="1"/>
  <c r="E75" i="3" s="1"/>
  <c r="F76" i="3"/>
  <c r="F77" i="3" l="1"/>
  <c r="D76" i="3"/>
  <c r="E76" i="3" s="1"/>
  <c r="D77" i="3" l="1"/>
  <c r="E77" i="3" s="1"/>
  <c r="F78" i="3"/>
  <c r="D78" i="3" l="1"/>
  <c r="E78" i="3" s="1"/>
  <c r="F79" i="3"/>
  <c r="D79" i="3" l="1"/>
  <c r="E79" i="3" s="1"/>
  <c r="F80" i="3"/>
  <c r="D80" i="3" l="1"/>
  <c r="E80" i="3" s="1"/>
  <c r="F81" i="3"/>
  <c r="D81" i="3" l="1"/>
  <c r="E81" i="3" s="1"/>
  <c r="F82" i="3"/>
  <c r="D82" i="3" l="1"/>
  <c r="E82" i="3" s="1"/>
  <c r="F83" i="3"/>
  <c r="D83" i="3" l="1"/>
  <c r="E83" i="3" s="1"/>
  <c r="F84" i="3"/>
  <c r="F85" i="3" l="1"/>
  <c r="D84" i="3"/>
  <c r="E84" i="3" s="1"/>
  <c r="D85" i="3" l="1"/>
  <c r="E85" i="3" s="1"/>
  <c r="F86" i="3"/>
  <c r="D86" i="3" l="1"/>
  <c r="E86" i="3" s="1"/>
  <c r="F87" i="3"/>
  <c r="D87" i="3" l="1"/>
  <c r="E87" i="3" s="1"/>
  <c r="F88" i="3"/>
  <c r="D88" i="3" l="1"/>
  <c r="E88" i="3" s="1"/>
  <c r="F89" i="3"/>
  <c r="D89" i="3" l="1"/>
  <c r="E89" i="3" s="1"/>
  <c r="F90" i="3"/>
  <c r="F91" i="3" l="1"/>
  <c r="D90" i="3"/>
  <c r="E90" i="3" s="1"/>
  <c r="D91" i="3" l="1"/>
  <c r="E91" i="3" s="1"/>
  <c r="F92" i="3"/>
  <c r="D92" i="3" l="1"/>
  <c r="E92" i="3" s="1"/>
  <c r="F93" i="3"/>
  <c r="D93" i="3" l="1"/>
  <c r="E93" i="3" s="1"/>
  <c r="F94" i="3"/>
  <c r="F95" i="3" l="1"/>
  <c r="D94" i="3"/>
  <c r="E94" i="3" s="1"/>
  <c r="F96" i="3" l="1"/>
  <c r="D95" i="3"/>
  <c r="E95" i="3" s="1"/>
  <c r="D96" i="3" l="1"/>
  <c r="E96" i="3" s="1"/>
  <c r="F97" i="3"/>
  <c r="D97" i="3" l="1"/>
  <c r="E97" i="3" s="1"/>
  <c r="F98" i="3"/>
  <c r="D98" i="3" l="1"/>
  <c r="E98" i="3" s="1"/>
  <c r="F99" i="3"/>
  <c r="D99" i="3" l="1"/>
  <c r="E99" i="3" s="1"/>
  <c r="F100" i="3"/>
  <c r="D100" i="3" l="1"/>
  <c r="E100" i="3" s="1"/>
  <c r="F101" i="3"/>
  <c r="D101" i="3" l="1"/>
  <c r="E101" i="3" s="1"/>
  <c r="F102" i="3"/>
  <c r="D102" i="3" l="1"/>
  <c r="E102" i="3" s="1"/>
  <c r="F103" i="3"/>
  <c r="D103" i="3" l="1"/>
  <c r="E103" i="3" s="1"/>
  <c r="F104" i="3"/>
  <c r="D104" i="3" l="1"/>
  <c r="E104" i="3" s="1"/>
  <c r="F105" i="3"/>
  <c r="D105" i="3" l="1"/>
  <c r="E105" i="3" s="1"/>
  <c r="F106" i="3"/>
  <c r="D106" i="3" l="1"/>
  <c r="E106" i="3" s="1"/>
  <c r="F107" i="3"/>
  <c r="F108" i="3" l="1"/>
  <c r="D107" i="3"/>
  <c r="E107" i="3" s="1"/>
  <c r="F109" i="3" l="1"/>
  <c r="D108" i="3"/>
  <c r="E108" i="3" s="1"/>
  <c r="D109" i="3" l="1"/>
  <c r="E109" i="3" s="1"/>
  <c r="F110" i="3"/>
  <c r="D110" i="3" l="1"/>
  <c r="E110" i="3" s="1"/>
  <c r="F111" i="3"/>
  <c r="D111" i="3" l="1"/>
  <c r="E111" i="3" s="1"/>
  <c r="F112" i="3"/>
  <c r="D112" i="3" l="1"/>
  <c r="E112" i="3" s="1"/>
  <c r="F113" i="3"/>
  <c r="F114" i="3" l="1"/>
  <c r="D113" i="3"/>
  <c r="E113" i="3" s="1"/>
  <c r="D114" i="3" l="1"/>
  <c r="E114" i="3" s="1"/>
  <c r="F115" i="3"/>
  <c r="D115" i="3" l="1"/>
  <c r="E115" i="3" s="1"/>
  <c r="F116" i="3"/>
  <c r="D116" i="3" l="1"/>
  <c r="E116" i="3" s="1"/>
  <c r="F117" i="3"/>
  <c r="D117" i="3" l="1"/>
  <c r="E117" i="3" s="1"/>
  <c r="F118" i="3"/>
  <c r="D118" i="3" l="1"/>
  <c r="E118" i="3" s="1"/>
  <c r="F119" i="3"/>
  <c r="F120" i="3" l="1"/>
  <c r="D119" i="3"/>
  <c r="E119" i="3" s="1"/>
  <c r="D120" i="3" l="1"/>
  <c r="E120" i="3" s="1"/>
  <c r="F121" i="3"/>
  <c r="D121" i="3" l="1"/>
  <c r="E121" i="3" s="1"/>
  <c r="F122" i="3"/>
  <c r="D122" i="3" l="1"/>
  <c r="E122" i="3" s="1"/>
  <c r="F123" i="3"/>
  <c r="D123" i="3" l="1"/>
  <c r="E123" i="3" s="1"/>
  <c r="F124" i="3"/>
  <c r="D124" i="3" l="1"/>
  <c r="E124" i="3" s="1"/>
  <c r="F125" i="3"/>
  <c r="F126" i="3" l="1"/>
  <c r="D125" i="3"/>
  <c r="E125" i="3" s="1"/>
  <c r="F127" i="3" l="1"/>
  <c r="D126" i="3"/>
  <c r="E126" i="3" s="1"/>
  <c r="D127" i="3" l="1"/>
  <c r="E127" i="3" s="1"/>
  <c r="F128" i="3"/>
  <c r="D128" i="3" l="1"/>
  <c r="E128" i="3" s="1"/>
  <c r="F129" i="3"/>
  <c r="D129" i="3" l="1"/>
  <c r="E129" i="3" s="1"/>
  <c r="F130" i="3"/>
  <c r="D130" i="3" l="1"/>
  <c r="E130" i="3" s="1"/>
  <c r="F131" i="3"/>
  <c r="D131" i="3" l="1"/>
  <c r="E131" i="3" s="1"/>
  <c r="F132" i="3"/>
  <c r="F133" i="3" l="1"/>
  <c r="D132" i="3"/>
  <c r="E132" i="3" s="1"/>
  <c r="D133" i="3" l="1"/>
  <c r="E133" i="3" s="1"/>
  <c r="F134" i="3"/>
  <c r="D134" i="3" l="1"/>
  <c r="E134" i="3" s="1"/>
  <c r="F135" i="3"/>
  <c r="D135" i="3" l="1"/>
  <c r="E135" i="3" s="1"/>
  <c r="F136" i="3"/>
  <c r="D136" i="3" l="1"/>
  <c r="E136" i="3" s="1"/>
  <c r="F137" i="3"/>
  <c r="F138" i="3" l="1"/>
  <c r="D137" i="3"/>
  <c r="E137" i="3" s="1"/>
  <c r="F139" i="3" l="1"/>
  <c r="D138" i="3"/>
  <c r="E138" i="3" s="1"/>
  <c r="D139" i="3" l="1"/>
  <c r="E139" i="3" s="1"/>
  <c r="F140" i="3"/>
  <c r="D140" i="3" l="1"/>
  <c r="E140" i="3" s="1"/>
  <c r="F141" i="3"/>
  <c r="D141" i="3" l="1"/>
  <c r="E141" i="3" s="1"/>
  <c r="F142" i="3"/>
  <c r="D142" i="3" l="1"/>
  <c r="E142" i="3" s="1"/>
  <c r="F143" i="3"/>
  <c r="D143" i="3" l="1"/>
  <c r="E143" i="3" s="1"/>
  <c r="F144" i="3"/>
  <c r="F145" i="3" l="1"/>
  <c r="D144" i="3"/>
  <c r="E144" i="3" s="1"/>
  <c r="D145" i="3" l="1"/>
  <c r="E145" i="3" s="1"/>
  <c r="F146" i="3"/>
  <c r="D146" i="3" l="1"/>
  <c r="E146" i="3" s="1"/>
  <c r="F147" i="3"/>
  <c r="D147" i="3" l="1"/>
  <c r="E147" i="3" s="1"/>
  <c r="F148" i="3"/>
  <c r="D148" i="3" l="1"/>
  <c r="E148" i="3" s="1"/>
  <c r="F149" i="3"/>
  <c r="F150" i="3" l="1"/>
  <c r="D149" i="3"/>
  <c r="E149" i="3" s="1"/>
  <c r="F151" i="3" l="1"/>
  <c r="D150" i="3"/>
  <c r="E150" i="3" s="1"/>
  <c r="D151" i="3" l="1"/>
  <c r="E151" i="3" s="1"/>
  <c r="F152" i="3"/>
  <c r="D152" i="3" l="1"/>
  <c r="E152" i="3" s="1"/>
  <c r="F153" i="3"/>
  <c r="D153" i="3" l="1"/>
  <c r="E153" i="3" s="1"/>
  <c r="F154" i="3"/>
  <c r="D154" i="3" l="1"/>
  <c r="E154" i="3" s="1"/>
  <c r="F155" i="3"/>
  <c r="D155" i="3" l="1"/>
  <c r="E155" i="3" s="1"/>
  <c r="F156" i="3"/>
  <c r="F157" i="3" l="1"/>
  <c r="D156" i="3"/>
  <c r="E156" i="3" s="1"/>
  <c r="D157" i="3" l="1"/>
  <c r="E157" i="3" s="1"/>
  <c r="F158" i="3"/>
  <c r="D158" i="3" l="1"/>
  <c r="E158" i="3" s="1"/>
  <c r="F159" i="3"/>
  <c r="D159" i="3" l="1"/>
  <c r="E159" i="3" s="1"/>
  <c r="F160" i="3"/>
  <c r="D160" i="3" l="1"/>
  <c r="E160" i="3" s="1"/>
  <c r="F161" i="3"/>
  <c r="F162" i="3" l="1"/>
  <c r="D161" i="3"/>
  <c r="E161" i="3" s="1"/>
  <c r="D162" i="3" l="1"/>
  <c r="E162" i="3" s="1"/>
  <c r="F163" i="3"/>
  <c r="D163" i="3" l="1"/>
  <c r="E163" i="3" s="1"/>
  <c r="F164" i="3"/>
  <c r="D164" i="3" l="1"/>
  <c r="E164" i="3" s="1"/>
  <c r="F165" i="3"/>
  <c r="D165" i="3" l="1"/>
  <c r="E165" i="3" s="1"/>
  <c r="F166" i="3"/>
  <c r="F167" i="3" l="1"/>
  <c r="D166" i="3"/>
  <c r="E166" i="3" s="1"/>
  <c r="D167" i="3" l="1"/>
  <c r="E167" i="3" s="1"/>
  <c r="F168" i="3"/>
  <c r="F169" i="3" l="1"/>
  <c r="D168" i="3"/>
  <c r="E168" i="3" s="1"/>
  <c r="D169" i="3" l="1"/>
  <c r="E169" i="3" s="1"/>
  <c r="F170" i="3"/>
  <c r="D170" i="3" l="1"/>
  <c r="E170" i="3" s="1"/>
  <c r="F171" i="3"/>
  <c r="D171" i="3" l="1"/>
  <c r="E171" i="3" s="1"/>
  <c r="F172" i="3"/>
  <c r="D172" i="3" l="1"/>
  <c r="E172" i="3" s="1"/>
  <c r="F173" i="3"/>
  <c r="F174" i="3" l="1"/>
  <c r="D173" i="3"/>
  <c r="E173" i="3" s="1"/>
  <c r="D174" i="3" l="1"/>
  <c r="E174" i="3" s="1"/>
  <c r="F175" i="3"/>
  <c r="D175" i="3" l="1"/>
  <c r="E175" i="3" s="1"/>
  <c r="F176" i="3"/>
  <c r="D176" i="3" l="1"/>
  <c r="E176" i="3" s="1"/>
  <c r="F177" i="3"/>
  <c r="D177" i="3" l="1"/>
  <c r="E177" i="3" s="1"/>
  <c r="F178" i="3"/>
  <c r="F179" i="3" l="1"/>
  <c r="D178" i="3"/>
  <c r="E178" i="3" s="1"/>
  <c r="D179" i="3" l="1"/>
  <c r="E179" i="3" s="1"/>
  <c r="F180" i="3"/>
  <c r="F181" i="3" l="1"/>
  <c r="D180" i="3"/>
  <c r="E180" i="3" s="1"/>
  <c r="D181" i="3" l="1"/>
  <c r="E181" i="3" s="1"/>
  <c r="F182" i="3"/>
  <c r="D182" i="3" l="1"/>
  <c r="E182" i="3" s="1"/>
  <c r="F183" i="3"/>
  <c r="D183" i="3" l="1"/>
  <c r="E183" i="3" s="1"/>
  <c r="F184" i="3"/>
  <c r="D184" i="3" l="1"/>
  <c r="E184" i="3" s="1"/>
  <c r="F185" i="3"/>
  <c r="F186" i="3" l="1"/>
  <c r="D185" i="3"/>
  <c r="E185" i="3" s="1"/>
  <c r="D186" i="3" l="1"/>
  <c r="E186" i="3" s="1"/>
  <c r="F187" i="3"/>
  <c r="D187" i="3" l="1"/>
  <c r="E187" i="3" s="1"/>
  <c r="F188" i="3"/>
  <c r="D188" i="3" l="1"/>
  <c r="E188" i="3" s="1"/>
  <c r="F189" i="3"/>
  <c r="D189" i="3" l="1"/>
  <c r="E189" i="3" s="1"/>
  <c r="F190" i="3"/>
  <c r="F191" i="3" l="1"/>
  <c r="D190" i="3"/>
  <c r="E190" i="3" s="1"/>
  <c r="D191" i="3" l="1"/>
  <c r="E191" i="3" s="1"/>
  <c r="F192" i="3"/>
  <c r="F193" i="3" l="1"/>
  <c r="D192" i="3"/>
  <c r="E192" i="3" s="1"/>
  <c r="D193" i="3" l="1"/>
  <c r="E193" i="3" s="1"/>
  <c r="F194" i="3"/>
  <c r="D194" i="3" l="1"/>
  <c r="E194" i="3" s="1"/>
  <c r="F195" i="3"/>
  <c r="D195" i="3" l="1"/>
  <c r="E195" i="3" s="1"/>
  <c r="F196" i="3"/>
  <c r="D196" i="3" l="1"/>
  <c r="E196" i="3" s="1"/>
  <c r="F197" i="3"/>
  <c r="F198" i="3" l="1"/>
  <c r="D197" i="3"/>
  <c r="E197" i="3" s="1"/>
  <c r="D198" i="3" l="1"/>
  <c r="E198" i="3" s="1"/>
  <c r="F199" i="3"/>
  <c r="D199" i="3" l="1"/>
  <c r="E199" i="3" s="1"/>
  <c r="F200" i="3"/>
  <c r="D200" i="3" l="1"/>
  <c r="E200" i="3" s="1"/>
  <c r="F201" i="3"/>
  <c r="D201" i="3" l="1"/>
  <c r="E201" i="3" s="1"/>
  <c r="F202" i="3"/>
  <c r="F203" i="3" l="1"/>
  <c r="D202" i="3"/>
  <c r="E202" i="3" s="1"/>
  <c r="D203" i="3" l="1"/>
  <c r="E203" i="3" s="1"/>
  <c r="F204" i="3"/>
  <c r="F205" i="3" l="1"/>
  <c r="D204" i="3"/>
  <c r="E204" i="3" s="1"/>
  <c r="D205" i="3" l="1"/>
  <c r="E205" i="3" s="1"/>
  <c r="F206" i="3"/>
  <c r="D206" i="3" l="1"/>
  <c r="E206" i="3" s="1"/>
  <c r="F207" i="3"/>
  <c r="D207" i="3" l="1"/>
  <c r="E207" i="3" s="1"/>
  <c r="F208" i="3"/>
  <c r="D208" i="3" l="1"/>
  <c r="E208" i="3" s="1"/>
  <c r="F209" i="3"/>
  <c r="F210" i="3" l="1"/>
  <c r="D209" i="3"/>
  <c r="E209" i="3" s="1"/>
  <c r="D210" i="3" l="1"/>
  <c r="E210" i="3" s="1"/>
  <c r="F211" i="3"/>
  <c r="D211" i="3" l="1"/>
  <c r="E211" i="3" s="1"/>
  <c r="F212" i="3"/>
  <c r="D212" i="3" l="1"/>
  <c r="E212" i="3" s="1"/>
  <c r="F213" i="3"/>
  <c r="D213" i="3" l="1"/>
  <c r="E213" i="3" s="1"/>
  <c r="F214" i="3"/>
  <c r="F215" i="3" l="1"/>
  <c r="D214" i="3"/>
  <c r="E214" i="3" s="1"/>
  <c r="D215" i="3" l="1"/>
  <c r="E215" i="3" s="1"/>
  <c r="F216" i="3"/>
  <c r="F217" i="3" l="1"/>
  <c r="D216" i="3"/>
  <c r="E216" i="3" s="1"/>
  <c r="D217" i="3" l="1"/>
  <c r="E217" i="3" s="1"/>
  <c r="F218" i="3"/>
  <c r="D218" i="3" l="1"/>
  <c r="E218" i="3" s="1"/>
  <c r="F219" i="3"/>
  <c r="D219" i="3" l="1"/>
  <c r="E219" i="3" s="1"/>
  <c r="F220" i="3"/>
  <c r="D220" i="3" l="1"/>
  <c r="E220" i="3" s="1"/>
  <c r="F221" i="3"/>
  <c r="F222" i="3" l="1"/>
  <c r="D221" i="3"/>
  <c r="E221" i="3" s="1"/>
  <c r="D222" i="3" l="1"/>
  <c r="E222" i="3" s="1"/>
  <c r="F223" i="3"/>
  <c r="D223" i="3" l="1"/>
  <c r="E223" i="3" s="1"/>
  <c r="F224" i="3"/>
  <c r="D224" i="3" l="1"/>
  <c r="E224" i="3" s="1"/>
  <c r="F225" i="3"/>
  <c r="D225" i="3" l="1"/>
  <c r="E225" i="3" s="1"/>
  <c r="F226" i="3"/>
  <c r="F227" i="3" l="1"/>
  <c r="D226" i="3"/>
  <c r="E226" i="3" s="1"/>
  <c r="D227" i="3" l="1"/>
  <c r="E227" i="3" s="1"/>
  <c r="F228" i="3"/>
  <c r="F229" i="3" l="1"/>
  <c r="D228" i="3"/>
  <c r="E228" i="3" s="1"/>
  <c r="D229" i="3" l="1"/>
  <c r="E229" i="3" s="1"/>
  <c r="F230" i="3"/>
  <c r="D230" i="3" l="1"/>
  <c r="E230" i="3" s="1"/>
  <c r="F231" i="3"/>
  <c r="D231" i="3" l="1"/>
  <c r="E231" i="3" s="1"/>
  <c r="F232" i="3"/>
  <c r="D232" i="3" l="1"/>
  <c r="E232" i="3" s="1"/>
  <c r="F233" i="3"/>
  <c r="F234" i="3" l="1"/>
  <c r="D233" i="3"/>
  <c r="E233" i="3" s="1"/>
  <c r="D234" i="3" l="1"/>
  <c r="E234" i="3" s="1"/>
  <c r="F235" i="3"/>
  <c r="D235" i="3" l="1"/>
  <c r="E235" i="3" s="1"/>
  <c r="F236" i="3"/>
  <c r="D236" i="3" l="1"/>
  <c r="E236" i="3" s="1"/>
  <c r="F237" i="3"/>
  <c r="D237" i="3" l="1"/>
  <c r="E237" i="3" s="1"/>
  <c r="F238" i="3"/>
  <c r="F239" i="3" l="1"/>
  <c r="D238" i="3"/>
  <c r="E238" i="3" s="1"/>
  <c r="D239" i="3" l="1"/>
  <c r="E239" i="3" s="1"/>
  <c r="F240" i="3"/>
  <c r="F241" i="3" l="1"/>
  <c r="D240" i="3"/>
  <c r="E240" i="3" s="1"/>
  <c r="D241" i="3" l="1"/>
  <c r="E241" i="3" s="1"/>
  <c r="F242" i="3"/>
  <c r="D242" i="3" l="1"/>
  <c r="E242" i="3" s="1"/>
  <c r="F243" i="3"/>
  <c r="D243" i="3" l="1"/>
  <c r="E243" i="3" s="1"/>
  <c r="F244" i="3"/>
  <c r="D244" i="3" l="1"/>
  <c r="E244" i="3" s="1"/>
  <c r="F245" i="3"/>
  <c r="F246" i="3" l="1"/>
  <c r="D245" i="3"/>
  <c r="E245" i="3" s="1"/>
  <c r="D246" i="3" l="1"/>
  <c r="E246" i="3" s="1"/>
  <c r="F247" i="3"/>
  <c r="D247" i="3" l="1"/>
  <c r="E247" i="3" s="1"/>
  <c r="F248" i="3"/>
  <c r="D248" i="3" l="1"/>
  <c r="E248" i="3" s="1"/>
  <c r="F249" i="3"/>
  <c r="D249" i="3" l="1"/>
  <c r="E249" i="3" s="1"/>
  <c r="F250" i="3"/>
  <c r="F251" i="3" l="1"/>
  <c r="D250" i="3"/>
  <c r="E250" i="3" s="1"/>
  <c r="D251" i="3" l="1"/>
  <c r="E251" i="3" s="1"/>
  <c r="F252" i="3"/>
  <c r="F253" i="3" l="1"/>
  <c r="D252" i="3"/>
  <c r="E252" i="3" s="1"/>
  <c r="D253" i="3" l="1"/>
  <c r="E253" i="3" s="1"/>
  <c r="F254" i="3"/>
  <c r="D254" i="3" l="1"/>
  <c r="E254" i="3" s="1"/>
  <c r="F255" i="3"/>
  <c r="D255" i="3" l="1"/>
  <c r="E255" i="3" s="1"/>
  <c r="F256" i="3"/>
  <c r="D256" i="3" l="1"/>
  <c r="E256" i="3" s="1"/>
  <c r="F257" i="3"/>
  <c r="D257" i="3" l="1"/>
  <c r="E257" i="3" s="1"/>
  <c r="F258" i="3"/>
  <c r="D258" i="3" l="1"/>
  <c r="E258" i="3" s="1"/>
  <c r="F259" i="3"/>
  <c r="D259" i="3" l="1"/>
  <c r="E259" i="3" s="1"/>
  <c r="F260" i="3"/>
  <c r="D260" i="3" l="1"/>
  <c r="E260" i="3" s="1"/>
  <c r="F261" i="3"/>
  <c r="D261" i="3" l="1"/>
  <c r="E261" i="3" s="1"/>
  <c r="F262" i="3"/>
  <c r="D262" i="3" l="1"/>
  <c r="E262" i="3" s="1"/>
  <c r="F263" i="3"/>
  <c r="D263" i="3" l="1"/>
  <c r="E263" i="3" s="1"/>
  <c r="F264" i="3"/>
  <c r="D264" i="3" l="1"/>
  <c r="E264" i="3" s="1"/>
  <c r="F265" i="3"/>
  <c r="D265" i="3" l="1"/>
  <c r="E265" i="3" s="1"/>
  <c r="F266" i="3"/>
  <c r="D266" i="3" l="1"/>
  <c r="E266" i="3" s="1"/>
  <c r="F267" i="3"/>
  <c r="F268" i="3" l="1"/>
  <c r="D267" i="3"/>
  <c r="E267" i="3" s="1"/>
  <c r="D268" i="3" l="1"/>
  <c r="E268" i="3" s="1"/>
  <c r="F269" i="3"/>
  <c r="D269" i="3" l="1"/>
  <c r="E269" i="3" s="1"/>
  <c r="F270" i="3"/>
  <c r="D270" i="3" l="1"/>
  <c r="E270" i="3" s="1"/>
  <c r="F271" i="3"/>
  <c r="D271" i="3" l="1"/>
  <c r="E271" i="3" s="1"/>
  <c r="F272" i="3"/>
  <c r="F273" i="3" l="1"/>
  <c r="D272" i="3"/>
  <c r="E272" i="3" s="1"/>
  <c r="D273" i="3" l="1"/>
  <c r="E273" i="3" s="1"/>
  <c r="F274" i="3"/>
  <c r="D274" i="3" l="1"/>
  <c r="E274" i="3" s="1"/>
  <c r="F275" i="3"/>
  <c r="D275" i="3" l="1"/>
  <c r="E275" i="3" s="1"/>
  <c r="F276" i="3"/>
  <c r="D276" i="3" l="1"/>
  <c r="E276" i="3" s="1"/>
  <c r="F277" i="3"/>
  <c r="D277" i="3" l="1"/>
  <c r="E277" i="3" s="1"/>
  <c r="F278" i="3"/>
  <c r="D278" i="3" l="1"/>
  <c r="E278" i="3" s="1"/>
  <c r="F279" i="3"/>
  <c r="D279" i="3" l="1"/>
  <c r="E279" i="3" s="1"/>
  <c r="F280" i="3"/>
  <c r="D280" i="3" l="1"/>
  <c r="E280" i="3" s="1"/>
  <c r="F281" i="3"/>
  <c r="D281" i="3" l="1"/>
  <c r="E281" i="3" s="1"/>
  <c r="F282" i="3"/>
  <c r="D282" i="3" l="1"/>
  <c r="E282" i="3" s="1"/>
  <c r="F283" i="3"/>
  <c r="D283" i="3" l="1"/>
  <c r="E283" i="3" s="1"/>
  <c r="F284" i="3"/>
  <c r="D284" i="3" l="1"/>
  <c r="E284" i="3" s="1"/>
  <c r="F285" i="3"/>
  <c r="D285" i="3" l="1"/>
  <c r="E285" i="3" s="1"/>
  <c r="F286" i="3"/>
  <c r="D286" i="3" l="1"/>
  <c r="E286" i="3" s="1"/>
  <c r="F287" i="3"/>
  <c r="D287" i="3" l="1"/>
  <c r="E287" i="3" s="1"/>
  <c r="F288" i="3"/>
  <c r="D288" i="3" l="1"/>
  <c r="E288" i="3" s="1"/>
  <c r="F289" i="3"/>
  <c r="D289" i="3" l="1"/>
  <c r="E289" i="3" s="1"/>
  <c r="F290" i="3"/>
  <c r="D290" i="3" l="1"/>
  <c r="E290" i="3" s="1"/>
  <c r="F291" i="3"/>
  <c r="F292" i="3" l="1"/>
  <c r="D291" i="3"/>
  <c r="E291" i="3" s="1"/>
  <c r="D292" i="3" l="1"/>
  <c r="E292" i="3" s="1"/>
  <c r="F293" i="3"/>
  <c r="D293" i="3" l="1"/>
  <c r="E293" i="3" s="1"/>
  <c r="F294" i="3"/>
  <c r="D294" i="3" l="1"/>
  <c r="E294" i="3" s="1"/>
  <c r="F295" i="3"/>
  <c r="D295" i="3" l="1"/>
  <c r="E295" i="3" s="1"/>
  <c r="F296" i="3"/>
  <c r="D296" i="3" l="1"/>
  <c r="E296" i="3" s="1"/>
  <c r="F297" i="3"/>
  <c r="F298" i="3" l="1"/>
  <c r="D297" i="3"/>
  <c r="E297" i="3" s="1"/>
  <c r="D298" i="3" l="1"/>
  <c r="E298" i="3" s="1"/>
  <c r="F299" i="3"/>
  <c r="D299" i="3" l="1"/>
  <c r="E299" i="3" s="1"/>
  <c r="F300" i="3"/>
  <c r="D300" i="3" l="1"/>
  <c r="E300" i="3" s="1"/>
  <c r="F301" i="3"/>
  <c r="D301" i="3" l="1"/>
  <c r="E301" i="3" s="1"/>
  <c r="F302" i="3"/>
  <c r="D302" i="3" l="1"/>
  <c r="E302" i="3" s="1"/>
  <c r="F303" i="3"/>
  <c r="D303" i="3" l="1"/>
  <c r="E303" i="3" s="1"/>
  <c r="F304" i="3"/>
  <c r="D304" i="3" l="1"/>
  <c r="E304" i="3" s="1"/>
  <c r="F305" i="3"/>
  <c r="D305" i="3" l="1"/>
  <c r="E305" i="3" s="1"/>
  <c r="F306" i="3"/>
  <c r="D306" i="3" l="1"/>
  <c r="E306" i="3" s="1"/>
  <c r="F307" i="3"/>
  <c r="D307" i="3" l="1"/>
  <c r="E307" i="3" s="1"/>
  <c r="F308" i="3"/>
  <c r="D308" i="3" l="1"/>
  <c r="E308" i="3" s="1"/>
  <c r="F309" i="3"/>
  <c r="F310" i="3" l="1"/>
  <c r="D309" i="3"/>
  <c r="E309" i="3" s="1"/>
  <c r="D310" i="3" l="1"/>
  <c r="E310" i="3" s="1"/>
  <c r="F311" i="3"/>
  <c r="D311" i="3" l="1"/>
  <c r="E311" i="3" s="1"/>
  <c r="F312" i="3"/>
  <c r="D312" i="3" l="1"/>
  <c r="E312" i="3" s="1"/>
  <c r="F313" i="3"/>
  <c r="D313" i="3" l="1"/>
  <c r="E313" i="3" s="1"/>
  <c r="F314" i="3"/>
  <c r="D314" i="3" l="1"/>
  <c r="E314" i="3" s="1"/>
  <c r="F315" i="3"/>
  <c r="F316" i="3" l="1"/>
  <c r="D315" i="3"/>
  <c r="E315" i="3" s="1"/>
  <c r="D316" i="3" l="1"/>
  <c r="E316" i="3" s="1"/>
  <c r="F317" i="3"/>
  <c r="D317" i="3" l="1"/>
  <c r="E317" i="3" s="1"/>
  <c r="F318" i="3"/>
  <c r="D318" i="3" l="1"/>
  <c r="E318" i="3" s="1"/>
  <c r="F319" i="3"/>
  <c r="D319" i="3" l="1"/>
  <c r="E319" i="3" s="1"/>
  <c r="F320" i="3"/>
  <c r="D320" i="3" l="1"/>
  <c r="E320" i="3" s="1"/>
  <c r="F321" i="3"/>
  <c r="F322" i="3" l="1"/>
  <c r="D321" i="3"/>
  <c r="E321" i="3" s="1"/>
  <c r="D322" i="3" l="1"/>
  <c r="E322" i="3" s="1"/>
  <c r="F323" i="3"/>
  <c r="D323" i="3" l="1"/>
  <c r="E323" i="3" s="1"/>
  <c r="F324" i="3"/>
  <c r="D324" i="3" l="1"/>
  <c r="E324" i="3" s="1"/>
  <c r="F325" i="3"/>
  <c r="D325" i="3" l="1"/>
  <c r="E325" i="3" s="1"/>
  <c r="F326" i="3"/>
  <c r="D326" i="3" l="1"/>
  <c r="E326" i="3" s="1"/>
  <c r="F327" i="3"/>
  <c r="F328" i="3" l="1"/>
  <c r="D327" i="3"/>
  <c r="E327" i="3" s="1"/>
  <c r="D328" i="3" l="1"/>
  <c r="E328" i="3" s="1"/>
  <c r="F329" i="3"/>
  <c r="D329" i="3" l="1"/>
  <c r="E329" i="3" s="1"/>
  <c r="F330" i="3"/>
  <c r="D330" i="3" l="1"/>
  <c r="E330" i="3" s="1"/>
  <c r="F331" i="3"/>
  <c r="D331" i="3" l="1"/>
  <c r="E331" i="3" s="1"/>
  <c r="F332" i="3"/>
  <c r="D332" i="3" l="1"/>
  <c r="E332" i="3" s="1"/>
  <c r="F333" i="3"/>
  <c r="F334" i="3" l="1"/>
  <c r="D333" i="3"/>
  <c r="E333" i="3" s="1"/>
  <c r="D334" i="3" l="1"/>
  <c r="E334" i="3" s="1"/>
  <c r="F335" i="3"/>
  <c r="D335" i="3" l="1"/>
  <c r="E335" i="3" s="1"/>
  <c r="F336" i="3"/>
  <c r="D336" i="3" l="1"/>
  <c r="E336" i="3" s="1"/>
  <c r="F337" i="3"/>
  <c r="D337" i="3" l="1"/>
  <c r="E337" i="3" s="1"/>
  <c r="F338" i="3"/>
  <c r="D338" i="3" l="1"/>
  <c r="E338" i="3" s="1"/>
  <c r="F339" i="3"/>
  <c r="D339" i="3" l="1"/>
  <c r="E339" i="3" s="1"/>
  <c r="F340" i="3"/>
  <c r="D340" i="3" l="1"/>
  <c r="E340" i="3" s="1"/>
  <c r="F341" i="3"/>
  <c r="D341" i="3" l="1"/>
  <c r="E341" i="3" s="1"/>
  <c r="F342" i="3"/>
  <c r="D342" i="3" l="1"/>
  <c r="E342" i="3" s="1"/>
  <c r="F343" i="3"/>
  <c r="D343" i="3" l="1"/>
  <c r="E343" i="3" s="1"/>
  <c r="F344" i="3"/>
  <c r="D344" i="3" l="1"/>
  <c r="E344" i="3" s="1"/>
  <c r="F345" i="3"/>
  <c r="F346" i="3" l="1"/>
  <c r="D345" i="3"/>
  <c r="E345" i="3" s="1"/>
  <c r="D346" i="3" l="1"/>
  <c r="E346" i="3" s="1"/>
  <c r="F347" i="3"/>
  <c r="D347" i="3" l="1"/>
  <c r="E347" i="3" s="1"/>
  <c r="F348" i="3"/>
  <c r="D348" i="3" l="1"/>
  <c r="E348" i="3" s="1"/>
  <c r="F349" i="3"/>
  <c r="D349" i="3" l="1"/>
  <c r="E349" i="3" s="1"/>
  <c r="F350" i="3"/>
  <c r="D350" i="3" l="1"/>
  <c r="E350" i="3" s="1"/>
  <c r="F351" i="3"/>
  <c r="F352" i="3" l="1"/>
  <c r="D351" i="3"/>
  <c r="E351" i="3" s="1"/>
  <c r="D352" i="3" l="1"/>
  <c r="E352" i="3" s="1"/>
  <c r="F353" i="3"/>
  <c r="D353" i="3" l="1"/>
  <c r="E353" i="3" s="1"/>
  <c r="F354" i="3"/>
  <c r="D354" i="3" l="1"/>
  <c r="E354" i="3" s="1"/>
  <c r="F355" i="3"/>
  <c r="D355" i="3" l="1"/>
  <c r="E355" i="3" s="1"/>
  <c r="F356" i="3"/>
  <c r="D356" i="3" l="1"/>
  <c r="E356" i="3" s="1"/>
  <c r="F357" i="3"/>
  <c r="F358" i="3" l="1"/>
  <c r="D357" i="3"/>
  <c r="E357" i="3" s="1"/>
  <c r="D358" i="3" l="1"/>
  <c r="E358" i="3" s="1"/>
  <c r="F359" i="3"/>
  <c r="D359" i="3" l="1"/>
  <c r="E359" i="3" s="1"/>
  <c r="F360" i="3"/>
  <c r="D360" i="3" l="1"/>
  <c r="E360" i="3" s="1"/>
  <c r="F361" i="3"/>
  <c r="D361" i="3" l="1"/>
  <c r="E361" i="3" s="1"/>
  <c r="F362" i="3"/>
  <c r="D362" i="3" l="1"/>
  <c r="E362" i="3" s="1"/>
  <c r="F363" i="3"/>
  <c r="F364" i="3" l="1"/>
  <c r="D363" i="3"/>
  <c r="E363" i="3" s="1"/>
  <c r="D364" i="3" l="1"/>
  <c r="E364" i="3" s="1"/>
  <c r="F365" i="3"/>
  <c r="D365" i="3" l="1"/>
  <c r="E365" i="3" s="1"/>
  <c r="F366" i="3"/>
  <c r="D366" i="3" l="1"/>
  <c r="E366" i="3" s="1"/>
  <c r="F367" i="3"/>
  <c r="D367" i="3" l="1"/>
  <c r="E367" i="3" s="1"/>
  <c r="F368" i="3"/>
  <c r="D368" i="3" l="1"/>
  <c r="E368" i="3" s="1"/>
  <c r="F369" i="3"/>
  <c r="F370" i="3" l="1"/>
  <c r="D369" i="3"/>
  <c r="E369" i="3" s="1"/>
  <c r="D370" i="3" l="1"/>
  <c r="E370" i="3" s="1"/>
  <c r="F371" i="3"/>
  <c r="D371" i="3" l="1"/>
  <c r="E371" i="3" s="1"/>
  <c r="F372" i="3"/>
  <c r="D372" i="3" l="1"/>
  <c r="E372" i="3" s="1"/>
  <c r="F373" i="3"/>
  <c r="D373" i="3" l="1"/>
  <c r="E373" i="3" s="1"/>
  <c r="F374" i="3"/>
  <c r="D374" i="3" l="1"/>
  <c r="E374" i="3" s="1"/>
  <c r="F375" i="3"/>
  <c r="D375" i="3" l="1"/>
  <c r="E375" i="3" s="1"/>
  <c r="F376" i="3"/>
  <c r="D376" i="3" l="1"/>
  <c r="E376" i="3" s="1"/>
  <c r="F377" i="3"/>
  <c r="D377" i="3" l="1"/>
  <c r="E377" i="3" s="1"/>
  <c r="F378" i="3"/>
  <c r="D378" i="3" l="1"/>
  <c r="E378" i="3" s="1"/>
  <c r="F379" i="3"/>
  <c r="F380" i="3" l="1"/>
  <c r="D379" i="3"/>
  <c r="E379" i="3" s="1"/>
  <c r="D380" i="3" l="1"/>
  <c r="E380" i="3" s="1"/>
  <c r="F381" i="3"/>
  <c r="F382" i="3" l="1"/>
  <c r="D381" i="3"/>
  <c r="E381" i="3" s="1"/>
  <c r="D382" i="3" l="1"/>
  <c r="E382" i="3" s="1"/>
  <c r="F383" i="3"/>
  <c r="D383" i="3" l="1"/>
  <c r="E383" i="3" s="1"/>
  <c r="F384" i="3"/>
  <c r="D384" i="3" l="1"/>
  <c r="E384" i="3" s="1"/>
  <c r="F385" i="3"/>
  <c r="D385" i="3" l="1"/>
  <c r="E385" i="3" s="1"/>
  <c r="F386" i="3"/>
  <c r="D386" i="3" l="1"/>
  <c r="E386" i="3" s="1"/>
  <c r="F387" i="3"/>
  <c r="F388" i="3" l="1"/>
  <c r="D387" i="3"/>
  <c r="E387" i="3" s="1"/>
  <c r="D388" i="3" l="1"/>
  <c r="E388" i="3" s="1"/>
  <c r="F389" i="3"/>
  <c r="D389" i="3" l="1"/>
  <c r="E389" i="3" s="1"/>
  <c r="F390" i="3"/>
  <c r="D390" i="3" l="1"/>
  <c r="E390" i="3" s="1"/>
  <c r="F391" i="3"/>
  <c r="F392" i="3" l="1"/>
  <c r="D391" i="3"/>
  <c r="E391" i="3" s="1"/>
  <c r="D392" i="3" l="1"/>
  <c r="E392" i="3" s="1"/>
  <c r="F393" i="3"/>
  <c r="F394" i="3" l="1"/>
  <c r="D393" i="3"/>
  <c r="E393" i="3" s="1"/>
  <c r="D394" i="3" l="1"/>
  <c r="E394" i="3" s="1"/>
  <c r="F395" i="3"/>
  <c r="D395" i="3" l="1"/>
  <c r="E395" i="3" s="1"/>
  <c r="F396" i="3"/>
  <c r="D396" i="3" l="1"/>
  <c r="E396" i="3" s="1"/>
  <c r="F397" i="3"/>
  <c r="D397" i="3" l="1"/>
  <c r="E397" i="3" s="1"/>
  <c r="F398" i="3"/>
  <c r="D398" i="3" l="1"/>
  <c r="E398" i="3" s="1"/>
  <c r="F399" i="3"/>
  <c r="F400" i="3" l="1"/>
  <c r="D399" i="3"/>
  <c r="E399" i="3" s="1"/>
  <c r="D400" i="3" l="1"/>
  <c r="E400" i="3" s="1"/>
  <c r="F401" i="3"/>
  <c r="D401" i="3" l="1"/>
  <c r="E401" i="3" s="1"/>
  <c r="F402" i="3"/>
  <c r="D402" i="3" l="1"/>
  <c r="E402" i="3" s="1"/>
  <c r="F403" i="3"/>
  <c r="D403" i="3" l="1"/>
  <c r="E403" i="3" s="1"/>
  <c r="F404" i="3"/>
  <c r="D404" i="3" l="1"/>
  <c r="E404" i="3" s="1"/>
  <c r="F405" i="3"/>
  <c r="F406" i="3" l="1"/>
  <c r="D405" i="3"/>
  <c r="E405" i="3" s="1"/>
  <c r="D406" i="3" l="1"/>
  <c r="E406" i="3" s="1"/>
  <c r="F407" i="3"/>
  <c r="D407" i="3" l="1"/>
  <c r="E407" i="3" s="1"/>
  <c r="F408" i="3"/>
  <c r="D408" i="3" l="1"/>
  <c r="E408" i="3" s="1"/>
  <c r="F409" i="3"/>
  <c r="D409" i="3" l="1"/>
  <c r="E409" i="3" s="1"/>
  <c r="F410" i="3"/>
  <c r="F411" i="3" l="1"/>
  <c r="D410" i="3"/>
  <c r="E410" i="3" s="1"/>
  <c r="D411" i="3" l="1"/>
  <c r="E411" i="3" s="1"/>
  <c r="F412" i="3"/>
  <c r="D412" i="3" l="1"/>
  <c r="E412" i="3" s="1"/>
  <c r="F413" i="3"/>
  <c r="F414" i="3" l="1"/>
  <c r="D413" i="3"/>
  <c r="E413" i="3" s="1"/>
  <c r="D414" i="3" l="1"/>
  <c r="E414" i="3" s="1"/>
  <c r="F415" i="3"/>
  <c r="F416" i="3" l="1"/>
  <c r="D415" i="3"/>
  <c r="E415" i="3" s="1"/>
  <c r="D416" i="3" l="1"/>
  <c r="E416" i="3" s="1"/>
  <c r="F417" i="3"/>
  <c r="D417" i="3" l="1"/>
  <c r="E417" i="3" s="1"/>
  <c r="F418" i="3"/>
  <c r="D418" i="3" l="1"/>
  <c r="E418" i="3" s="1"/>
  <c r="F419" i="3"/>
  <c r="D419" i="3" l="1"/>
  <c r="E419" i="3" s="1"/>
  <c r="F420" i="3"/>
  <c r="F421" i="3" l="1"/>
  <c r="D420" i="3"/>
  <c r="E420" i="3" s="1"/>
  <c r="D421" i="3" l="1"/>
  <c r="E421" i="3" s="1"/>
  <c r="F422" i="3"/>
  <c r="D422" i="3" l="1"/>
  <c r="E422" i="3" s="1"/>
  <c r="F423" i="3"/>
  <c r="D423" i="3" l="1"/>
  <c r="E423" i="3" s="1"/>
  <c r="F424" i="3"/>
  <c r="D424" i="3" l="1"/>
  <c r="E424" i="3" s="1"/>
  <c r="F425" i="3"/>
  <c r="D425" i="3" l="1"/>
  <c r="E425" i="3" s="1"/>
  <c r="F426" i="3"/>
  <c r="D426" i="3" l="1"/>
  <c r="E426" i="3" s="1"/>
  <c r="F427" i="3"/>
  <c r="D427" i="3" l="1"/>
  <c r="E427" i="3" s="1"/>
  <c r="F428" i="3"/>
  <c r="D428" i="3" l="1"/>
  <c r="E428" i="3" s="1"/>
  <c r="F429" i="3"/>
  <c r="D429" i="3" l="1"/>
  <c r="E429" i="3" s="1"/>
  <c r="F430" i="3"/>
  <c r="D430" i="3" l="1"/>
  <c r="E430" i="3" s="1"/>
  <c r="F431" i="3"/>
  <c r="D431" i="3" l="1"/>
  <c r="E431" i="3" s="1"/>
  <c r="F432" i="3"/>
  <c r="D432" i="3" l="1"/>
  <c r="E432" i="3" s="1"/>
  <c r="F433" i="3"/>
  <c r="D433" i="3" l="1"/>
  <c r="E433" i="3" s="1"/>
  <c r="F434" i="3"/>
  <c r="F435" i="3" l="1"/>
  <c r="D434" i="3"/>
  <c r="E434" i="3" s="1"/>
  <c r="D435" i="3" l="1"/>
  <c r="E435" i="3" s="1"/>
  <c r="F436" i="3"/>
  <c r="D436" i="3" l="1"/>
  <c r="E436" i="3" s="1"/>
  <c r="F437" i="3"/>
  <c r="D437" i="3" l="1"/>
  <c r="E437" i="3" s="1"/>
  <c r="F438" i="3"/>
  <c r="F439" i="3" l="1"/>
  <c r="D438" i="3"/>
  <c r="E438" i="3" s="1"/>
  <c r="D439" i="3" l="1"/>
  <c r="E439" i="3" s="1"/>
  <c r="F440" i="3"/>
  <c r="D440" i="3" l="1"/>
  <c r="E440" i="3" s="1"/>
  <c r="F441" i="3"/>
  <c r="D441" i="3" l="1"/>
  <c r="E441" i="3" s="1"/>
  <c r="F442" i="3"/>
  <c r="D442" i="3" l="1"/>
  <c r="E442" i="3" s="1"/>
  <c r="F443" i="3"/>
  <c r="D443" i="3" l="1"/>
  <c r="E443" i="3" s="1"/>
  <c r="F444" i="3"/>
  <c r="F445" i="3" l="1"/>
  <c r="D444" i="3"/>
  <c r="E444" i="3" s="1"/>
  <c r="D445" i="3" l="1"/>
  <c r="E445" i="3" s="1"/>
  <c r="F446" i="3"/>
  <c r="F447" i="3" l="1"/>
  <c r="D446" i="3"/>
  <c r="E446" i="3" s="1"/>
  <c r="D447" i="3" l="1"/>
  <c r="E447" i="3" s="1"/>
  <c r="F448" i="3"/>
  <c r="D448" i="3" l="1"/>
  <c r="E448" i="3" s="1"/>
  <c r="F449" i="3"/>
  <c r="D449" i="3" l="1"/>
  <c r="E449" i="3" s="1"/>
  <c r="F450" i="3"/>
  <c r="D450" i="3" l="1"/>
  <c r="E450" i="3" s="1"/>
  <c r="F451" i="3"/>
  <c r="D451" i="3" l="1"/>
  <c r="E451" i="3" s="1"/>
  <c r="F452" i="3"/>
  <c r="D452" i="3" l="1"/>
  <c r="E452" i="3" s="1"/>
  <c r="F453" i="3"/>
  <c r="D453" i="3" l="1"/>
  <c r="E453" i="3" s="1"/>
  <c r="F454" i="3"/>
  <c r="D454" i="3" l="1"/>
  <c r="E454" i="3" s="1"/>
  <c r="F455" i="3"/>
  <c r="D455" i="3" l="1"/>
  <c r="E455" i="3" s="1"/>
  <c r="F456" i="3"/>
  <c r="F457" i="3" l="1"/>
  <c r="D456" i="3"/>
  <c r="E456" i="3" s="1"/>
  <c r="F458" i="3" l="1"/>
  <c r="D457" i="3"/>
  <c r="E457" i="3" s="1"/>
  <c r="D458" i="3" l="1"/>
  <c r="E458" i="3" s="1"/>
  <c r="F459" i="3"/>
  <c r="D459" i="3" l="1"/>
  <c r="E459" i="3" s="1"/>
  <c r="F460" i="3"/>
  <c r="D460" i="3" l="1"/>
  <c r="E460" i="3" s="1"/>
  <c r="F461" i="3"/>
  <c r="D461" i="3" l="1"/>
  <c r="E461" i="3" s="1"/>
  <c r="F462" i="3"/>
  <c r="D462" i="3" l="1"/>
  <c r="E462" i="3" s="1"/>
  <c r="F463" i="3"/>
  <c r="D463" i="3" l="1"/>
  <c r="E463" i="3" s="1"/>
  <c r="F464" i="3"/>
  <c r="D464" i="3" l="1"/>
  <c r="E464" i="3" s="1"/>
  <c r="F465" i="3"/>
  <c r="D465" i="3" l="1"/>
  <c r="E465" i="3" s="1"/>
  <c r="F466" i="3"/>
  <c r="D466" i="3" l="1"/>
  <c r="E466" i="3" s="1"/>
  <c r="F467" i="3"/>
  <c r="D467" i="3" l="1"/>
  <c r="E467" i="3" s="1"/>
  <c r="F468" i="3"/>
  <c r="F469" i="3" l="1"/>
  <c r="D468" i="3"/>
  <c r="E468" i="3" s="1"/>
  <c r="F470" i="3" l="1"/>
  <c r="D469" i="3"/>
  <c r="E469" i="3" s="1"/>
  <c r="F471" i="3" l="1"/>
  <c r="D470" i="3"/>
  <c r="E470" i="3" s="1"/>
  <c r="D471" i="3" l="1"/>
  <c r="E471" i="3" s="1"/>
  <c r="F472" i="3"/>
  <c r="D472" i="3" l="1"/>
  <c r="E472" i="3" s="1"/>
  <c r="F473" i="3"/>
  <c r="D473" i="3" l="1"/>
  <c r="E473" i="3" s="1"/>
  <c r="F474" i="3"/>
  <c r="F475" i="3" l="1"/>
  <c r="D474" i="3"/>
  <c r="E474" i="3" s="1"/>
  <c r="D475" i="3" l="1"/>
  <c r="E475" i="3" s="1"/>
  <c r="F476" i="3"/>
  <c r="D476" i="3" l="1"/>
  <c r="E476" i="3" s="1"/>
  <c r="F477" i="3"/>
  <c r="D477" i="3" l="1"/>
  <c r="E477" i="3" s="1"/>
  <c r="F478" i="3"/>
  <c r="D478" i="3" l="1"/>
  <c r="E478" i="3" s="1"/>
  <c r="F479" i="3"/>
  <c r="D479" i="3" l="1"/>
  <c r="E479" i="3" s="1"/>
  <c r="F480" i="3"/>
  <c r="F481" i="3" l="1"/>
  <c r="D480" i="3"/>
  <c r="E480" i="3" s="1"/>
  <c r="D481" i="3" l="1"/>
  <c r="E481" i="3" s="1"/>
  <c r="F482" i="3"/>
  <c r="D482" i="3" l="1"/>
  <c r="E482" i="3" s="1"/>
  <c r="F483" i="3"/>
  <c r="D483" i="3" l="1"/>
  <c r="E483" i="3" s="1"/>
  <c r="F484" i="3"/>
  <c r="D484" i="3" l="1"/>
  <c r="E484" i="3" s="1"/>
  <c r="F485" i="3"/>
  <c r="D485" i="3" l="1"/>
  <c r="E485" i="3" s="1"/>
  <c r="F486" i="3"/>
  <c r="F487" i="3" l="1"/>
  <c r="D486" i="3"/>
  <c r="E486" i="3" s="1"/>
  <c r="D487" i="3" l="1"/>
  <c r="E487" i="3" s="1"/>
  <c r="F488" i="3"/>
  <c r="D488" i="3" l="1"/>
  <c r="E488" i="3" s="1"/>
  <c r="F489" i="3"/>
  <c r="D489" i="3" l="1"/>
  <c r="E489" i="3" s="1"/>
  <c r="F490" i="3"/>
  <c r="D490" i="3" l="1"/>
  <c r="E490" i="3" s="1"/>
  <c r="F491" i="3"/>
  <c r="D491" i="3" l="1"/>
  <c r="E491" i="3" s="1"/>
  <c r="F492" i="3"/>
  <c r="F493" i="3" l="1"/>
  <c r="D492" i="3"/>
  <c r="E492" i="3" s="1"/>
  <c r="D493" i="3" l="1"/>
  <c r="E493" i="3" s="1"/>
  <c r="F494" i="3"/>
  <c r="F495" i="3" l="1"/>
  <c r="D494" i="3"/>
  <c r="E494" i="3" s="1"/>
  <c r="D495" i="3" l="1"/>
  <c r="E495" i="3" s="1"/>
  <c r="F496" i="3"/>
  <c r="D496" i="3" l="1"/>
  <c r="E496" i="3" s="1"/>
  <c r="F497" i="3"/>
  <c r="D497" i="3" l="1"/>
  <c r="E497" i="3" s="1"/>
  <c r="F498" i="3"/>
  <c r="F499" i="3" l="1"/>
  <c r="D498" i="3"/>
  <c r="E498" i="3" s="1"/>
  <c r="D499" i="3" l="1"/>
  <c r="E499" i="3" s="1"/>
  <c r="F500" i="3"/>
  <c r="D500" i="3" l="1"/>
  <c r="E500" i="3" s="1"/>
  <c r="F501" i="3"/>
  <c r="D501" i="3" l="1"/>
  <c r="E501" i="3" s="1"/>
  <c r="F502" i="3"/>
  <c r="D502" i="3" l="1"/>
  <c r="E502" i="3" s="1"/>
  <c r="F503" i="3"/>
  <c r="D503" i="3" l="1"/>
  <c r="E503" i="3" s="1"/>
  <c r="F504" i="3"/>
  <c r="F505" i="3" l="1"/>
  <c r="D504" i="3"/>
  <c r="E504" i="3" s="1"/>
  <c r="D505" i="3" l="1"/>
  <c r="E505" i="3" s="1"/>
  <c r="F506" i="3"/>
  <c r="F507" i="3" l="1"/>
  <c r="D506" i="3"/>
  <c r="E506" i="3" s="1"/>
  <c r="D507" i="3" l="1"/>
  <c r="E507" i="3" s="1"/>
  <c r="F508" i="3"/>
  <c r="D508" i="3" l="1"/>
  <c r="E508" i="3" s="1"/>
  <c r="F509" i="3"/>
  <c r="D509" i="3" l="1"/>
  <c r="E509" i="3" s="1"/>
  <c r="F510" i="3"/>
  <c r="F511" i="3" l="1"/>
  <c r="D510" i="3"/>
  <c r="E510" i="3" s="1"/>
  <c r="D511" i="3" l="1"/>
  <c r="E511" i="3" s="1"/>
  <c r="F512" i="3"/>
  <c r="D512" i="3" l="1"/>
  <c r="E512" i="3" s="1"/>
  <c r="F513" i="3"/>
  <c r="D513" i="3" l="1"/>
  <c r="E513" i="3" s="1"/>
  <c r="F514" i="3"/>
  <c r="D514" i="3" l="1"/>
  <c r="E514" i="3" s="1"/>
  <c r="F515" i="3"/>
  <c r="D515" i="3" l="1"/>
  <c r="E515" i="3" s="1"/>
  <c r="F516" i="3"/>
  <c r="F517" i="3" l="1"/>
  <c r="D516" i="3"/>
  <c r="E516" i="3" s="1"/>
  <c r="D517" i="3" l="1"/>
  <c r="E517" i="3" s="1"/>
  <c r="F518" i="3"/>
  <c r="F519" i="3" l="1"/>
  <c r="D518" i="3"/>
  <c r="E518" i="3" s="1"/>
  <c r="D519" i="3" l="1"/>
  <c r="E519" i="3" s="1"/>
  <c r="F520" i="3"/>
  <c r="D520" i="3" l="1"/>
  <c r="E520" i="3" s="1"/>
  <c r="F521" i="3"/>
  <c r="D521" i="3" l="1"/>
  <c r="E521" i="3" s="1"/>
  <c r="F522" i="3"/>
  <c r="F523" i="3" l="1"/>
  <c r="D522" i="3"/>
  <c r="E522" i="3" s="1"/>
  <c r="D523" i="3" l="1"/>
  <c r="E523" i="3" s="1"/>
  <c r="F524" i="3"/>
  <c r="D524" i="3" l="1"/>
  <c r="E524" i="3" s="1"/>
  <c r="F525" i="3"/>
  <c r="D525" i="3" l="1"/>
  <c r="E525" i="3" s="1"/>
  <c r="F526" i="3"/>
  <c r="D526" i="3" l="1"/>
  <c r="E526" i="3" s="1"/>
  <c r="F527" i="3"/>
  <c r="D527" i="3" l="1"/>
  <c r="E527" i="3" s="1"/>
  <c r="F528" i="3"/>
  <c r="F529" i="3" l="1"/>
  <c r="D528" i="3"/>
  <c r="E528" i="3" s="1"/>
  <c r="D529" i="3" l="1"/>
  <c r="E529" i="3" s="1"/>
  <c r="F530" i="3"/>
  <c r="F531" i="3" l="1"/>
  <c r="D530" i="3"/>
  <c r="E530" i="3" s="1"/>
  <c r="D531" i="3" l="1"/>
  <c r="E531" i="3" s="1"/>
  <c r="F532" i="3"/>
  <c r="D532" i="3" l="1"/>
  <c r="E532" i="3" s="1"/>
  <c r="F533" i="3"/>
  <c r="D533" i="3" l="1"/>
  <c r="E533" i="3" s="1"/>
  <c r="F534" i="3"/>
  <c r="F535" i="3" l="1"/>
  <c r="D534" i="3"/>
  <c r="E534" i="3" s="1"/>
  <c r="D535" i="3" l="1"/>
  <c r="E535" i="3" s="1"/>
  <c r="F536" i="3"/>
  <c r="D536" i="3" l="1"/>
  <c r="E536" i="3" s="1"/>
  <c r="F537" i="3"/>
  <c r="D537" i="3" l="1"/>
  <c r="E537" i="3" s="1"/>
  <c r="F538" i="3"/>
  <c r="D538" i="3" l="1"/>
  <c r="E538" i="3" s="1"/>
  <c r="F539" i="3"/>
  <c r="D539" i="3" l="1"/>
  <c r="E539" i="3" s="1"/>
  <c r="F540" i="3"/>
  <c r="F541" i="3" l="1"/>
  <c r="D540" i="3"/>
  <c r="E540" i="3" s="1"/>
  <c r="D541" i="3" l="1"/>
  <c r="E541" i="3" s="1"/>
  <c r="F542" i="3"/>
  <c r="F543" i="3" l="1"/>
  <c r="D542" i="3"/>
  <c r="E542" i="3" s="1"/>
  <c r="D543" i="3" l="1"/>
  <c r="E543" i="3" s="1"/>
  <c r="F544" i="3"/>
  <c r="D544" i="3" l="1"/>
  <c r="E544" i="3" s="1"/>
  <c r="F545" i="3"/>
  <c r="D545" i="3" l="1"/>
  <c r="E545" i="3" s="1"/>
  <c r="F546" i="3"/>
  <c r="F547" i="3" l="1"/>
  <c r="D546" i="3"/>
  <c r="E546" i="3" s="1"/>
  <c r="D547" i="3" l="1"/>
  <c r="E547" i="3" s="1"/>
  <c r="F548" i="3"/>
  <c r="D548" i="3" l="1"/>
  <c r="E548" i="3" s="1"/>
  <c r="F549" i="3"/>
  <c r="D549" i="3" l="1"/>
  <c r="E549" i="3" s="1"/>
  <c r="F550" i="3"/>
  <c r="D550" i="3" l="1"/>
  <c r="E550" i="3" s="1"/>
  <c r="F551" i="3"/>
  <c r="D551" i="3" l="1"/>
  <c r="E551" i="3" s="1"/>
  <c r="F552" i="3"/>
  <c r="F553" i="3" l="1"/>
  <c r="D552" i="3"/>
  <c r="E552" i="3" s="1"/>
  <c r="D553" i="3" l="1"/>
  <c r="E553" i="3" s="1"/>
  <c r="F554" i="3"/>
  <c r="F555" i="3" l="1"/>
  <c r="D554" i="3"/>
  <c r="E554" i="3" s="1"/>
  <c r="D555" i="3" l="1"/>
  <c r="E555" i="3" s="1"/>
  <c r="F556" i="3"/>
  <c r="D556" i="3" l="1"/>
  <c r="E556" i="3" s="1"/>
  <c r="F557" i="3"/>
  <c r="D557" i="3" l="1"/>
  <c r="E557" i="3" s="1"/>
  <c r="F558" i="3"/>
  <c r="F559" i="3" l="1"/>
  <c r="D558" i="3"/>
  <c r="E558" i="3" s="1"/>
  <c r="D559" i="3" l="1"/>
  <c r="E559" i="3" s="1"/>
  <c r="F560" i="3"/>
  <c r="D560" i="3" l="1"/>
  <c r="E560" i="3" s="1"/>
  <c r="F561" i="3"/>
  <c r="D561" i="3" l="1"/>
  <c r="E561" i="3" s="1"/>
  <c r="F562" i="3"/>
  <c r="D562" i="3" l="1"/>
  <c r="E562" i="3" s="1"/>
  <c r="F563" i="3"/>
  <c r="D563" i="3" l="1"/>
  <c r="E563" i="3" s="1"/>
  <c r="F564" i="3"/>
  <c r="D564" i="3" l="1"/>
  <c r="E564" i="3" s="1"/>
  <c r="F565" i="3"/>
  <c r="F566" i="3" l="1"/>
  <c r="D565" i="3"/>
  <c r="E565" i="3" s="1"/>
  <c r="D566" i="3" l="1"/>
  <c r="E566" i="3" s="1"/>
  <c r="F567" i="3"/>
  <c r="D567" i="3" l="1"/>
  <c r="E567" i="3" s="1"/>
  <c r="F568" i="3"/>
  <c r="D568" i="3" l="1"/>
  <c r="E568" i="3" s="1"/>
  <c r="F569" i="3"/>
  <c r="D569" i="3" l="1"/>
  <c r="E569" i="3" s="1"/>
  <c r="F570" i="3"/>
  <c r="F571" i="3" l="1"/>
  <c r="D570" i="3"/>
  <c r="E570" i="3" s="1"/>
  <c r="D571" i="3" l="1"/>
  <c r="E571" i="3" s="1"/>
  <c r="F572" i="3"/>
  <c r="D572" i="3" l="1"/>
  <c r="E572" i="3" s="1"/>
  <c r="F573" i="3"/>
  <c r="D573" i="3" l="1"/>
  <c r="E573" i="3" s="1"/>
  <c r="F574" i="3"/>
  <c r="D574" i="3" l="1"/>
  <c r="E574" i="3" s="1"/>
  <c r="F575" i="3"/>
  <c r="D575" i="3" l="1"/>
  <c r="E575" i="3" s="1"/>
  <c r="F576" i="3"/>
  <c r="D576" i="3" l="1"/>
  <c r="E576" i="3" s="1"/>
  <c r="F577" i="3"/>
  <c r="F578" i="3" l="1"/>
  <c r="D577" i="3"/>
  <c r="E577" i="3" s="1"/>
  <c r="D578" i="3" l="1"/>
  <c r="E578" i="3" s="1"/>
  <c r="F579" i="3"/>
  <c r="D579" i="3" l="1"/>
  <c r="E579" i="3" s="1"/>
  <c r="F580" i="3"/>
  <c r="D580" i="3" l="1"/>
  <c r="E580" i="3" s="1"/>
  <c r="F581" i="3"/>
  <c r="D581" i="3" l="1"/>
  <c r="E581" i="3" s="1"/>
  <c r="F582" i="3"/>
  <c r="F583" i="3" l="1"/>
  <c r="D582" i="3"/>
  <c r="E582" i="3" s="1"/>
  <c r="D583" i="3" l="1"/>
  <c r="E583" i="3" s="1"/>
  <c r="F584" i="3"/>
  <c r="D584" i="3" l="1"/>
  <c r="E584" i="3" s="1"/>
  <c r="F585" i="3"/>
  <c r="D585" i="3" l="1"/>
  <c r="E585" i="3" s="1"/>
  <c r="F586" i="3"/>
  <c r="D586" i="3" l="1"/>
  <c r="E586" i="3" s="1"/>
  <c r="F587" i="3"/>
  <c r="D587" i="3" l="1"/>
  <c r="E587" i="3" s="1"/>
  <c r="F588" i="3"/>
  <c r="D588" i="3" l="1"/>
  <c r="E588" i="3" s="1"/>
  <c r="F589" i="3"/>
  <c r="F590" i="3" l="1"/>
  <c r="D589" i="3"/>
  <c r="E589" i="3" s="1"/>
  <c r="D590" i="3" l="1"/>
  <c r="E590" i="3" s="1"/>
  <c r="F591" i="3"/>
  <c r="D591" i="3" l="1"/>
  <c r="E591" i="3" s="1"/>
  <c r="F592" i="3"/>
  <c r="D592" i="3" l="1"/>
  <c r="E592" i="3" s="1"/>
  <c r="F593" i="3"/>
  <c r="D593" i="3" l="1"/>
  <c r="E593" i="3" s="1"/>
  <c r="F594" i="3"/>
  <c r="F595" i="3" l="1"/>
  <c r="D594" i="3"/>
  <c r="E594" i="3" s="1"/>
  <c r="D595" i="3" l="1"/>
  <c r="E595" i="3" s="1"/>
  <c r="F596" i="3"/>
  <c r="D596" i="3" l="1"/>
  <c r="E596" i="3" s="1"/>
  <c r="F597" i="3"/>
  <c r="D597" i="3" l="1"/>
  <c r="E597" i="3" s="1"/>
  <c r="F598" i="3"/>
  <c r="D598" i="3" l="1"/>
  <c r="E598" i="3" s="1"/>
  <c r="F599" i="3"/>
  <c r="D599" i="3" l="1"/>
  <c r="E599" i="3" s="1"/>
  <c r="F600" i="3"/>
  <c r="D600" i="3" l="1"/>
  <c r="E600" i="3" s="1"/>
  <c r="F601" i="3"/>
  <c r="F602" i="3" l="1"/>
  <c r="D601" i="3"/>
  <c r="E601" i="3" s="1"/>
  <c r="D602" i="3" l="1"/>
  <c r="E602" i="3" s="1"/>
  <c r="F603" i="3"/>
  <c r="D603" i="3" l="1"/>
  <c r="E603" i="3" s="1"/>
  <c r="F604" i="3"/>
  <c r="D604" i="3" l="1"/>
  <c r="E604" i="3" s="1"/>
  <c r="F605" i="3"/>
  <c r="D605" i="3" l="1"/>
  <c r="E605" i="3" s="1"/>
  <c r="F606" i="3"/>
  <c r="F607" i="3" l="1"/>
  <c r="D606" i="3"/>
  <c r="E606" i="3" s="1"/>
  <c r="D607" i="3" l="1"/>
  <c r="E607" i="3" s="1"/>
  <c r="F608" i="3"/>
  <c r="D608" i="3" l="1"/>
  <c r="E608" i="3" s="1"/>
  <c r="F609" i="3"/>
  <c r="D609" i="3" l="1"/>
  <c r="E609" i="3" s="1"/>
  <c r="F610" i="3"/>
  <c r="D610" i="3" l="1"/>
  <c r="E610" i="3" s="1"/>
  <c r="F611" i="3"/>
  <c r="D611" i="3" l="1"/>
  <c r="E611" i="3" s="1"/>
  <c r="F612" i="3"/>
  <c r="D612" i="3" l="1"/>
  <c r="E612" i="3" s="1"/>
  <c r="F613" i="3"/>
  <c r="F614" i="3" l="1"/>
  <c r="D613" i="3"/>
  <c r="E613" i="3" s="1"/>
  <c r="D614" i="3" l="1"/>
  <c r="E614" i="3" s="1"/>
  <c r="F615" i="3"/>
  <c r="D615" i="3" l="1"/>
  <c r="E615" i="3" s="1"/>
  <c r="F616" i="3"/>
  <c r="D616" i="3" l="1"/>
  <c r="E616" i="3" s="1"/>
  <c r="F617" i="3"/>
  <c r="D617" i="3" l="1"/>
  <c r="E617" i="3" s="1"/>
  <c r="F618" i="3"/>
  <c r="D618" i="3" l="1"/>
  <c r="E618" i="3" s="1"/>
  <c r="F619" i="3"/>
  <c r="D619" i="3" l="1"/>
  <c r="E619" i="3" s="1"/>
  <c r="F620" i="3"/>
  <c r="D620" i="3" l="1"/>
  <c r="E620" i="3" s="1"/>
  <c r="F621" i="3"/>
  <c r="F622" i="3" l="1"/>
  <c r="D621" i="3"/>
  <c r="E621" i="3" s="1"/>
  <c r="F623" i="3" l="1"/>
  <c r="D622" i="3"/>
  <c r="E622" i="3" s="1"/>
  <c r="D623" i="3" l="1"/>
  <c r="E623" i="3" s="1"/>
  <c r="F624" i="3"/>
  <c r="D624" i="3" l="1"/>
  <c r="E624" i="3" s="1"/>
  <c r="F625" i="3"/>
  <c r="D625" i="3" l="1"/>
  <c r="E625" i="3" s="1"/>
  <c r="F626" i="3"/>
  <c r="D626" i="3" l="1"/>
  <c r="E626" i="3" s="1"/>
  <c r="F627" i="3"/>
  <c r="D627" i="3" l="1"/>
  <c r="E627" i="3" s="1"/>
  <c r="F628" i="3"/>
  <c r="D628" i="3" l="1"/>
  <c r="E628" i="3" s="1"/>
  <c r="F629" i="3"/>
  <c r="D629" i="3" l="1"/>
  <c r="E629" i="3" s="1"/>
  <c r="F630" i="3"/>
  <c r="D630" i="3" l="1"/>
  <c r="E630" i="3" s="1"/>
  <c r="F631" i="3"/>
  <c r="D631" i="3" l="1"/>
  <c r="E631" i="3" s="1"/>
  <c r="F632" i="3"/>
  <c r="D632" i="3" l="1"/>
  <c r="E632" i="3" s="1"/>
  <c r="F633" i="3"/>
  <c r="D633" i="3" l="1"/>
  <c r="E633" i="3" s="1"/>
  <c r="F634" i="3"/>
  <c r="D634" i="3" l="1"/>
  <c r="E634" i="3" s="1"/>
  <c r="F635" i="3"/>
  <c r="D635" i="3" l="1"/>
  <c r="E635" i="3" s="1"/>
  <c r="F636" i="3"/>
  <c r="D636" i="3" l="1"/>
  <c r="E636" i="3" s="1"/>
  <c r="F637" i="3"/>
  <c r="D637" i="3" l="1"/>
  <c r="E637" i="3" s="1"/>
  <c r="F638" i="3"/>
  <c r="D638" i="3" l="1"/>
  <c r="E638" i="3" s="1"/>
  <c r="F639" i="3"/>
  <c r="D639" i="3" l="1"/>
  <c r="E639" i="3" s="1"/>
  <c r="F640" i="3"/>
  <c r="D640" i="3" l="1"/>
  <c r="E640" i="3" s="1"/>
  <c r="F641" i="3"/>
  <c r="D641" i="3" l="1"/>
  <c r="E641" i="3" s="1"/>
  <c r="F642" i="3"/>
  <c r="D642" i="3" l="1"/>
  <c r="E642" i="3" s="1"/>
  <c r="F643" i="3"/>
  <c r="D643" i="3" l="1"/>
  <c r="E643" i="3" s="1"/>
  <c r="F644" i="3"/>
  <c r="D644" i="3" l="1"/>
  <c r="E644" i="3" s="1"/>
  <c r="F645" i="3"/>
  <c r="F646" i="3" l="1"/>
  <c r="D645" i="3"/>
  <c r="E645" i="3" s="1"/>
  <c r="D646" i="3" l="1"/>
  <c r="E646" i="3" s="1"/>
  <c r="F647" i="3"/>
  <c r="D647" i="3" l="1"/>
  <c r="E647" i="3" s="1"/>
  <c r="F648" i="3"/>
  <c r="D648" i="3" l="1"/>
  <c r="E648" i="3" s="1"/>
  <c r="F649" i="3"/>
  <c r="D649" i="3" l="1"/>
  <c r="E649" i="3" s="1"/>
  <c r="F650" i="3"/>
  <c r="D650" i="3" l="1"/>
  <c r="E650" i="3" s="1"/>
  <c r="F651" i="3"/>
  <c r="D651" i="3" l="1"/>
  <c r="E651" i="3" s="1"/>
  <c r="F652" i="3"/>
  <c r="D652" i="3" l="1"/>
  <c r="E652" i="3" s="1"/>
  <c r="F653" i="3"/>
  <c r="D653" i="3" l="1"/>
  <c r="E653" i="3" s="1"/>
  <c r="F654" i="3"/>
  <c r="D654" i="3" l="1"/>
  <c r="E654" i="3" s="1"/>
  <c r="F655" i="3"/>
  <c r="D655" i="3" l="1"/>
  <c r="E655" i="3" s="1"/>
  <c r="F656" i="3"/>
  <c r="D656" i="3" l="1"/>
  <c r="E656" i="3" s="1"/>
  <c r="F657" i="3"/>
  <c r="F658" i="3" l="1"/>
  <c r="D657" i="3"/>
  <c r="E657" i="3" s="1"/>
  <c r="D658" i="3" l="1"/>
  <c r="E658" i="3" s="1"/>
  <c r="F659" i="3"/>
  <c r="D659" i="3" l="1"/>
  <c r="E659" i="3" s="1"/>
  <c r="F660" i="3"/>
  <c r="D660" i="3" l="1"/>
  <c r="E660" i="3" s="1"/>
  <c r="F661" i="3"/>
  <c r="D661" i="3" l="1"/>
  <c r="E661" i="3" s="1"/>
  <c r="F662" i="3"/>
  <c r="D662" i="3" l="1"/>
  <c r="E662" i="3" s="1"/>
  <c r="F663" i="3"/>
  <c r="F664" i="3" l="1"/>
  <c r="D663" i="3"/>
  <c r="E663" i="3" s="1"/>
  <c r="D664" i="3" l="1"/>
  <c r="E664" i="3" s="1"/>
  <c r="F665" i="3"/>
  <c r="D665" i="3" l="1"/>
  <c r="E665" i="3" s="1"/>
  <c r="F666" i="3"/>
  <c r="D666" i="3" l="1"/>
  <c r="E666" i="3" s="1"/>
  <c r="F667" i="3"/>
  <c r="D667" i="3" l="1"/>
  <c r="E667" i="3" s="1"/>
  <c r="F668" i="3"/>
  <c r="D668" i="3" l="1"/>
  <c r="E668" i="3" s="1"/>
  <c r="F669" i="3"/>
  <c r="F670" i="3" l="1"/>
  <c r="D669" i="3"/>
  <c r="E669" i="3" s="1"/>
  <c r="D670" i="3" l="1"/>
  <c r="E670" i="3" s="1"/>
  <c r="F671" i="3"/>
  <c r="D671" i="3" l="1"/>
  <c r="E671" i="3" s="1"/>
  <c r="F672" i="3"/>
  <c r="D672" i="3" l="1"/>
  <c r="E672" i="3" s="1"/>
  <c r="F673" i="3"/>
  <c r="D673" i="3" l="1"/>
  <c r="E673" i="3" s="1"/>
  <c r="F674" i="3"/>
  <c r="D674" i="3" l="1"/>
  <c r="E674" i="3" s="1"/>
  <c r="F675" i="3"/>
  <c r="D675" i="3" l="1"/>
  <c r="E675" i="3" s="1"/>
  <c r="F676" i="3"/>
  <c r="D676" i="3" l="1"/>
  <c r="E676" i="3" s="1"/>
  <c r="F677" i="3"/>
  <c r="D677" i="3" l="1"/>
  <c r="E677" i="3" s="1"/>
  <c r="F678" i="3"/>
  <c r="D678" i="3" l="1"/>
  <c r="E678" i="3" s="1"/>
  <c r="F679" i="3"/>
  <c r="D679" i="3" l="1"/>
  <c r="E679" i="3" s="1"/>
  <c r="F680" i="3"/>
  <c r="D680" i="3" l="1"/>
  <c r="E680" i="3" s="1"/>
  <c r="F681" i="3"/>
  <c r="F682" i="3" l="1"/>
  <c r="D681" i="3"/>
  <c r="E681" i="3" s="1"/>
  <c r="D682" i="3" l="1"/>
  <c r="E682" i="3" s="1"/>
  <c r="F683" i="3"/>
  <c r="D683" i="3" l="1"/>
  <c r="E683" i="3" s="1"/>
  <c r="F684" i="3"/>
  <c r="D684" i="3" l="1"/>
  <c r="E684" i="3" s="1"/>
  <c r="F685" i="3"/>
  <c r="D685" i="3" l="1"/>
  <c r="E685" i="3" s="1"/>
  <c r="F686" i="3"/>
  <c r="D686" i="3" l="1"/>
  <c r="E686" i="3" s="1"/>
  <c r="F687" i="3"/>
  <c r="D687" i="3" l="1"/>
  <c r="E687" i="3" s="1"/>
  <c r="F688" i="3"/>
  <c r="D688" i="3" l="1"/>
  <c r="E688" i="3" s="1"/>
  <c r="F689" i="3"/>
  <c r="D689" i="3" l="1"/>
  <c r="E689" i="3" s="1"/>
  <c r="F690" i="3"/>
  <c r="D690" i="3" l="1"/>
  <c r="E690" i="3" s="1"/>
  <c r="F691" i="3"/>
  <c r="D691" i="3" l="1"/>
  <c r="E691" i="3" s="1"/>
  <c r="F692" i="3"/>
  <c r="D692" i="3" l="1"/>
  <c r="E692" i="3" s="1"/>
  <c r="F693" i="3"/>
  <c r="F694" i="3" l="1"/>
  <c r="D693" i="3"/>
  <c r="E693" i="3" s="1"/>
  <c r="D694" i="3" l="1"/>
  <c r="E694" i="3" s="1"/>
  <c r="F695" i="3"/>
  <c r="D695" i="3" l="1"/>
  <c r="E695" i="3" s="1"/>
  <c r="F696" i="3"/>
  <c r="D696" i="3" l="1"/>
  <c r="E696" i="3" s="1"/>
  <c r="F697" i="3"/>
  <c r="D697" i="3" l="1"/>
  <c r="E697" i="3" s="1"/>
  <c r="F698" i="3"/>
  <c r="D698" i="3" l="1"/>
  <c r="E698" i="3" s="1"/>
  <c r="F699" i="3"/>
  <c r="F700" i="3" l="1"/>
  <c r="D699" i="3"/>
  <c r="E699" i="3" s="1"/>
  <c r="D700" i="3" l="1"/>
  <c r="E700" i="3" s="1"/>
  <c r="F701" i="3"/>
  <c r="D701" i="3" l="1"/>
  <c r="E701" i="3" s="1"/>
  <c r="F702" i="3"/>
  <c r="D702" i="3" l="1"/>
  <c r="E702" i="3" s="1"/>
  <c r="F703" i="3"/>
  <c r="D703" i="3" l="1"/>
  <c r="E703" i="3" s="1"/>
  <c r="F704" i="3"/>
  <c r="D704" i="3" l="1"/>
  <c r="E704" i="3" s="1"/>
  <c r="F705" i="3"/>
  <c r="F706" i="3" l="1"/>
  <c r="D705" i="3"/>
  <c r="E705" i="3" s="1"/>
  <c r="D706" i="3" l="1"/>
  <c r="E706" i="3" s="1"/>
  <c r="F707" i="3"/>
  <c r="D707" i="3" l="1"/>
  <c r="E707" i="3" s="1"/>
  <c r="F708" i="3"/>
  <c r="D708" i="3" l="1"/>
  <c r="E708" i="3" s="1"/>
  <c r="F709" i="3"/>
  <c r="D709" i="3" l="1"/>
  <c r="E709" i="3" s="1"/>
  <c r="F710" i="3"/>
  <c r="D710" i="3" l="1"/>
  <c r="E710" i="3" s="1"/>
  <c r="F711" i="3"/>
  <c r="D711" i="3" l="1"/>
  <c r="E711" i="3" s="1"/>
  <c r="F712" i="3"/>
  <c r="D712" i="3" l="1"/>
  <c r="E712" i="3" s="1"/>
  <c r="F713" i="3"/>
  <c r="D713" i="3" l="1"/>
  <c r="E713" i="3" s="1"/>
  <c r="F714" i="3"/>
  <c r="D714" i="3" l="1"/>
  <c r="E714" i="3" s="1"/>
  <c r="F715" i="3"/>
  <c r="D715" i="3" l="1"/>
  <c r="E715" i="3" s="1"/>
  <c r="F716" i="3"/>
  <c r="D716" i="3" l="1"/>
  <c r="E716" i="3" s="1"/>
  <c r="F717" i="3"/>
  <c r="F718" i="3" l="1"/>
  <c r="D717" i="3"/>
  <c r="E717" i="3" s="1"/>
  <c r="D718" i="3" l="1"/>
  <c r="E718" i="3" s="1"/>
  <c r="F719" i="3"/>
  <c r="D719" i="3" l="1"/>
  <c r="E719" i="3" s="1"/>
  <c r="F720" i="3"/>
  <c r="D720" i="3" l="1"/>
  <c r="E720" i="3" s="1"/>
  <c r="F721" i="3"/>
  <c r="D721" i="3" l="1"/>
  <c r="E721" i="3" s="1"/>
  <c r="F722" i="3"/>
  <c r="F723" i="3" l="1"/>
  <c r="D722" i="3"/>
  <c r="E722" i="3" s="1"/>
  <c r="D723" i="3" l="1"/>
  <c r="E723" i="3" s="1"/>
  <c r="F724" i="3"/>
  <c r="D724" i="3" l="1"/>
  <c r="E724" i="3" s="1"/>
  <c r="F725" i="3"/>
  <c r="D725" i="3" l="1"/>
  <c r="E725" i="3" s="1"/>
  <c r="F726" i="3"/>
  <c r="D726" i="3" l="1"/>
  <c r="E726" i="3" s="1"/>
  <c r="F727" i="3"/>
  <c r="D727" i="3" l="1"/>
  <c r="E727" i="3" s="1"/>
  <c r="F728" i="3"/>
  <c r="D728" i="3" l="1"/>
  <c r="E728" i="3" s="1"/>
  <c r="F729" i="3"/>
  <c r="F730" i="3" l="1"/>
  <c r="D729" i="3"/>
  <c r="E729" i="3" s="1"/>
  <c r="D730" i="3" l="1"/>
  <c r="E730" i="3" s="1"/>
  <c r="F731" i="3"/>
  <c r="D731" i="3" l="1"/>
  <c r="E731" i="3" s="1"/>
  <c r="F732" i="3"/>
  <c r="D732" i="3" l="1"/>
  <c r="E732" i="3" s="1"/>
  <c r="F733" i="3"/>
  <c r="D733" i="3" l="1"/>
  <c r="E733" i="3" s="1"/>
  <c r="F734" i="3"/>
  <c r="F735" i="3" l="1"/>
  <c r="D734" i="3"/>
  <c r="E734" i="3" s="1"/>
  <c r="D735" i="3" l="1"/>
  <c r="E735" i="3" s="1"/>
  <c r="F736" i="3"/>
  <c r="D736" i="3" l="1"/>
  <c r="E736" i="3" s="1"/>
  <c r="F737" i="3"/>
  <c r="F738" i="3" l="1"/>
  <c r="D737" i="3"/>
  <c r="E737" i="3" s="1"/>
  <c r="D738" i="3" l="1"/>
  <c r="E738" i="3" s="1"/>
  <c r="F739" i="3"/>
  <c r="D739" i="3" l="1"/>
  <c r="E739" i="3" s="1"/>
  <c r="F740" i="3"/>
  <c r="D740" i="3" l="1"/>
  <c r="E740" i="3" s="1"/>
  <c r="F741" i="3"/>
  <c r="F742" i="3" l="1"/>
  <c r="D741" i="3"/>
  <c r="E741" i="3" s="1"/>
  <c r="D742" i="3" l="1"/>
  <c r="E742" i="3" s="1"/>
  <c r="F743" i="3"/>
  <c r="D743" i="3" l="1"/>
  <c r="E743" i="3" s="1"/>
  <c r="F744" i="3"/>
  <c r="D744" i="3" l="1"/>
  <c r="E744" i="3" s="1"/>
  <c r="F745" i="3"/>
  <c r="D745" i="3" l="1"/>
  <c r="E745" i="3" s="1"/>
  <c r="F746" i="3"/>
  <c r="F747" i="3" l="1"/>
  <c r="D746" i="3"/>
  <c r="E746" i="3" s="1"/>
  <c r="D747" i="3" l="1"/>
  <c r="E747" i="3" s="1"/>
  <c r="F748" i="3"/>
  <c r="D748" i="3" l="1"/>
  <c r="E748" i="3" s="1"/>
  <c r="F749" i="3"/>
  <c r="F750" i="3" l="1"/>
  <c r="D749" i="3"/>
  <c r="E749" i="3" s="1"/>
  <c r="D750" i="3" l="1"/>
  <c r="E750" i="3" s="1"/>
  <c r="F751" i="3"/>
  <c r="D751" i="3" l="1"/>
  <c r="E751" i="3" s="1"/>
  <c r="F752" i="3"/>
  <c r="D752" i="3" l="1"/>
  <c r="E752" i="3" s="1"/>
  <c r="F753" i="3"/>
  <c r="F754" i="3" l="1"/>
  <c r="D753" i="3"/>
  <c r="E753" i="3" s="1"/>
  <c r="D754" i="3" l="1"/>
  <c r="E754" i="3" s="1"/>
  <c r="F755" i="3"/>
  <c r="D755" i="3" l="1"/>
  <c r="E755" i="3" s="1"/>
  <c r="F756" i="3"/>
  <c r="D756" i="3" l="1"/>
  <c r="E756" i="3" s="1"/>
  <c r="F757" i="3"/>
  <c r="D757" i="3" l="1"/>
  <c r="E757" i="3" s="1"/>
  <c r="F758" i="3"/>
  <c r="F759" i="3" l="1"/>
  <c r="D758" i="3"/>
  <c r="E758" i="3" s="1"/>
  <c r="D759" i="3" l="1"/>
  <c r="E759" i="3" s="1"/>
  <c r="F760" i="3"/>
  <c r="D760" i="3" l="1"/>
  <c r="E760" i="3" s="1"/>
  <c r="F761" i="3"/>
  <c r="F762" i="3" l="1"/>
  <c r="D761" i="3"/>
  <c r="E761" i="3" s="1"/>
  <c r="D762" i="3" l="1"/>
  <c r="E762" i="3" s="1"/>
  <c r="F763" i="3"/>
  <c r="D763" i="3" l="1"/>
  <c r="E763" i="3" s="1"/>
  <c r="F764" i="3"/>
  <c r="D764" i="3" l="1"/>
  <c r="E764" i="3" s="1"/>
  <c r="F765" i="3"/>
  <c r="F766" i="3" l="1"/>
  <c r="D765" i="3"/>
  <c r="E765" i="3" s="1"/>
  <c r="D766" i="3" l="1"/>
  <c r="E766" i="3" s="1"/>
  <c r="F767" i="3"/>
  <c r="D767" i="3" l="1"/>
  <c r="E767" i="3" s="1"/>
  <c r="F768" i="3"/>
  <c r="D768" i="3" l="1"/>
  <c r="E768" i="3" s="1"/>
  <c r="F769" i="3"/>
  <c r="D769" i="3" l="1"/>
  <c r="E769" i="3" s="1"/>
  <c r="F770" i="3"/>
  <c r="F771" i="3" l="1"/>
  <c r="D770" i="3"/>
  <c r="E770" i="3" s="1"/>
  <c r="D771" i="3" l="1"/>
  <c r="E771" i="3" s="1"/>
  <c r="F772" i="3"/>
  <c r="D772" i="3" l="1"/>
  <c r="E772" i="3" s="1"/>
  <c r="F773" i="3"/>
  <c r="F774" i="3" l="1"/>
  <c r="D773" i="3"/>
  <c r="E773" i="3" s="1"/>
  <c r="D774" i="3" l="1"/>
  <c r="E774" i="3" s="1"/>
  <c r="F775" i="3"/>
  <c r="D775" i="3" l="1"/>
  <c r="E775" i="3" s="1"/>
  <c r="F776" i="3"/>
  <c r="D776" i="3" l="1"/>
  <c r="E776" i="3" s="1"/>
  <c r="F777" i="3"/>
  <c r="F778" i="3" l="1"/>
  <c r="D777" i="3"/>
  <c r="E777" i="3" s="1"/>
  <c r="D778" i="3" l="1"/>
  <c r="E778" i="3" s="1"/>
  <c r="F779" i="3"/>
  <c r="D779" i="3" l="1"/>
  <c r="E779" i="3" s="1"/>
  <c r="F780" i="3"/>
  <c r="D780" i="3" l="1"/>
  <c r="E780" i="3" s="1"/>
  <c r="F781" i="3"/>
  <c r="D781" i="3" l="1"/>
  <c r="E781" i="3" s="1"/>
  <c r="F782" i="3"/>
  <c r="F783" i="3" l="1"/>
  <c r="D782" i="3"/>
  <c r="E782" i="3" s="1"/>
  <c r="D783" i="3" l="1"/>
  <c r="E783" i="3" s="1"/>
  <c r="F784" i="3"/>
  <c r="D784" i="3" l="1"/>
  <c r="E784" i="3" s="1"/>
  <c r="F785" i="3"/>
  <c r="F786" i="3" l="1"/>
  <c r="D785" i="3"/>
  <c r="E785" i="3" s="1"/>
  <c r="D786" i="3" l="1"/>
  <c r="E786" i="3" s="1"/>
  <c r="F787" i="3"/>
  <c r="D787" i="3" l="1"/>
  <c r="E787" i="3" s="1"/>
  <c r="F788" i="3"/>
  <c r="D788" i="3" l="1"/>
  <c r="E788" i="3" s="1"/>
  <c r="F789" i="3"/>
  <c r="F790" i="3" l="1"/>
  <c r="D789" i="3"/>
  <c r="E789" i="3" s="1"/>
  <c r="D790" i="3" l="1"/>
  <c r="E790" i="3" s="1"/>
  <c r="F791" i="3"/>
  <c r="D791" i="3" l="1"/>
  <c r="E791" i="3" s="1"/>
  <c r="F792" i="3"/>
  <c r="D792" i="3" l="1"/>
  <c r="E792" i="3" s="1"/>
  <c r="F793" i="3"/>
  <c r="F794" i="3" l="1"/>
  <c r="D793" i="3"/>
  <c r="E793" i="3" s="1"/>
  <c r="D794" i="3" l="1"/>
  <c r="E794" i="3" s="1"/>
  <c r="F795" i="3"/>
  <c r="D795" i="3" l="1"/>
  <c r="E795" i="3" s="1"/>
  <c r="F796" i="3"/>
  <c r="D796" i="3" l="1"/>
  <c r="E796" i="3" s="1"/>
  <c r="F797" i="3"/>
  <c r="D797" i="3" l="1"/>
  <c r="E797" i="3" s="1"/>
  <c r="F798" i="3"/>
  <c r="D798" i="3" l="1"/>
  <c r="E798" i="3" s="1"/>
  <c r="F799" i="3"/>
  <c r="D799" i="3" l="1"/>
  <c r="E799" i="3" s="1"/>
  <c r="F800" i="3"/>
  <c r="F801" i="3" l="1"/>
  <c r="D800" i="3"/>
  <c r="E800" i="3" s="1"/>
  <c r="D801" i="3" l="1"/>
  <c r="E801" i="3" s="1"/>
  <c r="F802" i="3"/>
  <c r="D802" i="3" l="1"/>
  <c r="E802" i="3" s="1"/>
  <c r="F803" i="3"/>
  <c r="D803" i="3" l="1"/>
  <c r="E803" i="3" s="1"/>
  <c r="F804" i="3"/>
  <c r="D804" i="3" l="1"/>
  <c r="E804" i="3" s="1"/>
  <c r="F805" i="3"/>
  <c r="F806" i="3" l="1"/>
  <c r="D805" i="3"/>
  <c r="E805" i="3" s="1"/>
  <c r="F807" i="3" l="1"/>
  <c r="D806" i="3"/>
  <c r="E806" i="3" s="1"/>
  <c r="D807" i="3" l="1"/>
  <c r="E807" i="3" s="1"/>
  <c r="F808" i="3"/>
  <c r="D808" i="3" l="1"/>
  <c r="E808" i="3" s="1"/>
  <c r="F809" i="3"/>
  <c r="D809" i="3" l="1"/>
  <c r="E809" i="3" s="1"/>
  <c r="F810" i="3"/>
  <c r="D810" i="3" l="1"/>
  <c r="E810" i="3" s="1"/>
  <c r="F811" i="3"/>
  <c r="D811" i="3" l="1"/>
  <c r="E811" i="3" s="1"/>
  <c r="F812" i="3"/>
  <c r="F813" i="3" l="1"/>
  <c r="D812" i="3"/>
  <c r="E812" i="3" s="1"/>
  <c r="D813" i="3" l="1"/>
  <c r="E813" i="3" s="1"/>
  <c r="F814" i="3"/>
  <c r="D814" i="3" l="1"/>
  <c r="E814" i="3" s="1"/>
  <c r="F815" i="3"/>
  <c r="D815" i="3" l="1"/>
  <c r="E815" i="3" s="1"/>
  <c r="F816" i="3"/>
  <c r="D816" i="3" l="1"/>
  <c r="E816" i="3" s="1"/>
  <c r="F817" i="3"/>
  <c r="F818" i="3" l="1"/>
  <c r="D817" i="3"/>
  <c r="E817" i="3" s="1"/>
  <c r="F819" i="3" l="1"/>
  <c r="D818" i="3"/>
  <c r="E818" i="3" s="1"/>
  <c r="D819" i="3" l="1"/>
  <c r="E819" i="3" s="1"/>
  <c r="F820" i="3"/>
  <c r="D820" i="3" l="1"/>
  <c r="E820" i="3" s="1"/>
  <c r="F821" i="3"/>
  <c r="D821" i="3" l="1"/>
  <c r="E821" i="3" s="1"/>
  <c r="F822" i="3"/>
  <c r="D822" i="3" l="1"/>
  <c r="E822" i="3" s="1"/>
  <c r="F823" i="3"/>
  <c r="D823" i="3" l="1"/>
  <c r="E823" i="3" s="1"/>
  <c r="F824" i="3"/>
  <c r="F825" i="3" l="1"/>
  <c r="D824" i="3"/>
  <c r="E824" i="3" s="1"/>
  <c r="D825" i="3" l="1"/>
  <c r="E825" i="3" s="1"/>
  <c r="F826" i="3"/>
  <c r="D826" i="3" l="1"/>
  <c r="E826" i="3" s="1"/>
  <c r="F827" i="3"/>
  <c r="D827" i="3" l="1"/>
  <c r="E827" i="3" s="1"/>
  <c r="F828" i="3"/>
  <c r="D828" i="3" l="1"/>
  <c r="E828" i="3" s="1"/>
  <c r="F829" i="3"/>
  <c r="F830" i="3" l="1"/>
  <c r="D829" i="3"/>
  <c r="E829" i="3" s="1"/>
  <c r="F831" i="3" l="1"/>
  <c r="D830" i="3"/>
  <c r="E830" i="3" s="1"/>
  <c r="D831" i="3" l="1"/>
  <c r="E831" i="3" s="1"/>
  <c r="F832" i="3"/>
  <c r="D832" i="3" l="1"/>
  <c r="E832" i="3" s="1"/>
  <c r="F833" i="3"/>
  <c r="D833" i="3" l="1"/>
  <c r="E833" i="3" s="1"/>
  <c r="F834" i="3"/>
  <c r="D834" i="3" l="1"/>
  <c r="E834" i="3" s="1"/>
  <c r="F835" i="3"/>
  <c r="D835" i="3" l="1"/>
  <c r="E835" i="3" s="1"/>
  <c r="F836" i="3"/>
  <c r="F837" i="3" l="1"/>
  <c r="D836" i="3"/>
  <c r="E836" i="3" s="1"/>
  <c r="D837" i="3" l="1"/>
  <c r="E837" i="3" s="1"/>
  <c r="F838" i="3"/>
  <c r="D838" i="3" l="1"/>
  <c r="E838" i="3" s="1"/>
  <c r="F839" i="3"/>
  <c r="D839" i="3" l="1"/>
  <c r="E839" i="3" s="1"/>
  <c r="F840" i="3"/>
  <c r="D840" i="3" l="1"/>
  <c r="E840" i="3" s="1"/>
  <c r="F841" i="3"/>
  <c r="F842" i="3" l="1"/>
  <c r="D841" i="3"/>
  <c r="E841" i="3" s="1"/>
  <c r="F843" i="3" l="1"/>
  <c r="D842" i="3"/>
  <c r="E842" i="3" s="1"/>
  <c r="D843" i="3" l="1"/>
  <c r="E843" i="3" s="1"/>
  <c r="F844" i="3"/>
  <c r="D844" i="3" l="1"/>
  <c r="E844" i="3" s="1"/>
  <c r="F845" i="3"/>
  <c r="D845" i="3" l="1"/>
  <c r="E845" i="3" s="1"/>
  <c r="F846" i="3"/>
  <c r="D846" i="3" l="1"/>
  <c r="E846" i="3" s="1"/>
  <c r="F847" i="3"/>
  <c r="D847" i="3" l="1"/>
  <c r="E847" i="3" s="1"/>
  <c r="F848" i="3"/>
  <c r="F849" i="3" l="1"/>
  <c r="D848" i="3"/>
  <c r="E848" i="3" s="1"/>
  <c r="D849" i="3" l="1"/>
  <c r="E849" i="3" s="1"/>
  <c r="F850" i="3"/>
  <c r="D850" i="3" l="1"/>
  <c r="E850" i="3" s="1"/>
  <c r="F851" i="3"/>
  <c r="D851" i="3" l="1"/>
  <c r="E851" i="3" s="1"/>
  <c r="F852" i="3"/>
  <c r="D852" i="3" l="1"/>
  <c r="E852" i="3" s="1"/>
  <c r="F853" i="3"/>
  <c r="F854" i="3" l="1"/>
  <c r="D853" i="3"/>
  <c r="E853" i="3" s="1"/>
  <c r="F855" i="3" l="1"/>
  <c r="D854" i="3"/>
  <c r="E854" i="3" s="1"/>
  <c r="D855" i="3" l="1"/>
  <c r="E855" i="3" s="1"/>
  <c r="F856" i="3"/>
  <c r="D856" i="3" l="1"/>
  <c r="E856" i="3" s="1"/>
  <c r="F857" i="3"/>
  <c r="D857" i="3" l="1"/>
  <c r="E857" i="3" s="1"/>
  <c r="F858" i="3"/>
  <c r="D858" i="3" l="1"/>
  <c r="E858" i="3" s="1"/>
  <c r="F859" i="3"/>
  <c r="D859" i="3" l="1"/>
  <c r="E859" i="3" s="1"/>
  <c r="F860" i="3"/>
  <c r="F861" i="3" l="1"/>
  <c r="D860" i="3"/>
  <c r="E860" i="3" s="1"/>
  <c r="D861" i="3" l="1"/>
  <c r="E861" i="3" s="1"/>
  <c r="F862" i="3"/>
  <c r="D862" i="3" l="1"/>
  <c r="E862" i="3" s="1"/>
  <c r="F863" i="3"/>
  <c r="D863" i="3" l="1"/>
  <c r="E863" i="3" s="1"/>
  <c r="F864" i="3"/>
  <c r="D864" i="3" l="1"/>
  <c r="E864" i="3" s="1"/>
  <c r="F865" i="3"/>
  <c r="F866" i="3" l="1"/>
  <c r="D865" i="3"/>
  <c r="E865" i="3" s="1"/>
  <c r="F867" i="3" l="1"/>
  <c r="D866" i="3"/>
  <c r="E866" i="3" s="1"/>
  <c r="D867" i="3" l="1"/>
  <c r="E867" i="3" s="1"/>
  <c r="F868" i="3"/>
  <c r="D868" i="3" l="1"/>
  <c r="E868" i="3" s="1"/>
  <c r="F869" i="3"/>
  <c r="D869" i="3" l="1"/>
  <c r="E869" i="3" s="1"/>
  <c r="F870" i="3"/>
  <c r="D870" i="3" l="1"/>
  <c r="E870" i="3" s="1"/>
  <c r="F871" i="3"/>
  <c r="D871" i="3" l="1"/>
  <c r="E871" i="3" s="1"/>
  <c r="F872" i="3"/>
  <c r="F873" i="3" l="1"/>
  <c r="D872" i="3"/>
  <c r="E872" i="3" s="1"/>
  <c r="D873" i="3" l="1"/>
  <c r="E873" i="3" s="1"/>
  <c r="F874" i="3"/>
  <c r="D874" i="3" l="1"/>
  <c r="E874" i="3" s="1"/>
  <c r="F875" i="3"/>
  <c r="D875" i="3" l="1"/>
  <c r="E875" i="3" s="1"/>
  <c r="F876" i="3"/>
  <c r="D876" i="3" l="1"/>
  <c r="E876" i="3" s="1"/>
  <c r="F877" i="3"/>
  <c r="F878" i="3" l="1"/>
  <c r="D877" i="3"/>
  <c r="E877" i="3" s="1"/>
  <c r="F879" i="3" l="1"/>
  <c r="D878" i="3"/>
  <c r="E878" i="3" s="1"/>
  <c r="D879" i="3" l="1"/>
  <c r="E879" i="3" s="1"/>
  <c r="F880" i="3"/>
  <c r="D880" i="3" l="1"/>
  <c r="E880" i="3" s="1"/>
  <c r="F881" i="3"/>
  <c r="D881" i="3" l="1"/>
  <c r="E881" i="3" s="1"/>
  <c r="F882" i="3"/>
  <c r="D882" i="3" l="1"/>
  <c r="E882" i="3" s="1"/>
  <c r="F883" i="3"/>
  <c r="D883" i="3" l="1"/>
  <c r="E883" i="3" s="1"/>
  <c r="F884" i="3"/>
  <c r="F885" i="3" l="1"/>
  <c r="D884" i="3"/>
  <c r="E884" i="3" s="1"/>
  <c r="D885" i="3" l="1"/>
  <c r="E885" i="3" s="1"/>
  <c r="F886" i="3"/>
  <c r="D886" i="3" l="1"/>
  <c r="E886" i="3" s="1"/>
  <c r="F887" i="3"/>
  <c r="D887" i="3" l="1"/>
  <c r="E887" i="3" s="1"/>
  <c r="F888" i="3"/>
  <c r="D888" i="3" l="1"/>
  <c r="E888" i="3" s="1"/>
  <c r="F889" i="3"/>
  <c r="F890" i="3" l="1"/>
  <c r="D889" i="3"/>
  <c r="E889" i="3" s="1"/>
  <c r="F891" i="3" l="1"/>
  <c r="D890" i="3"/>
  <c r="E890" i="3" s="1"/>
  <c r="D891" i="3" l="1"/>
  <c r="E891" i="3" s="1"/>
  <c r="F892" i="3"/>
  <c r="D892" i="3" l="1"/>
  <c r="E892" i="3" s="1"/>
  <c r="F893" i="3"/>
  <c r="D893" i="3" l="1"/>
  <c r="E893" i="3" s="1"/>
  <c r="F894" i="3"/>
  <c r="D894" i="3" l="1"/>
  <c r="E894" i="3" s="1"/>
  <c r="F895" i="3"/>
  <c r="D895" i="3" l="1"/>
  <c r="E895" i="3" s="1"/>
  <c r="F896" i="3"/>
  <c r="F897" i="3" l="1"/>
  <c r="D896" i="3"/>
  <c r="E896" i="3" s="1"/>
  <c r="D897" i="3" l="1"/>
  <c r="E897" i="3" s="1"/>
  <c r="F898" i="3"/>
  <c r="D898" i="3" l="1"/>
  <c r="E898" i="3" s="1"/>
  <c r="F899" i="3"/>
  <c r="D899" i="3" l="1"/>
  <c r="E899" i="3" s="1"/>
  <c r="F900" i="3"/>
  <c r="D900" i="3" l="1"/>
  <c r="E900" i="3" s="1"/>
  <c r="F901" i="3"/>
  <c r="F902" i="3" l="1"/>
  <c r="D901" i="3"/>
  <c r="E901" i="3" s="1"/>
  <c r="D902" i="3" l="1"/>
  <c r="E902" i="3" s="1"/>
  <c r="F903" i="3"/>
  <c r="D903" i="3" l="1"/>
  <c r="E903" i="3" s="1"/>
  <c r="F904" i="3"/>
  <c r="D904" i="3" l="1"/>
  <c r="E904" i="3" s="1"/>
  <c r="F905" i="3"/>
  <c r="D905" i="3" l="1"/>
  <c r="E905" i="3" s="1"/>
  <c r="F906" i="3"/>
  <c r="D906" i="3" l="1"/>
  <c r="E906" i="3" s="1"/>
  <c r="F907" i="3"/>
  <c r="D907" i="3" l="1"/>
  <c r="E907" i="3" s="1"/>
  <c r="F908" i="3"/>
  <c r="F909" i="3" l="1"/>
  <c r="D908" i="3"/>
  <c r="E908" i="3" s="1"/>
  <c r="D909" i="3" l="1"/>
  <c r="E909" i="3" s="1"/>
  <c r="F910" i="3"/>
  <c r="D910" i="3" l="1"/>
  <c r="E910" i="3" s="1"/>
  <c r="F911" i="3"/>
  <c r="D911" i="3" l="1"/>
  <c r="E911" i="3" s="1"/>
  <c r="F912" i="3"/>
  <c r="D912" i="3" l="1"/>
  <c r="E912" i="3" s="1"/>
  <c r="F913" i="3"/>
  <c r="F914" i="3" l="1"/>
  <c r="D913" i="3"/>
  <c r="E913" i="3" s="1"/>
  <c r="D914" i="3" l="1"/>
  <c r="E914" i="3" s="1"/>
  <c r="F915" i="3"/>
  <c r="D915" i="3" l="1"/>
  <c r="E915" i="3" s="1"/>
  <c r="F916" i="3"/>
  <c r="D916" i="3" l="1"/>
  <c r="E916" i="3" s="1"/>
  <c r="F917" i="3"/>
  <c r="D917" i="3" l="1"/>
  <c r="E917" i="3" s="1"/>
  <c r="F918" i="3"/>
  <c r="D918" i="3" l="1"/>
  <c r="E918" i="3" s="1"/>
  <c r="F919" i="3"/>
  <c r="D919" i="3" l="1"/>
  <c r="E919" i="3" s="1"/>
  <c r="F920" i="3"/>
  <c r="F921" i="3" l="1"/>
  <c r="D920" i="3"/>
  <c r="E920" i="3" s="1"/>
  <c r="D921" i="3" l="1"/>
  <c r="E921" i="3" s="1"/>
  <c r="F922" i="3"/>
  <c r="D922" i="3" l="1"/>
  <c r="E922" i="3" s="1"/>
  <c r="F923" i="3"/>
  <c r="D923" i="3" l="1"/>
  <c r="E923" i="3" s="1"/>
  <c r="F924" i="3"/>
  <c r="D924" i="3" l="1"/>
  <c r="E924" i="3" s="1"/>
  <c r="F925" i="3"/>
  <c r="F926" i="3" l="1"/>
  <c r="D925" i="3"/>
  <c r="E925" i="3" s="1"/>
  <c r="D926" i="3" l="1"/>
  <c r="E926" i="3" s="1"/>
  <c r="F927" i="3"/>
  <c r="D927" i="3" l="1"/>
  <c r="E927" i="3" s="1"/>
  <c r="F928" i="3"/>
  <c r="D928" i="3" l="1"/>
  <c r="E928" i="3" s="1"/>
  <c r="F929" i="3"/>
  <c r="D929" i="3" l="1"/>
  <c r="E929" i="3" s="1"/>
  <c r="F930" i="3"/>
  <c r="D930" i="3" l="1"/>
  <c r="E930" i="3" s="1"/>
  <c r="F931" i="3"/>
  <c r="D931" i="3" l="1"/>
  <c r="E931" i="3" s="1"/>
  <c r="F932" i="3"/>
  <c r="F933" i="3" l="1"/>
  <c r="D932" i="3"/>
  <c r="E932" i="3" s="1"/>
  <c r="D933" i="3" l="1"/>
  <c r="E933" i="3" s="1"/>
  <c r="F934" i="3"/>
  <c r="D934" i="3" l="1"/>
  <c r="E934" i="3" s="1"/>
  <c r="F935" i="3"/>
  <c r="D935" i="3" l="1"/>
  <c r="E935" i="3" s="1"/>
  <c r="F936" i="3"/>
  <c r="D936" i="3" l="1"/>
  <c r="E936" i="3" s="1"/>
  <c r="F937" i="3"/>
  <c r="F938" i="3" l="1"/>
  <c r="D937" i="3"/>
  <c r="E937" i="3" s="1"/>
  <c r="D938" i="3" l="1"/>
  <c r="E938" i="3" s="1"/>
  <c r="F939" i="3"/>
  <c r="D939" i="3" l="1"/>
  <c r="E939" i="3" s="1"/>
  <c r="F940" i="3"/>
  <c r="D940" i="3" l="1"/>
  <c r="E940" i="3" s="1"/>
  <c r="F941" i="3"/>
  <c r="D941" i="3" l="1"/>
  <c r="E941" i="3" s="1"/>
  <c r="F942" i="3"/>
  <c r="D942" i="3" l="1"/>
  <c r="E942" i="3" s="1"/>
  <c r="F943" i="3"/>
  <c r="D943" i="3" l="1"/>
  <c r="E943" i="3" s="1"/>
  <c r="F944" i="3"/>
  <c r="F945" i="3" l="1"/>
  <c r="D944" i="3"/>
  <c r="E944" i="3" s="1"/>
  <c r="D945" i="3" l="1"/>
  <c r="E945" i="3" s="1"/>
  <c r="F946" i="3"/>
  <c r="D946" i="3" l="1"/>
  <c r="E946" i="3" s="1"/>
  <c r="F947" i="3"/>
  <c r="D947" i="3" l="1"/>
  <c r="E947" i="3" s="1"/>
  <c r="F948" i="3"/>
  <c r="D948" i="3" l="1"/>
  <c r="E948" i="3" s="1"/>
  <c r="F949" i="3"/>
  <c r="F950" i="3" l="1"/>
  <c r="D949" i="3"/>
  <c r="E949" i="3" s="1"/>
  <c r="D950" i="3" l="1"/>
  <c r="E950" i="3" s="1"/>
  <c r="F951" i="3"/>
  <c r="D951" i="3" l="1"/>
  <c r="E951" i="3" s="1"/>
  <c r="F952" i="3"/>
  <c r="D952" i="3" l="1"/>
  <c r="E952" i="3" s="1"/>
  <c r="F953" i="3"/>
  <c r="D953" i="3" l="1"/>
  <c r="E953" i="3" s="1"/>
  <c r="F954" i="3"/>
  <c r="D954" i="3" l="1"/>
  <c r="E954" i="3" s="1"/>
  <c r="F955" i="3"/>
  <c r="D955" i="3" l="1"/>
  <c r="E955" i="3" s="1"/>
  <c r="F956" i="3"/>
  <c r="F957" i="3" l="1"/>
  <c r="D956" i="3"/>
  <c r="E956" i="3" s="1"/>
  <c r="D957" i="3" l="1"/>
  <c r="E957" i="3" s="1"/>
  <c r="F958" i="3"/>
  <c r="D958" i="3" l="1"/>
  <c r="E958" i="3" s="1"/>
  <c r="F959" i="3"/>
  <c r="D959" i="3" l="1"/>
  <c r="E959" i="3" s="1"/>
  <c r="F960" i="3"/>
  <c r="D960" i="3" l="1"/>
  <c r="E960" i="3" s="1"/>
  <c r="F961" i="3"/>
  <c r="F962" i="3" l="1"/>
  <c r="D961" i="3"/>
  <c r="E961" i="3" s="1"/>
  <c r="D962" i="3" l="1"/>
  <c r="E962" i="3" s="1"/>
  <c r="F963" i="3"/>
  <c r="D963" i="3" l="1"/>
  <c r="E963" i="3" s="1"/>
  <c r="F964" i="3"/>
  <c r="D964" i="3" l="1"/>
  <c r="E964" i="3" s="1"/>
  <c r="F965" i="3"/>
  <c r="D965" i="3" l="1"/>
  <c r="E965" i="3" s="1"/>
  <c r="F966" i="3"/>
  <c r="D966" i="3" l="1"/>
  <c r="E966" i="3" s="1"/>
  <c r="F967" i="3"/>
  <c r="D967" i="3" l="1"/>
  <c r="E967" i="3" s="1"/>
  <c r="F968" i="3"/>
  <c r="F969" i="3" l="1"/>
  <c r="D968" i="3"/>
  <c r="E968" i="3" s="1"/>
  <c r="D969" i="3" l="1"/>
  <c r="E969" i="3" s="1"/>
  <c r="F970" i="3"/>
  <c r="D970" i="3" l="1"/>
  <c r="E970" i="3" s="1"/>
  <c r="F971" i="3"/>
  <c r="D971" i="3" l="1"/>
  <c r="E971" i="3" s="1"/>
  <c r="F972" i="3"/>
  <c r="D972" i="3" l="1"/>
  <c r="E972" i="3" s="1"/>
  <c r="F973" i="3"/>
  <c r="F974" i="3" l="1"/>
  <c r="D973" i="3"/>
  <c r="E973" i="3" s="1"/>
  <c r="D974" i="3" l="1"/>
  <c r="E974" i="3" s="1"/>
  <c r="F975" i="3"/>
  <c r="D975" i="3" l="1"/>
  <c r="E975" i="3" s="1"/>
  <c r="F976" i="3"/>
  <c r="F977" i="3" l="1"/>
  <c r="D976" i="3"/>
  <c r="E976" i="3" s="1"/>
  <c r="D977" i="3" l="1"/>
  <c r="E977" i="3" s="1"/>
  <c r="F978" i="3"/>
  <c r="D978" i="3" l="1"/>
  <c r="E978" i="3" s="1"/>
  <c r="F979" i="3"/>
  <c r="D979" i="3" l="1"/>
  <c r="E979" i="3" s="1"/>
  <c r="F980" i="3"/>
  <c r="F981" i="3" l="1"/>
  <c r="D980" i="3"/>
  <c r="E980" i="3" s="1"/>
  <c r="D981" i="3" l="1"/>
  <c r="E981" i="3" s="1"/>
  <c r="F982" i="3"/>
  <c r="F983" i="3" l="1"/>
  <c r="D982" i="3"/>
  <c r="E982" i="3" s="1"/>
  <c r="D983" i="3" l="1"/>
  <c r="E983" i="3" s="1"/>
  <c r="F984" i="3"/>
  <c r="D984" i="3" l="1"/>
  <c r="E984" i="3" s="1"/>
  <c r="F985" i="3"/>
  <c r="D985" i="3" l="1"/>
  <c r="E985" i="3" s="1"/>
  <c r="F986" i="3"/>
  <c r="D986" i="3" l="1"/>
  <c r="E986" i="3" s="1"/>
  <c r="F987" i="3"/>
  <c r="D987" i="3" l="1"/>
  <c r="E987" i="3" s="1"/>
  <c r="F988" i="3"/>
  <c r="D988" i="3" l="1"/>
  <c r="E988" i="3" s="1"/>
  <c r="F989" i="3"/>
  <c r="D989" i="3" l="1"/>
  <c r="E989" i="3" s="1"/>
  <c r="F990" i="3"/>
  <c r="D990" i="3" l="1"/>
  <c r="E990" i="3" s="1"/>
  <c r="F991" i="3"/>
  <c r="D991" i="3" l="1"/>
  <c r="E991" i="3" s="1"/>
  <c r="F992" i="3"/>
  <c r="F993" i="3" l="1"/>
  <c r="D992" i="3"/>
  <c r="E992" i="3" s="1"/>
  <c r="D993" i="3" l="1"/>
  <c r="E993" i="3" s="1"/>
  <c r="F994" i="3"/>
  <c r="F995" i="3" l="1"/>
  <c r="D994" i="3"/>
  <c r="E994" i="3" s="1"/>
  <c r="D995" i="3" l="1"/>
  <c r="E995" i="3" s="1"/>
  <c r="F996" i="3"/>
  <c r="D996" i="3" l="1"/>
  <c r="E996" i="3" s="1"/>
  <c r="F997" i="3"/>
  <c r="D997" i="3" l="1"/>
  <c r="E997" i="3" s="1"/>
  <c r="F998" i="3"/>
  <c r="D998" i="3" l="1"/>
  <c r="E998" i="3" s="1"/>
  <c r="F999" i="3"/>
  <c r="D999" i="3" l="1"/>
  <c r="E999" i="3" s="1"/>
  <c r="F1000" i="3"/>
  <c r="F1001" i="3" l="1"/>
  <c r="D1000" i="3"/>
  <c r="E1000" i="3" s="1"/>
  <c r="D1001" i="3" l="1"/>
  <c r="E1001" i="3" s="1"/>
  <c r="F1002" i="3"/>
  <c r="D1002" i="3" l="1"/>
  <c r="E1002" i="3" s="1"/>
  <c r="F1003" i="3"/>
  <c r="D1003" i="3" l="1"/>
  <c r="E1003" i="3" s="1"/>
  <c r="F1004" i="3"/>
  <c r="F1005" i="3" l="1"/>
  <c r="D1004" i="3"/>
  <c r="E1004" i="3" s="1"/>
  <c r="D1005" i="3" l="1"/>
  <c r="E1005" i="3" s="1"/>
  <c r="F1006" i="3"/>
  <c r="F1007" i="3" l="1"/>
  <c r="D1006" i="3"/>
  <c r="E1006" i="3" s="1"/>
  <c r="D1007" i="3" l="1"/>
  <c r="E1007" i="3" s="1"/>
  <c r="F1008" i="3"/>
  <c r="D1008" i="3" l="1"/>
  <c r="E1008" i="3" s="1"/>
  <c r="F1009" i="3"/>
  <c r="D1009" i="3" l="1"/>
  <c r="E1009" i="3" s="1"/>
  <c r="F1010" i="3"/>
  <c r="D1010" i="3" l="1"/>
  <c r="E1010" i="3" s="1"/>
  <c r="F1011" i="3"/>
  <c r="D1011" i="3" l="1"/>
  <c r="E1011" i="3" s="1"/>
  <c r="F1012" i="3"/>
  <c r="F1013" i="3" l="1"/>
  <c r="D1012" i="3"/>
  <c r="E1012" i="3" s="1"/>
  <c r="D1013" i="3" l="1"/>
  <c r="E1013" i="3" s="1"/>
  <c r="F1014" i="3"/>
  <c r="D1014" i="3" l="1"/>
  <c r="E1014" i="3" s="1"/>
  <c r="F1015" i="3"/>
  <c r="D1015" i="3" l="1"/>
  <c r="E1015" i="3" s="1"/>
  <c r="F1016" i="3"/>
  <c r="F1017" i="3" l="1"/>
  <c r="D1016" i="3"/>
  <c r="E1016" i="3" s="1"/>
  <c r="D1017" i="3" l="1"/>
  <c r="E1017" i="3" s="1"/>
  <c r="F1018" i="3"/>
  <c r="F1019" i="3" l="1"/>
  <c r="D1018" i="3"/>
  <c r="E1018" i="3" s="1"/>
  <c r="D1019" i="3" l="1"/>
  <c r="E1019" i="3" s="1"/>
  <c r="F1020" i="3"/>
  <c r="D1020" i="3" l="1"/>
  <c r="E1020" i="3" s="1"/>
  <c r="F1021" i="3"/>
  <c r="D1021" i="3" l="1"/>
  <c r="E1021" i="3" s="1"/>
  <c r="F1022" i="3"/>
  <c r="D1022" i="3" l="1"/>
  <c r="E1022" i="3" s="1"/>
  <c r="F1023" i="3"/>
  <c r="D1023" i="3" l="1"/>
  <c r="E1023" i="3" s="1"/>
  <c r="F1024" i="3"/>
  <c r="F1025" i="3" l="1"/>
  <c r="D1024" i="3"/>
  <c r="E1024" i="3" s="1"/>
  <c r="D1025" i="3" l="1"/>
  <c r="E1025" i="3" s="1"/>
  <c r="F1026" i="3"/>
  <c r="D1026" i="3" l="1"/>
  <c r="E1026" i="3" s="1"/>
  <c r="F1027" i="3"/>
  <c r="D1027" i="3" l="1"/>
  <c r="E1027" i="3" s="1"/>
  <c r="F1028" i="3"/>
  <c r="F1029" i="3" l="1"/>
  <c r="D1028" i="3"/>
  <c r="E1028" i="3" s="1"/>
  <c r="D1029" i="3" l="1"/>
  <c r="E1029" i="3" s="1"/>
  <c r="F1030" i="3"/>
  <c r="F1031" i="3" l="1"/>
  <c r="D1030" i="3"/>
  <c r="E1030" i="3" s="1"/>
  <c r="D1031" i="3" l="1"/>
  <c r="E1031" i="3" s="1"/>
  <c r="F1032" i="3"/>
  <c r="D1032" i="3" l="1"/>
  <c r="E1032" i="3" s="1"/>
  <c r="F1033" i="3"/>
  <c r="D1033" i="3" l="1"/>
  <c r="E1033" i="3" s="1"/>
  <c r="F1034" i="3"/>
  <c r="D1034" i="3" l="1"/>
  <c r="E1034" i="3" s="1"/>
  <c r="F1035" i="3"/>
  <c r="D1035" i="3" l="1"/>
  <c r="E1035" i="3" s="1"/>
  <c r="F1036" i="3"/>
  <c r="F1037" i="3" l="1"/>
  <c r="D1036" i="3"/>
  <c r="E1036" i="3" s="1"/>
  <c r="D1037" i="3" l="1"/>
  <c r="E1037" i="3" s="1"/>
  <c r="F1038" i="3"/>
  <c r="D1038" i="3" l="1"/>
  <c r="E1038" i="3" s="1"/>
  <c r="F1039" i="3"/>
  <c r="D1039" i="3" l="1"/>
  <c r="E1039" i="3" s="1"/>
  <c r="F1040" i="3"/>
  <c r="F1041" i="3" l="1"/>
  <c r="D1040" i="3"/>
  <c r="E1040" i="3" s="1"/>
  <c r="D1041" i="3" l="1"/>
  <c r="E1041" i="3" s="1"/>
  <c r="F1042" i="3"/>
  <c r="F1043" i="3" l="1"/>
  <c r="D1042" i="3"/>
  <c r="E1042" i="3" s="1"/>
  <c r="D1043" i="3" l="1"/>
  <c r="E1043" i="3" s="1"/>
  <c r="F1044" i="3"/>
  <c r="D1044" i="3" l="1"/>
  <c r="E1044" i="3" s="1"/>
  <c r="F1045" i="3"/>
  <c r="D1045" i="3" l="1"/>
  <c r="E1045" i="3" s="1"/>
  <c r="F1046" i="3"/>
  <c r="D1046" i="3" l="1"/>
  <c r="E1046" i="3" s="1"/>
  <c r="F1047" i="3"/>
  <c r="D1047" i="3" l="1"/>
  <c r="E1047" i="3" s="1"/>
  <c r="F1048" i="3"/>
  <c r="F1049" i="3" l="1"/>
  <c r="D1048" i="3"/>
  <c r="E1048" i="3" s="1"/>
  <c r="D1049" i="3" l="1"/>
  <c r="E1049" i="3" s="1"/>
  <c r="F1050" i="3"/>
  <c r="D1050" i="3" l="1"/>
  <c r="E1050" i="3" s="1"/>
  <c r="F1051" i="3"/>
  <c r="D1051" i="3" l="1"/>
  <c r="E1051" i="3" s="1"/>
  <c r="F1052" i="3"/>
  <c r="F1053" i="3" l="1"/>
  <c r="D1052" i="3"/>
  <c r="E1052" i="3" s="1"/>
  <c r="D1053" i="3" l="1"/>
  <c r="E1053" i="3" s="1"/>
  <c r="F1054" i="3"/>
  <c r="F1055" i="3" l="1"/>
  <c r="D1054" i="3"/>
  <c r="E1054" i="3" s="1"/>
  <c r="D1055" i="3" l="1"/>
  <c r="E1055" i="3" s="1"/>
  <c r="F1056" i="3"/>
  <c r="D1056" i="3" l="1"/>
  <c r="E1056" i="3" s="1"/>
  <c r="F1057" i="3"/>
  <c r="D1057" i="3" l="1"/>
  <c r="E1057" i="3" s="1"/>
  <c r="F1058" i="3"/>
  <c r="D1058" i="3" l="1"/>
  <c r="E1058" i="3" s="1"/>
  <c r="F1059" i="3"/>
  <c r="D1059" i="3" l="1"/>
  <c r="E1059" i="3" s="1"/>
  <c r="F1060" i="3"/>
  <c r="F1061" i="3" l="1"/>
  <c r="D1060" i="3"/>
  <c r="E1060" i="3" s="1"/>
  <c r="D1061" i="3" l="1"/>
  <c r="E1061" i="3" s="1"/>
  <c r="F1062" i="3"/>
  <c r="D1062" i="3" l="1"/>
  <c r="E1062" i="3" s="1"/>
  <c r="F1063" i="3"/>
  <c r="D1063" i="3" l="1"/>
  <c r="E1063" i="3" s="1"/>
  <c r="F1064" i="3"/>
  <c r="F1065" i="3" l="1"/>
  <c r="D1064" i="3"/>
  <c r="E1064" i="3" s="1"/>
  <c r="D1065" i="3" l="1"/>
  <c r="E1065" i="3" s="1"/>
  <c r="F1066" i="3"/>
  <c r="F1067" i="3" l="1"/>
  <c r="D1066" i="3"/>
  <c r="E1066" i="3" s="1"/>
  <c r="D1067" i="3" l="1"/>
  <c r="E1067" i="3" s="1"/>
  <c r="F1068" i="3"/>
  <c r="D1068" i="3" l="1"/>
  <c r="E1068" i="3" s="1"/>
  <c r="F1069" i="3"/>
  <c r="D1069" i="3" l="1"/>
  <c r="E1069" i="3" s="1"/>
  <c r="F1070" i="3"/>
  <c r="D1070" i="3" l="1"/>
  <c r="E1070" i="3" s="1"/>
  <c r="F1071" i="3"/>
  <c r="D1071" i="3" l="1"/>
  <c r="E1071" i="3" s="1"/>
  <c r="F1072" i="3"/>
  <c r="F1073" i="3" l="1"/>
  <c r="D1072" i="3"/>
  <c r="E1072" i="3" s="1"/>
  <c r="D1073" i="3" l="1"/>
  <c r="E1073" i="3" s="1"/>
  <c r="F1074" i="3"/>
  <c r="D1074" i="3" l="1"/>
  <c r="E1074" i="3" s="1"/>
  <c r="F1075" i="3"/>
  <c r="D1075" i="3" l="1"/>
  <c r="E1075" i="3" s="1"/>
  <c r="F1076" i="3"/>
  <c r="D1076" i="3" l="1"/>
  <c r="E1076" i="3" s="1"/>
  <c r="F1077" i="3"/>
  <c r="F1078" i="3" l="1"/>
  <c r="D1077" i="3"/>
  <c r="E1077" i="3" s="1"/>
  <c r="D1078" i="3" l="1"/>
  <c r="E1078" i="3" s="1"/>
  <c r="F1079" i="3"/>
  <c r="D1079" i="3" l="1"/>
  <c r="E1079" i="3" s="1"/>
  <c r="F1080" i="3"/>
  <c r="D1080" i="3" l="1"/>
  <c r="E1080" i="3" s="1"/>
  <c r="F1081" i="3"/>
  <c r="D1081" i="3" l="1"/>
  <c r="E1081" i="3" s="1"/>
  <c r="F1082" i="3"/>
  <c r="D1082" i="3" l="1"/>
  <c r="E1082" i="3" s="1"/>
  <c r="F1083" i="3"/>
  <c r="D1083" i="3" l="1"/>
  <c r="E1083" i="3" s="1"/>
  <c r="F1084" i="3"/>
  <c r="F1085" i="3" l="1"/>
  <c r="D1084" i="3"/>
  <c r="E1084" i="3" s="1"/>
  <c r="D1085" i="3" l="1"/>
  <c r="E1085" i="3" s="1"/>
  <c r="F1086" i="3"/>
  <c r="D1086" i="3" l="1"/>
  <c r="E1086" i="3" s="1"/>
  <c r="F1087" i="3"/>
  <c r="D1087" i="3" l="1"/>
  <c r="E1087" i="3" s="1"/>
  <c r="F1088" i="3"/>
  <c r="D1088" i="3" l="1"/>
  <c r="E1088" i="3" s="1"/>
  <c r="F1089" i="3"/>
  <c r="F1090" i="3" l="1"/>
  <c r="D1089" i="3"/>
  <c r="E1089" i="3" s="1"/>
  <c r="D1090" i="3" l="1"/>
  <c r="E1090" i="3" s="1"/>
  <c r="F1091" i="3"/>
  <c r="D1091" i="3" l="1"/>
  <c r="E1091" i="3" s="1"/>
  <c r="F1092" i="3"/>
  <c r="D1092" i="3" l="1"/>
  <c r="E1092" i="3" s="1"/>
  <c r="F1093" i="3"/>
  <c r="D1093" i="3" l="1"/>
  <c r="E1093" i="3" s="1"/>
  <c r="F1094" i="3"/>
  <c r="D1094" i="3" l="1"/>
  <c r="E1094" i="3" s="1"/>
  <c r="F1095" i="3"/>
  <c r="D1095" i="3" l="1"/>
  <c r="E1095" i="3" s="1"/>
  <c r="F1096" i="3"/>
  <c r="F1097" i="3" l="1"/>
  <c r="D1096" i="3"/>
  <c r="E1096" i="3" s="1"/>
  <c r="D1097" i="3" l="1"/>
  <c r="E1097" i="3" s="1"/>
  <c r="F1098" i="3"/>
  <c r="D1098" i="3" l="1"/>
  <c r="E1098" i="3" s="1"/>
  <c r="F1099" i="3"/>
  <c r="D1099" i="3" l="1"/>
  <c r="E1099" i="3" s="1"/>
  <c r="F1100" i="3"/>
  <c r="D1100" i="3" l="1"/>
  <c r="E1100" i="3" s="1"/>
  <c r="F1101" i="3"/>
  <c r="F1102" i="3" l="1"/>
  <c r="D1101" i="3"/>
  <c r="E1101" i="3" s="1"/>
  <c r="D1102" i="3" l="1"/>
  <c r="E1102" i="3" s="1"/>
  <c r="F1103" i="3"/>
  <c r="D1103" i="3" l="1"/>
  <c r="E1103" i="3" s="1"/>
  <c r="F1104" i="3"/>
  <c r="D1104" i="3" l="1"/>
  <c r="E1104" i="3" s="1"/>
  <c r="F1105" i="3"/>
  <c r="D1105" i="3" l="1"/>
  <c r="E1105" i="3" s="1"/>
  <c r="F1106" i="3"/>
  <c r="D1106" i="3" l="1"/>
  <c r="E1106" i="3" s="1"/>
  <c r="F1107" i="3"/>
  <c r="D1107" i="3" l="1"/>
  <c r="E1107" i="3" s="1"/>
  <c r="F1108" i="3"/>
  <c r="F1109" i="3" l="1"/>
  <c r="D1108" i="3"/>
  <c r="E1108" i="3" s="1"/>
  <c r="D1109" i="3" l="1"/>
  <c r="E1109" i="3" s="1"/>
  <c r="F1110" i="3"/>
  <c r="D1110" i="3" l="1"/>
  <c r="E1110" i="3" s="1"/>
  <c r="F1111" i="3"/>
  <c r="D1111" i="3" l="1"/>
  <c r="E1111" i="3" s="1"/>
  <c r="F1112" i="3"/>
  <c r="D1112" i="3" l="1"/>
  <c r="E1112" i="3" s="1"/>
  <c r="F1113" i="3"/>
  <c r="F1114" i="3" l="1"/>
  <c r="D1113" i="3"/>
  <c r="E1113" i="3" s="1"/>
  <c r="D1114" i="3" l="1"/>
  <c r="E1114" i="3" s="1"/>
  <c r="F1115" i="3"/>
  <c r="D1115" i="3" l="1"/>
  <c r="E1115" i="3" s="1"/>
  <c r="F1116" i="3"/>
  <c r="D1116" i="3" l="1"/>
  <c r="E1116" i="3" s="1"/>
  <c r="F1117" i="3"/>
  <c r="D1117" i="3" l="1"/>
  <c r="E1117" i="3" s="1"/>
  <c r="F1118" i="3"/>
  <c r="D1118" i="3" l="1"/>
  <c r="E1118" i="3" s="1"/>
  <c r="F1119" i="3"/>
  <c r="D1119" i="3" l="1"/>
  <c r="E1119" i="3" s="1"/>
  <c r="F1120" i="3"/>
  <c r="F1121" i="3" l="1"/>
  <c r="D1120" i="3"/>
  <c r="E1120" i="3" s="1"/>
  <c r="D1121" i="3" l="1"/>
  <c r="E1121" i="3" s="1"/>
  <c r="F1122" i="3"/>
  <c r="D1122" i="3" l="1"/>
  <c r="E1122" i="3" s="1"/>
  <c r="F1123" i="3"/>
  <c r="D1123" i="3" l="1"/>
  <c r="E1123" i="3" s="1"/>
  <c r="F1124" i="3"/>
  <c r="D1124" i="3" l="1"/>
  <c r="E1124" i="3" s="1"/>
  <c r="F1125" i="3"/>
  <c r="F1126" i="3" l="1"/>
  <c r="D1125" i="3"/>
  <c r="E1125" i="3" s="1"/>
  <c r="D1126" i="3" l="1"/>
  <c r="E1126" i="3" s="1"/>
  <c r="F1127" i="3"/>
  <c r="D1127" i="3" l="1"/>
  <c r="E1127" i="3" s="1"/>
  <c r="F1128" i="3"/>
  <c r="D1128" i="3" l="1"/>
  <c r="E1128" i="3" s="1"/>
  <c r="F1129" i="3"/>
  <c r="D1129" i="3" l="1"/>
  <c r="E1129" i="3" s="1"/>
  <c r="F1130" i="3"/>
  <c r="D1130" i="3" l="1"/>
  <c r="E1130" i="3" s="1"/>
  <c r="F1131" i="3"/>
  <c r="D1131" i="3" l="1"/>
  <c r="E1131" i="3" s="1"/>
  <c r="F1132" i="3"/>
  <c r="F1133" i="3" l="1"/>
  <c r="D1132" i="3"/>
  <c r="E1132" i="3" s="1"/>
  <c r="D1133" i="3" l="1"/>
  <c r="E1133" i="3" s="1"/>
  <c r="F1134" i="3"/>
  <c r="D1134" i="3" l="1"/>
  <c r="E1134" i="3" s="1"/>
  <c r="F1135" i="3"/>
  <c r="D1135" i="3" l="1"/>
  <c r="E1135" i="3" s="1"/>
  <c r="F1136" i="3"/>
  <c r="D1136" i="3" l="1"/>
  <c r="E1136" i="3" s="1"/>
  <c r="F1137" i="3"/>
  <c r="F1138" i="3" l="1"/>
  <c r="D1137" i="3"/>
  <c r="E1137" i="3" s="1"/>
  <c r="D1138" i="3" l="1"/>
  <c r="E1138" i="3" s="1"/>
  <c r="F1139" i="3"/>
  <c r="D1139" i="3" l="1"/>
  <c r="E1139" i="3" s="1"/>
  <c r="F1140" i="3"/>
  <c r="F1141" i="3" l="1"/>
  <c r="D1140" i="3"/>
  <c r="E1140" i="3" s="1"/>
  <c r="D1141" i="3" l="1"/>
  <c r="E1141" i="3" s="1"/>
  <c r="F1142" i="3"/>
  <c r="D1142" i="3" l="1"/>
  <c r="E1142" i="3" s="1"/>
  <c r="F1143" i="3"/>
  <c r="F1144" i="3" l="1"/>
  <c r="D1143" i="3"/>
  <c r="E1143" i="3" s="1"/>
  <c r="D1144" i="3" l="1"/>
  <c r="E1144" i="3" s="1"/>
  <c r="F1145" i="3"/>
  <c r="D1145" i="3" l="1"/>
  <c r="E1145" i="3" s="1"/>
  <c r="F1146" i="3"/>
  <c r="F1147" i="3" l="1"/>
  <c r="D1146" i="3"/>
  <c r="E1146" i="3" s="1"/>
  <c r="D1147" i="3" l="1"/>
  <c r="E1147" i="3" s="1"/>
  <c r="F1148" i="3"/>
  <c r="D1148" i="3" l="1"/>
  <c r="E1148" i="3" s="1"/>
  <c r="F1149" i="3"/>
  <c r="F1150" i="3" l="1"/>
  <c r="D1149" i="3"/>
  <c r="E1149" i="3" s="1"/>
  <c r="F1151" i="3" l="1"/>
  <c r="D1150" i="3"/>
  <c r="E1150" i="3" s="1"/>
  <c r="D1151" i="3" l="1"/>
  <c r="E1151" i="3" s="1"/>
  <c r="F1152" i="3"/>
  <c r="D1152" i="3" l="1"/>
  <c r="E1152" i="3" s="1"/>
  <c r="F1153" i="3"/>
  <c r="D1153" i="3" l="1"/>
  <c r="E1153" i="3" s="1"/>
  <c r="F1154" i="3"/>
  <c r="D1154" i="3" l="1"/>
  <c r="E1154" i="3" s="1"/>
  <c r="F1155" i="3"/>
  <c r="D1155" i="3" l="1"/>
  <c r="E1155" i="3" s="1"/>
  <c r="F1156" i="3"/>
  <c r="F1157" i="3" l="1"/>
  <c r="D1156" i="3"/>
  <c r="E1156" i="3" s="1"/>
  <c r="D1157" i="3" l="1"/>
  <c r="E1157" i="3" s="1"/>
  <c r="F1158" i="3"/>
  <c r="D1158" i="3" l="1"/>
  <c r="E1158" i="3" s="1"/>
  <c r="F1159" i="3"/>
  <c r="D1159" i="3" l="1"/>
  <c r="E1159" i="3" s="1"/>
  <c r="F1160" i="3"/>
  <c r="D1160" i="3" l="1"/>
  <c r="E1160" i="3" s="1"/>
  <c r="F1161" i="3"/>
  <c r="F1162" i="3" l="1"/>
  <c r="D1161" i="3"/>
  <c r="E1161" i="3" s="1"/>
  <c r="F1163" i="3" l="1"/>
  <c r="D1162" i="3"/>
  <c r="E1162" i="3" s="1"/>
  <c r="F1164" i="3" l="1"/>
  <c r="D1163" i="3"/>
  <c r="E1163" i="3" s="1"/>
  <c r="D1164" i="3" l="1"/>
  <c r="E1164" i="3" s="1"/>
  <c r="F1165" i="3"/>
  <c r="D1165" i="3" l="1"/>
  <c r="E1165" i="3" s="1"/>
  <c r="F1166" i="3"/>
  <c r="D1166" i="3" l="1"/>
  <c r="E1166" i="3" s="1"/>
  <c r="F1167" i="3"/>
  <c r="D1167" i="3" l="1"/>
  <c r="E1167" i="3" s="1"/>
  <c r="F1168" i="3"/>
  <c r="D1168" i="3" l="1"/>
  <c r="E1168" i="3" s="1"/>
  <c r="F1169" i="3"/>
  <c r="D1169" i="3" l="1"/>
  <c r="E1169" i="3" s="1"/>
  <c r="F1170" i="3"/>
  <c r="D1170" i="3" l="1"/>
  <c r="E1170" i="3" s="1"/>
  <c r="F1171" i="3"/>
  <c r="D1171" i="3" l="1"/>
  <c r="E1171" i="3" s="1"/>
  <c r="F1172" i="3"/>
  <c r="D1172" i="3" l="1"/>
  <c r="E1172" i="3" s="1"/>
  <c r="F1173" i="3"/>
  <c r="F1174" i="3" l="1"/>
  <c r="D1173" i="3"/>
  <c r="E1173" i="3" s="1"/>
  <c r="F1175" i="3" l="1"/>
  <c r="D1174" i="3"/>
  <c r="E1174" i="3" s="1"/>
  <c r="D1175" i="3" l="1"/>
  <c r="E1175" i="3" s="1"/>
  <c r="F1176" i="3"/>
  <c r="D1176" i="3" l="1"/>
  <c r="E1176" i="3" s="1"/>
  <c r="F1177" i="3"/>
  <c r="D1177" i="3" l="1"/>
  <c r="E1177" i="3" s="1"/>
  <c r="F1178" i="3"/>
  <c r="D1178" i="3" l="1"/>
  <c r="E1178" i="3" s="1"/>
  <c r="F1179" i="3"/>
  <c r="D1179" i="3" l="1"/>
  <c r="E1179" i="3" s="1"/>
  <c r="F1180" i="3"/>
  <c r="D1180" i="3" l="1"/>
  <c r="E1180" i="3" s="1"/>
  <c r="F1181" i="3"/>
  <c r="D1181" i="3" l="1"/>
  <c r="E1181" i="3" s="1"/>
  <c r="F1182" i="3"/>
  <c r="D1182" i="3" l="1"/>
  <c r="E1182" i="3" s="1"/>
  <c r="F1183" i="3"/>
  <c r="D1183" i="3" l="1"/>
  <c r="E1183" i="3" s="1"/>
  <c r="F1184" i="3"/>
  <c r="D1184" i="3" l="1"/>
  <c r="E1184" i="3" s="1"/>
  <c r="F1185" i="3"/>
  <c r="F1186" i="3" l="1"/>
  <c r="D1185" i="3"/>
  <c r="E1185" i="3" s="1"/>
  <c r="F1187" i="3" l="1"/>
  <c r="D1186" i="3"/>
  <c r="E1186" i="3" s="1"/>
  <c r="D1187" i="3" l="1"/>
  <c r="E1187" i="3" s="1"/>
  <c r="F1188" i="3"/>
  <c r="D1188" i="3" l="1"/>
  <c r="E1188" i="3" s="1"/>
  <c r="F1189" i="3"/>
  <c r="D1189" i="3" l="1"/>
  <c r="E1189" i="3" s="1"/>
  <c r="F1190" i="3"/>
  <c r="D1190" i="3" l="1"/>
  <c r="E1190" i="3" s="1"/>
  <c r="F1191" i="3"/>
  <c r="D1191" i="3" l="1"/>
  <c r="E1191" i="3" s="1"/>
  <c r="F1192" i="3"/>
  <c r="D1192" i="3" l="1"/>
  <c r="E1192" i="3" s="1"/>
  <c r="F1193" i="3"/>
  <c r="D1193" i="3" l="1"/>
  <c r="E1193" i="3" s="1"/>
  <c r="F1194" i="3"/>
  <c r="D1194" i="3" l="1"/>
  <c r="E1194" i="3" s="1"/>
  <c r="F1195" i="3"/>
  <c r="D1195" i="3" l="1"/>
  <c r="E1195" i="3" s="1"/>
  <c r="F1196" i="3"/>
  <c r="D1196" i="3" l="1"/>
  <c r="E1196" i="3" s="1"/>
  <c r="F1197" i="3"/>
  <c r="F1198" i="3" l="1"/>
  <c r="D1197" i="3"/>
  <c r="E1197" i="3" s="1"/>
  <c r="F1199" i="3" l="1"/>
  <c r="D1198" i="3"/>
  <c r="E1198" i="3" s="1"/>
  <c r="D1199" i="3" l="1"/>
  <c r="E1199" i="3" s="1"/>
  <c r="F1200" i="3"/>
  <c r="D1200" i="3" l="1"/>
  <c r="E1200" i="3" s="1"/>
  <c r="F1201" i="3"/>
  <c r="D1201" i="3" l="1"/>
  <c r="E1201" i="3" s="1"/>
  <c r="F1202" i="3"/>
  <c r="D1202" i="3" l="1"/>
  <c r="E1202" i="3" s="1"/>
  <c r="F1203" i="3"/>
  <c r="D1203" i="3" l="1"/>
  <c r="E1203" i="3" s="1"/>
  <c r="F1204" i="3"/>
  <c r="D1204" i="3" l="1"/>
  <c r="E1204" i="3" s="1"/>
  <c r="F1205" i="3"/>
  <c r="D1205" i="3" l="1"/>
  <c r="E1205" i="3" s="1"/>
  <c r="F1206" i="3"/>
  <c r="D1206" i="3" l="1"/>
  <c r="E1206" i="3" s="1"/>
  <c r="F1207" i="3"/>
  <c r="D1207" i="3" l="1"/>
  <c r="E1207" i="3" s="1"/>
  <c r="F1208" i="3"/>
  <c r="D1208" i="3" l="1"/>
  <c r="E1208" i="3" s="1"/>
  <c r="F1209" i="3"/>
  <c r="F1210" i="3" l="1"/>
  <c r="D1209" i="3"/>
  <c r="E1209" i="3" s="1"/>
  <c r="F1211" i="3" l="1"/>
  <c r="D1210" i="3"/>
  <c r="E1210" i="3" s="1"/>
  <c r="D1211" i="3" l="1"/>
  <c r="E1211" i="3" s="1"/>
  <c r="F1212" i="3"/>
  <c r="D1212" i="3" l="1"/>
  <c r="E1212" i="3" s="1"/>
  <c r="F1213" i="3"/>
  <c r="D1213" i="3" l="1"/>
  <c r="E1213" i="3" s="1"/>
  <c r="F1214" i="3"/>
  <c r="D1214" i="3" l="1"/>
  <c r="E1214" i="3" s="1"/>
  <c r="F1215" i="3"/>
  <c r="D1215" i="3" l="1"/>
  <c r="E1215" i="3" s="1"/>
  <c r="F1216" i="3"/>
  <c r="D1216" i="3" l="1"/>
  <c r="E1216" i="3" s="1"/>
  <c r="F1217" i="3"/>
  <c r="D1217" i="3" l="1"/>
  <c r="E1217" i="3" s="1"/>
  <c r="F1218" i="3"/>
  <c r="D1218" i="3" l="1"/>
  <c r="E1218" i="3" s="1"/>
  <c r="F1219" i="3"/>
  <c r="D1219" i="3" l="1"/>
  <c r="E1219" i="3" s="1"/>
  <c r="F1220" i="3"/>
  <c r="D1220" i="3" l="1"/>
  <c r="E1220" i="3" s="1"/>
  <c r="F1221" i="3"/>
  <c r="F1222" i="3" l="1"/>
  <c r="D1221" i="3"/>
  <c r="E1221" i="3" s="1"/>
  <c r="F1223" i="3" l="1"/>
  <c r="D1222" i="3"/>
  <c r="E1222" i="3" s="1"/>
  <c r="D1223" i="3" l="1"/>
  <c r="E1223" i="3" s="1"/>
  <c r="F1224" i="3"/>
  <c r="D1224" i="3" l="1"/>
  <c r="E1224" i="3" s="1"/>
  <c r="F1225" i="3"/>
  <c r="D1225" i="3" l="1"/>
  <c r="E1225" i="3" s="1"/>
  <c r="F1226" i="3"/>
  <c r="D1226" i="3" l="1"/>
  <c r="E1226" i="3" s="1"/>
  <c r="F1227" i="3"/>
  <c r="D1227" i="3" l="1"/>
  <c r="E1227" i="3" s="1"/>
  <c r="F1228" i="3"/>
  <c r="D1228" i="3" l="1"/>
  <c r="E1228" i="3" s="1"/>
  <c r="F1229" i="3"/>
  <c r="D1229" i="3" l="1"/>
  <c r="E1229" i="3" s="1"/>
  <c r="F1230" i="3"/>
  <c r="D1230" i="3" l="1"/>
  <c r="E1230" i="3" s="1"/>
  <c r="F1231" i="3"/>
  <c r="D1231" i="3" l="1"/>
  <c r="E1231" i="3" s="1"/>
  <c r="F1232" i="3"/>
  <c r="D1232" i="3" l="1"/>
  <c r="E1232" i="3" s="1"/>
  <c r="F1233" i="3"/>
  <c r="F1234" i="3" l="1"/>
  <c r="D1233" i="3"/>
  <c r="E1233" i="3" s="1"/>
  <c r="F1235" i="3" l="1"/>
  <c r="D1234" i="3"/>
  <c r="E1234" i="3" s="1"/>
  <c r="D1235" i="3" l="1"/>
  <c r="E1235" i="3" s="1"/>
  <c r="F1236" i="3"/>
  <c r="D1236" i="3" l="1"/>
  <c r="E1236" i="3" s="1"/>
  <c r="F1237" i="3"/>
  <c r="D1237" i="3" l="1"/>
  <c r="E1237" i="3" s="1"/>
  <c r="F1238" i="3"/>
  <c r="D1238" i="3" l="1"/>
  <c r="E1238" i="3" s="1"/>
  <c r="F1239" i="3"/>
  <c r="D1239" i="3" l="1"/>
  <c r="E1239" i="3" s="1"/>
  <c r="F1240" i="3"/>
  <c r="D1240" i="3" l="1"/>
  <c r="E1240" i="3" s="1"/>
  <c r="F1241" i="3"/>
  <c r="D1241" i="3" l="1"/>
  <c r="E1241" i="3" s="1"/>
  <c r="F1242" i="3"/>
  <c r="D1242" i="3" l="1"/>
  <c r="E1242" i="3" s="1"/>
  <c r="F1243" i="3"/>
  <c r="D1243" i="3" l="1"/>
  <c r="E1243" i="3" s="1"/>
  <c r="F1244" i="3"/>
  <c r="D1244" i="3" l="1"/>
  <c r="E1244" i="3" s="1"/>
  <c r="F1245" i="3"/>
  <c r="D1245" i="3" l="1"/>
  <c r="E1245" i="3" s="1"/>
  <c r="F1246" i="3"/>
  <c r="F1247" i="3" l="1"/>
  <c r="D1246" i="3"/>
  <c r="E1246" i="3" s="1"/>
  <c r="F1248" i="3" l="1"/>
  <c r="D1247" i="3"/>
  <c r="E1247" i="3" s="1"/>
  <c r="D1248" i="3" l="1"/>
  <c r="E1248" i="3" s="1"/>
  <c r="F1249" i="3"/>
  <c r="D1249" i="3" l="1"/>
  <c r="E1249" i="3" s="1"/>
  <c r="F1250" i="3"/>
  <c r="D1250" i="3" l="1"/>
  <c r="E1250" i="3" s="1"/>
  <c r="F1251" i="3"/>
  <c r="D1251" i="3" l="1"/>
  <c r="E1251" i="3" s="1"/>
  <c r="F1252" i="3"/>
  <c r="D1252" i="3" l="1"/>
  <c r="E1252" i="3" s="1"/>
  <c r="F1253" i="3"/>
  <c r="D1253" i="3" l="1"/>
  <c r="E1253" i="3" s="1"/>
  <c r="F1254" i="3"/>
  <c r="D1254" i="3" l="1"/>
  <c r="E1254" i="3" s="1"/>
  <c r="F1255" i="3"/>
  <c r="D1255" i="3" l="1"/>
  <c r="E1255" i="3" s="1"/>
  <c r="F1256" i="3"/>
  <c r="D1256" i="3" l="1"/>
  <c r="E1256" i="3" s="1"/>
  <c r="F1257" i="3"/>
  <c r="D1257" i="3" l="1"/>
  <c r="E1257" i="3" s="1"/>
  <c r="F1258" i="3"/>
  <c r="F1259" i="3" l="1"/>
  <c r="D1258" i="3"/>
  <c r="E1258" i="3" s="1"/>
  <c r="D1259" i="3" l="1"/>
  <c r="E1259" i="3" s="1"/>
  <c r="F1260" i="3"/>
  <c r="D1260" i="3" l="1"/>
  <c r="E1260" i="3" s="1"/>
  <c r="F1261" i="3"/>
  <c r="D1261" i="3" l="1"/>
  <c r="E1261" i="3" s="1"/>
  <c r="F1262" i="3"/>
  <c r="D1262" i="3" l="1"/>
  <c r="E1262" i="3" s="1"/>
  <c r="F1263" i="3"/>
  <c r="D1263" i="3" l="1"/>
  <c r="E1263" i="3" s="1"/>
  <c r="F1264" i="3"/>
  <c r="D1264" i="3" l="1"/>
  <c r="E1264" i="3" s="1"/>
  <c r="F1265" i="3"/>
  <c r="D1265" i="3" l="1"/>
  <c r="E1265" i="3" s="1"/>
  <c r="F1266" i="3"/>
  <c r="D1266" i="3" l="1"/>
  <c r="E1266" i="3" s="1"/>
  <c r="F1267" i="3"/>
  <c r="D1267" i="3" l="1"/>
  <c r="E1267" i="3" s="1"/>
  <c r="F1268" i="3"/>
  <c r="D1268" i="3" l="1"/>
  <c r="E1268" i="3" s="1"/>
  <c r="F1269" i="3"/>
  <c r="D1269" i="3" l="1"/>
  <c r="E1269" i="3" s="1"/>
  <c r="F1270" i="3"/>
  <c r="F1271" i="3" l="1"/>
  <c r="D1270" i="3"/>
  <c r="E1270" i="3" s="1"/>
  <c r="D1271" i="3" l="1"/>
  <c r="E1271" i="3" s="1"/>
  <c r="F1272" i="3"/>
  <c r="D1272" i="3" l="1"/>
  <c r="E1272" i="3" s="1"/>
  <c r="F1273" i="3"/>
  <c r="D1273" i="3" l="1"/>
  <c r="E1273" i="3" s="1"/>
  <c r="F1274" i="3"/>
  <c r="D1274" i="3" l="1"/>
  <c r="E1274" i="3" s="1"/>
  <c r="F1275" i="3"/>
  <c r="D1275" i="3" l="1"/>
  <c r="E1275" i="3" s="1"/>
  <c r="F1276" i="3"/>
  <c r="D1276" i="3" l="1"/>
  <c r="E1276" i="3" s="1"/>
  <c r="F1277" i="3"/>
  <c r="D1277" i="3" l="1"/>
  <c r="E1277" i="3" s="1"/>
  <c r="F1278" i="3"/>
  <c r="D1278" i="3" l="1"/>
  <c r="E1278" i="3" s="1"/>
  <c r="F1279" i="3"/>
  <c r="D1279" i="3" l="1"/>
  <c r="E1279" i="3" s="1"/>
  <c r="F1280" i="3"/>
  <c r="D1280" i="3" l="1"/>
  <c r="E1280" i="3" s="1"/>
  <c r="F1281" i="3"/>
  <c r="D1281" i="3" l="1"/>
  <c r="E1281" i="3" s="1"/>
  <c r="F1282" i="3"/>
  <c r="F1283" i="3" l="1"/>
  <c r="D1282" i="3"/>
  <c r="E1282" i="3" s="1"/>
  <c r="D1283" i="3" l="1"/>
  <c r="E1283" i="3" s="1"/>
  <c r="F1284" i="3"/>
  <c r="D1284" i="3" l="1"/>
  <c r="E1284" i="3" s="1"/>
  <c r="F1285" i="3"/>
  <c r="D1285" i="3" l="1"/>
  <c r="E1285" i="3" s="1"/>
  <c r="F1286" i="3"/>
  <c r="D1286" i="3" l="1"/>
  <c r="E1286" i="3" s="1"/>
  <c r="F1287" i="3"/>
  <c r="D1287" i="3" l="1"/>
  <c r="E1287" i="3" s="1"/>
  <c r="F1288" i="3"/>
  <c r="D1288" i="3" l="1"/>
  <c r="E1288" i="3" s="1"/>
  <c r="F1289" i="3"/>
  <c r="D1289" i="3" l="1"/>
  <c r="E1289" i="3" s="1"/>
  <c r="F1290" i="3"/>
  <c r="D1290" i="3" l="1"/>
  <c r="E1290" i="3" s="1"/>
  <c r="F1291" i="3"/>
  <c r="D1291" i="3" l="1"/>
  <c r="E1291" i="3" s="1"/>
  <c r="F1292" i="3"/>
  <c r="D1292" i="3" l="1"/>
  <c r="E1292" i="3" s="1"/>
  <c r="F1293" i="3"/>
  <c r="D1293" i="3" l="1"/>
  <c r="E1293" i="3" s="1"/>
  <c r="F1294" i="3"/>
  <c r="F1295" i="3" l="1"/>
  <c r="D1294" i="3"/>
  <c r="E1294" i="3" s="1"/>
  <c r="D1295" i="3" l="1"/>
  <c r="E1295" i="3" s="1"/>
  <c r="F1296" i="3"/>
  <c r="D1296" i="3" l="1"/>
  <c r="E1296" i="3" s="1"/>
  <c r="F1297" i="3"/>
  <c r="D1297" i="3" l="1"/>
  <c r="E1297" i="3" s="1"/>
  <c r="F1298" i="3"/>
  <c r="D1298" i="3" l="1"/>
  <c r="E1298" i="3" s="1"/>
  <c r="F1299" i="3"/>
  <c r="D1299" i="3" l="1"/>
  <c r="E1299" i="3" s="1"/>
  <c r="F1300" i="3"/>
  <c r="D1300" i="3" l="1"/>
  <c r="E1300" i="3" s="1"/>
  <c r="F1301" i="3"/>
  <c r="D1301" i="3" l="1"/>
  <c r="E1301" i="3" s="1"/>
  <c r="F1302" i="3"/>
  <c r="D1302" i="3" l="1"/>
  <c r="E1302" i="3" s="1"/>
  <c r="F1303" i="3"/>
  <c r="D1303" i="3" l="1"/>
  <c r="E1303" i="3" s="1"/>
  <c r="F1304" i="3"/>
  <c r="D1304" i="3" l="1"/>
  <c r="E1304" i="3" s="1"/>
  <c r="F1305" i="3"/>
  <c r="D1305" i="3" l="1"/>
  <c r="E1305" i="3" s="1"/>
  <c r="F1306" i="3"/>
  <c r="F1307" i="3" l="1"/>
  <c r="D1306" i="3"/>
  <c r="E1306" i="3" s="1"/>
  <c r="D1307" i="3" l="1"/>
  <c r="E1307" i="3" s="1"/>
  <c r="F1308" i="3"/>
  <c r="D1308" i="3" l="1"/>
  <c r="E1308" i="3" s="1"/>
  <c r="F1309" i="3"/>
  <c r="D1309" i="3" l="1"/>
  <c r="E1309" i="3" s="1"/>
  <c r="F1310" i="3"/>
  <c r="D1310" i="3" l="1"/>
  <c r="E1310" i="3" s="1"/>
  <c r="F1311" i="3"/>
  <c r="D1311" i="3" l="1"/>
  <c r="E1311" i="3" s="1"/>
  <c r="F1312" i="3"/>
  <c r="D1312" i="3" l="1"/>
  <c r="E1312" i="3" s="1"/>
  <c r="F1313" i="3"/>
  <c r="D1313" i="3" l="1"/>
  <c r="E1313" i="3" s="1"/>
  <c r="F1314" i="3"/>
  <c r="D1314" i="3" l="1"/>
  <c r="E1314" i="3" s="1"/>
  <c r="F1315" i="3"/>
  <c r="D1315" i="3" l="1"/>
  <c r="E1315" i="3" s="1"/>
  <c r="F1316" i="3"/>
  <c r="D1316" i="3" l="1"/>
  <c r="E1316" i="3" s="1"/>
  <c r="F1317" i="3"/>
  <c r="D1317" i="3" l="1"/>
  <c r="E1317" i="3" s="1"/>
  <c r="F1318" i="3"/>
  <c r="F1319" i="3" l="1"/>
  <c r="D1318" i="3"/>
  <c r="E1318" i="3" s="1"/>
  <c r="D1319" i="3" l="1"/>
  <c r="E1319" i="3" s="1"/>
  <c r="F1320" i="3"/>
  <c r="D1320" i="3" l="1"/>
  <c r="E1320" i="3" s="1"/>
  <c r="F1321" i="3"/>
  <c r="D1321" i="3" l="1"/>
  <c r="E1321" i="3" s="1"/>
  <c r="F1322" i="3"/>
  <c r="D1322" i="3" l="1"/>
  <c r="E1322" i="3" s="1"/>
  <c r="F1323" i="3"/>
  <c r="D1323" i="3" l="1"/>
  <c r="E1323" i="3" s="1"/>
  <c r="F1324" i="3"/>
  <c r="D1324" i="3" l="1"/>
  <c r="E1324" i="3" s="1"/>
  <c r="F1325" i="3"/>
  <c r="D1325" i="3" l="1"/>
  <c r="E1325" i="3" s="1"/>
  <c r="F1326" i="3"/>
  <c r="D1326" i="3" l="1"/>
  <c r="E1326" i="3" s="1"/>
  <c r="F1327" i="3"/>
  <c r="D1327" i="3" l="1"/>
  <c r="E1327" i="3" s="1"/>
  <c r="F1328" i="3"/>
  <c r="D1328" i="3" l="1"/>
  <c r="E1328" i="3" s="1"/>
  <c r="F1329" i="3"/>
  <c r="D1329" i="3" l="1"/>
  <c r="E1329" i="3" s="1"/>
  <c r="F1330" i="3"/>
  <c r="F1331" i="3" l="1"/>
  <c r="D1330" i="3"/>
  <c r="E1330" i="3" s="1"/>
  <c r="D1331" i="3" l="1"/>
  <c r="E1331" i="3" s="1"/>
  <c r="F1332" i="3"/>
  <c r="D1332" i="3" l="1"/>
  <c r="E1332" i="3" s="1"/>
  <c r="F1333" i="3"/>
  <c r="D1333" i="3" l="1"/>
  <c r="E1333" i="3" s="1"/>
  <c r="F1334" i="3"/>
  <c r="D1334" i="3" l="1"/>
  <c r="E1334" i="3" s="1"/>
  <c r="F1335" i="3"/>
  <c r="D1335" i="3" l="1"/>
  <c r="E1335" i="3" s="1"/>
  <c r="F1336" i="3"/>
  <c r="D1336" i="3" l="1"/>
  <c r="E1336" i="3" s="1"/>
  <c r="F1337" i="3"/>
  <c r="D1337" i="3" l="1"/>
  <c r="E1337" i="3" s="1"/>
  <c r="F1338" i="3"/>
  <c r="D1338" i="3" l="1"/>
  <c r="E1338" i="3" s="1"/>
  <c r="F1339" i="3"/>
  <c r="D1339" i="3" l="1"/>
  <c r="E1339" i="3" s="1"/>
  <c r="F1340" i="3"/>
  <c r="D1340" i="3" l="1"/>
  <c r="E1340" i="3" s="1"/>
  <c r="F1341" i="3"/>
  <c r="D1341" i="3" l="1"/>
  <c r="E1341" i="3" s="1"/>
  <c r="F1342" i="3"/>
  <c r="D1342" i="3" l="1"/>
  <c r="E1342" i="3" s="1"/>
  <c r="F1343" i="3"/>
  <c r="D1343" i="3" l="1"/>
  <c r="E1343" i="3" s="1"/>
  <c r="F1344" i="3"/>
  <c r="D1344" i="3" l="1"/>
  <c r="E1344" i="3" s="1"/>
  <c r="F1345" i="3"/>
  <c r="F1346" i="3" l="1"/>
  <c r="D1345" i="3"/>
  <c r="E1345" i="3" s="1"/>
  <c r="F1347" i="3" l="1"/>
  <c r="D1346" i="3"/>
  <c r="E1346" i="3" s="1"/>
  <c r="D1347" i="3" l="1"/>
  <c r="E1347" i="3" s="1"/>
  <c r="F1348" i="3"/>
  <c r="D1348" i="3" l="1"/>
  <c r="E1348" i="3" s="1"/>
  <c r="F1349" i="3"/>
  <c r="D1349" i="3" l="1"/>
  <c r="E1349" i="3" s="1"/>
  <c r="F1350" i="3"/>
  <c r="D1350" i="3" l="1"/>
  <c r="E1350" i="3" s="1"/>
  <c r="F1351" i="3"/>
  <c r="D1351" i="3" l="1"/>
  <c r="E1351" i="3" s="1"/>
  <c r="F1352" i="3"/>
  <c r="D1352" i="3" l="1"/>
  <c r="E1352" i="3" s="1"/>
  <c r="F1353" i="3"/>
  <c r="D1353" i="3" l="1"/>
  <c r="E1353" i="3" s="1"/>
  <c r="F1354" i="3"/>
  <c r="D1354" i="3" l="1"/>
  <c r="E1354" i="3" s="1"/>
  <c r="F1355" i="3"/>
  <c r="D1355" i="3" l="1"/>
  <c r="E1355" i="3" s="1"/>
  <c r="F1356" i="3"/>
  <c r="F1357" i="3" l="1"/>
  <c r="D1356" i="3"/>
  <c r="E1356" i="3" s="1"/>
  <c r="D1357" i="3" l="1"/>
  <c r="E1357" i="3" s="1"/>
  <c r="F1358" i="3"/>
  <c r="D1358" i="3" l="1"/>
  <c r="E1358" i="3" s="1"/>
  <c r="F1359" i="3"/>
  <c r="D1359" i="3" l="1"/>
  <c r="E1359" i="3" s="1"/>
  <c r="F1360" i="3"/>
  <c r="D1360" i="3" l="1"/>
  <c r="E1360" i="3" s="1"/>
  <c r="F1361" i="3"/>
  <c r="D1361" i="3" l="1"/>
  <c r="E1361" i="3" s="1"/>
  <c r="F1362" i="3"/>
  <c r="D1362" i="3" l="1"/>
  <c r="E1362" i="3" s="1"/>
  <c r="F1363" i="3"/>
  <c r="F1364" i="3" l="1"/>
  <c r="D1363" i="3"/>
  <c r="E1363" i="3" s="1"/>
  <c r="D1364" i="3" l="1"/>
  <c r="E1364" i="3" s="1"/>
  <c r="F1365" i="3"/>
  <c r="D1365" i="3" l="1"/>
  <c r="E1365" i="3" s="1"/>
  <c r="F1366" i="3"/>
  <c r="D1366" i="3" l="1"/>
  <c r="E1366" i="3" s="1"/>
  <c r="F1367" i="3"/>
  <c r="D1367" i="3" l="1"/>
  <c r="E1367" i="3" s="1"/>
  <c r="F1368" i="3"/>
  <c r="F1369" i="3" l="1"/>
  <c r="D1368" i="3"/>
  <c r="E1368" i="3" s="1"/>
  <c r="D1369" i="3" l="1"/>
  <c r="E1369" i="3" s="1"/>
  <c r="F1370" i="3"/>
  <c r="F1371" i="3" l="1"/>
  <c r="D1370" i="3"/>
  <c r="E1370" i="3" s="1"/>
  <c r="D1371" i="3" l="1"/>
  <c r="E1371" i="3" s="1"/>
  <c r="F1372" i="3"/>
  <c r="D1372" i="3" l="1"/>
  <c r="E1372" i="3" s="1"/>
  <c r="F1373" i="3"/>
  <c r="D1373" i="3" l="1"/>
  <c r="E1373" i="3" s="1"/>
  <c r="F1374" i="3"/>
  <c r="D1374" i="3" l="1"/>
  <c r="E1374" i="3" s="1"/>
  <c r="F1375" i="3"/>
  <c r="D1375" i="3" l="1"/>
  <c r="E1375" i="3" s="1"/>
  <c r="F1376" i="3"/>
  <c r="D1376" i="3" l="1"/>
  <c r="E1376" i="3" s="1"/>
  <c r="F1377" i="3"/>
  <c r="D1377" i="3" l="1"/>
  <c r="E1377" i="3" s="1"/>
  <c r="F1378" i="3"/>
  <c r="D1378" i="3" l="1"/>
  <c r="E1378" i="3" s="1"/>
  <c r="F1379" i="3"/>
  <c r="D1379" i="3" l="1"/>
  <c r="E1379" i="3" s="1"/>
  <c r="F1380" i="3"/>
  <c r="F1381" i="3" l="1"/>
  <c r="D1380" i="3"/>
  <c r="E1380" i="3" s="1"/>
  <c r="D1381" i="3" l="1"/>
  <c r="E1381" i="3" s="1"/>
  <c r="F1382" i="3"/>
  <c r="F1383" i="3" l="1"/>
  <c r="D1382" i="3"/>
  <c r="E1382" i="3" s="1"/>
  <c r="D1383" i="3" l="1"/>
  <c r="E1383" i="3" s="1"/>
  <c r="F1384" i="3"/>
  <c r="D1384" i="3" l="1"/>
  <c r="E1384" i="3" s="1"/>
  <c r="F1385" i="3"/>
  <c r="D1385" i="3" l="1"/>
  <c r="E1385" i="3" s="1"/>
  <c r="F1386" i="3"/>
  <c r="D1386" i="3" l="1"/>
  <c r="E1386" i="3" s="1"/>
  <c r="F1387" i="3"/>
  <c r="D1387" i="3" l="1"/>
  <c r="E1387" i="3" s="1"/>
  <c r="F1388" i="3"/>
  <c r="D1388" i="3" l="1"/>
  <c r="E1388" i="3" s="1"/>
  <c r="F1389" i="3"/>
  <c r="D1389" i="3" l="1"/>
  <c r="E1389" i="3" s="1"/>
  <c r="F1390" i="3"/>
  <c r="D1390" i="3" l="1"/>
  <c r="E1390" i="3" s="1"/>
  <c r="F1391" i="3"/>
  <c r="D1391" i="3" l="1"/>
  <c r="E1391" i="3" s="1"/>
  <c r="F1392" i="3"/>
  <c r="F1393" i="3" l="1"/>
  <c r="D1392" i="3"/>
  <c r="E1392" i="3" s="1"/>
  <c r="D1393" i="3" l="1"/>
  <c r="E1393" i="3" s="1"/>
  <c r="F1394" i="3"/>
  <c r="D1394" i="3" l="1"/>
  <c r="E1394" i="3" s="1"/>
  <c r="F1395" i="3"/>
  <c r="D1395" i="3" l="1"/>
  <c r="E1395" i="3" s="1"/>
  <c r="F1396" i="3"/>
  <c r="D1396" i="3" l="1"/>
  <c r="E1396" i="3" s="1"/>
  <c r="F1397" i="3"/>
  <c r="D1397" i="3" l="1"/>
  <c r="E1397" i="3" s="1"/>
  <c r="F1398" i="3"/>
  <c r="D1398" i="3" l="1"/>
  <c r="E1398" i="3" s="1"/>
  <c r="F1399" i="3"/>
  <c r="D1399" i="3" l="1"/>
  <c r="E1399" i="3" s="1"/>
  <c r="F1400" i="3"/>
  <c r="D1400" i="3" l="1"/>
  <c r="E1400" i="3" s="1"/>
  <c r="F1401" i="3"/>
  <c r="D1401" i="3" l="1"/>
  <c r="E1401" i="3" s="1"/>
  <c r="F1402" i="3"/>
  <c r="D1402" i="3" l="1"/>
  <c r="E1402" i="3" s="1"/>
  <c r="F1403" i="3"/>
  <c r="D1403" i="3" l="1"/>
  <c r="E1403" i="3" s="1"/>
  <c r="F1404" i="3"/>
  <c r="D1404" i="3" l="1"/>
  <c r="E1404" i="3" s="1"/>
  <c r="F1405" i="3"/>
  <c r="F1406" i="3" l="1"/>
  <c r="D1405" i="3"/>
  <c r="E1405" i="3" s="1"/>
  <c r="D1406" i="3" l="1"/>
  <c r="E1406" i="3" s="1"/>
  <c r="F1407" i="3"/>
  <c r="D1407" i="3" l="1"/>
  <c r="E1407" i="3" s="1"/>
  <c r="F1408" i="3"/>
  <c r="D1408" i="3" l="1"/>
  <c r="E1408" i="3" s="1"/>
  <c r="F1409" i="3"/>
  <c r="D1409" i="3" l="1"/>
  <c r="E1409" i="3" s="1"/>
  <c r="F1410" i="3"/>
  <c r="D1410" i="3" l="1"/>
  <c r="E1410" i="3" s="1"/>
  <c r="F1411" i="3"/>
  <c r="D1411" i="3" l="1"/>
  <c r="E1411" i="3" s="1"/>
  <c r="F1412" i="3"/>
  <c r="D1412" i="3" l="1"/>
  <c r="E1412" i="3" s="1"/>
  <c r="F1413" i="3"/>
  <c r="D1413" i="3" l="1"/>
  <c r="E1413" i="3" s="1"/>
  <c r="F1414" i="3"/>
  <c r="D1414" i="3" l="1"/>
  <c r="E1414" i="3" s="1"/>
  <c r="F1415" i="3"/>
  <c r="D1415" i="3" l="1"/>
  <c r="E1415" i="3" s="1"/>
  <c r="F1416" i="3"/>
  <c r="D1416" i="3" l="1"/>
  <c r="E1416" i="3" s="1"/>
  <c r="F1417" i="3"/>
  <c r="F1418" i="3" l="1"/>
  <c r="D1417" i="3"/>
  <c r="E1417" i="3" s="1"/>
  <c r="D1418" i="3" l="1"/>
  <c r="E1418" i="3" s="1"/>
  <c r="F1419" i="3"/>
  <c r="D1419" i="3" l="1"/>
  <c r="E1419" i="3" s="1"/>
  <c r="F1420" i="3"/>
  <c r="D1420" i="3" l="1"/>
  <c r="E1420" i="3" s="1"/>
  <c r="F1421" i="3"/>
  <c r="D1421" i="3" l="1"/>
  <c r="E1421" i="3" s="1"/>
  <c r="F1422" i="3"/>
  <c r="D1422" i="3" l="1"/>
  <c r="E1422" i="3" s="1"/>
  <c r="F1423" i="3"/>
  <c r="D1423" i="3" l="1"/>
  <c r="E1423" i="3" s="1"/>
  <c r="F1424" i="3"/>
  <c r="D1424" i="3" l="1"/>
  <c r="E1424" i="3" s="1"/>
  <c r="F1425" i="3"/>
  <c r="D1425" i="3" l="1"/>
  <c r="E1425" i="3" s="1"/>
  <c r="F1426" i="3"/>
  <c r="D1426" i="3" l="1"/>
  <c r="E1426" i="3" s="1"/>
  <c r="F1427" i="3"/>
  <c r="D1427" i="3" l="1"/>
  <c r="E1427" i="3" s="1"/>
  <c r="F1428" i="3"/>
  <c r="D1428" i="3" l="1"/>
  <c r="E1428" i="3" s="1"/>
  <c r="F1429" i="3"/>
  <c r="F1430" i="3" l="1"/>
  <c r="D1429" i="3"/>
  <c r="E1429" i="3" s="1"/>
  <c r="D1430" i="3" l="1"/>
  <c r="E1430" i="3" s="1"/>
  <c r="F1431" i="3"/>
  <c r="D1431" i="3" l="1"/>
  <c r="E1431" i="3" s="1"/>
  <c r="F1432" i="3"/>
  <c r="D1432" i="3" l="1"/>
  <c r="E1432" i="3" s="1"/>
  <c r="F1433" i="3"/>
  <c r="D1433" i="3" l="1"/>
  <c r="E1433" i="3" s="1"/>
  <c r="F1434" i="3"/>
  <c r="D1434" i="3" l="1"/>
  <c r="E1434" i="3" s="1"/>
  <c r="F1435" i="3"/>
  <c r="D1435" i="3" l="1"/>
  <c r="E1435" i="3" s="1"/>
  <c r="F1436" i="3"/>
  <c r="D1436" i="3" l="1"/>
  <c r="E1436" i="3" s="1"/>
  <c r="F1437" i="3"/>
  <c r="D1437" i="3" l="1"/>
  <c r="E1437" i="3" s="1"/>
  <c r="F1438" i="3"/>
  <c r="D1438" i="3" l="1"/>
  <c r="E1438" i="3" s="1"/>
  <c r="F1439" i="3"/>
  <c r="D1439" i="3" l="1"/>
  <c r="E1439" i="3" s="1"/>
  <c r="F1440" i="3"/>
  <c r="D1440" i="3" l="1"/>
  <c r="E1440" i="3" s="1"/>
  <c r="F1441" i="3"/>
  <c r="F1442" i="3" l="1"/>
  <c r="D1441" i="3"/>
  <c r="E1441" i="3" s="1"/>
  <c r="D1442" i="3" l="1"/>
  <c r="E1442" i="3" s="1"/>
  <c r="F1443" i="3"/>
  <c r="D1443" i="3" l="1"/>
  <c r="E1443" i="3" s="1"/>
  <c r="F1444" i="3"/>
  <c r="D1444" i="3" l="1"/>
  <c r="E1444" i="3" s="1"/>
  <c r="F1445" i="3"/>
  <c r="D1445" i="3" l="1"/>
  <c r="E1445" i="3" s="1"/>
  <c r="F1446" i="3"/>
  <c r="D1446" i="3" l="1"/>
  <c r="E1446" i="3" s="1"/>
  <c r="F1447" i="3"/>
  <c r="D1447" i="3" l="1"/>
  <c r="E1447" i="3" s="1"/>
  <c r="F1448" i="3"/>
  <c r="D1448" i="3" l="1"/>
  <c r="E1448" i="3" s="1"/>
  <c r="F1449" i="3"/>
  <c r="D1449" i="3" l="1"/>
  <c r="E1449" i="3" s="1"/>
  <c r="F1450" i="3"/>
  <c r="D1450" i="3" l="1"/>
  <c r="E1450" i="3" s="1"/>
  <c r="F1451" i="3"/>
  <c r="D1451" i="3" l="1"/>
  <c r="E1451" i="3" s="1"/>
  <c r="F1452" i="3"/>
  <c r="D1452" i="3" l="1"/>
  <c r="E1452" i="3" s="1"/>
  <c r="F1453" i="3"/>
  <c r="F1454" i="3" l="1"/>
  <c r="D1453" i="3"/>
  <c r="E1453" i="3" s="1"/>
  <c r="D1454" i="3" l="1"/>
  <c r="E1454" i="3" s="1"/>
  <c r="F1455" i="3"/>
  <c r="D1455" i="3" l="1"/>
  <c r="E1455" i="3" s="1"/>
  <c r="F1456" i="3"/>
  <c r="D1456" i="3" l="1"/>
  <c r="E1456" i="3" s="1"/>
  <c r="F1457" i="3"/>
  <c r="D1457" i="3" l="1"/>
  <c r="E1457" i="3" s="1"/>
  <c r="F1458" i="3"/>
  <c r="D1458" i="3" l="1"/>
  <c r="E1458" i="3" s="1"/>
  <c r="F1459" i="3"/>
  <c r="D1459" i="3" l="1"/>
  <c r="E1459" i="3" s="1"/>
  <c r="F1460" i="3"/>
  <c r="D1460" i="3" l="1"/>
  <c r="E1460" i="3" s="1"/>
  <c r="F1461" i="3"/>
  <c r="D1461" i="3" l="1"/>
  <c r="E1461" i="3" s="1"/>
  <c r="F1462" i="3"/>
  <c r="D1462" i="3" l="1"/>
  <c r="E1462" i="3" s="1"/>
  <c r="F1463" i="3"/>
  <c r="D1463" i="3" l="1"/>
  <c r="E1463" i="3" s="1"/>
  <c r="F1464" i="3"/>
  <c r="D1464" i="3" l="1"/>
  <c r="E1464" i="3" s="1"/>
  <c r="F1465" i="3"/>
  <c r="F1466" i="3" l="1"/>
  <c r="D1465" i="3"/>
  <c r="E1465" i="3" s="1"/>
  <c r="D1466" i="3" l="1"/>
  <c r="E1466" i="3" s="1"/>
  <c r="F1467" i="3"/>
  <c r="D1467" i="3" l="1"/>
  <c r="E1467" i="3" s="1"/>
  <c r="F1468" i="3"/>
  <c r="D1468" i="3" l="1"/>
  <c r="E1468" i="3" s="1"/>
  <c r="F1469" i="3"/>
  <c r="D1469" i="3" l="1"/>
  <c r="E1469" i="3" s="1"/>
  <c r="F1470" i="3"/>
  <c r="D1470" i="3" l="1"/>
  <c r="E1470" i="3" s="1"/>
  <c r="F1471" i="3"/>
  <c r="D1471" i="3" l="1"/>
  <c r="E1471" i="3" s="1"/>
  <c r="F1472" i="3"/>
  <c r="D1472" i="3" l="1"/>
  <c r="E1472" i="3" s="1"/>
  <c r="F1473" i="3"/>
  <c r="D1473" i="3" l="1"/>
  <c r="E1473" i="3" s="1"/>
  <c r="F1474" i="3"/>
  <c r="D1474" i="3" l="1"/>
  <c r="E1474" i="3" s="1"/>
  <c r="F1475" i="3"/>
  <c r="D1475" i="3" l="1"/>
  <c r="E1475" i="3" s="1"/>
  <c r="F1476" i="3"/>
  <c r="D1476" i="3" l="1"/>
  <c r="E1476" i="3" s="1"/>
  <c r="F1477" i="3"/>
  <c r="F1478" i="3" l="1"/>
  <c r="D1477" i="3"/>
  <c r="E1477" i="3" s="1"/>
  <c r="D1478" i="3" l="1"/>
  <c r="E1478" i="3" s="1"/>
  <c r="F1479" i="3"/>
  <c r="D1479" i="3" l="1"/>
  <c r="E1479" i="3" s="1"/>
  <c r="F1480" i="3"/>
  <c r="D1480" i="3" l="1"/>
  <c r="E1480" i="3" s="1"/>
  <c r="F1481" i="3"/>
  <c r="D1481" i="3" l="1"/>
  <c r="E1481" i="3" s="1"/>
  <c r="F1482" i="3"/>
  <c r="D1482" i="3" l="1"/>
  <c r="E1482" i="3" s="1"/>
  <c r="F1483" i="3"/>
  <c r="D1483" i="3" l="1"/>
  <c r="E1483" i="3" s="1"/>
  <c r="F1484" i="3"/>
  <c r="D1484" i="3" l="1"/>
  <c r="E1484" i="3" s="1"/>
  <c r="F1485" i="3"/>
  <c r="D1485" i="3" l="1"/>
  <c r="E1485" i="3" s="1"/>
  <c r="F1486" i="3"/>
  <c r="D1486" i="3" l="1"/>
  <c r="E1486" i="3" s="1"/>
  <c r="F1487" i="3"/>
  <c r="D1487" i="3" l="1"/>
  <c r="E1487" i="3" s="1"/>
  <c r="F1488" i="3"/>
  <c r="D1488" i="3" l="1"/>
  <c r="E1488" i="3" s="1"/>
  <c r="F1489" i="3"/>
  <c r="F1490" i="3" l="1"/>
  <c r="D1489" i="3"/>
  <c r="E1489" i="3" s="1"/>
  <c r="D1490" i="3" l="1"/>
  <c r="E1490" i="3" s="1"/>
  <c r="F1491" i="3"/>
  <c r="D1491" i="3" l="1"/>
  <c r="E1491" i="3" s="1"/>
  <c r="F1492" i="3"/>
  <c r="D1492" i="3" l="1"/>
  <c r="E1492" i="3" s="1"/>
  <c r="F1493" i="3"/>
  <c r="D1493" i="3" l="1"/>
  <c r="E1493" i="3" s="1"/>
  <c r="F1494" i="3"/>
  <c r="D1494" i="3" l="1"/>
  <c r="E1494" i="3" s="1"/>
  <c r="F1495" i="3"/>
  <c r="D1495" i="3" l="1"/>
  <c r="E1495" i="3" s="1"/>
  <c r="F1496" i="3"/>
  <c r="D1496" i="3" l="1"/>
  <c r="E1496" i="3" s="1"/>
  <c r="F1497" i="3"/>
  <c r="D1497" i="3" l="1"/>
  <c r="E1497" i="3" s="1"/>
  <c r="F1498" i="3"/>
  <c r="D1498" i="3" l="1"/>
  <c r="E1498" i="3" s="1"/>
  <c r="F1499" i="3"/>
  <c r="D1499" i="3" l="1"/>
  <c r="E1499" i="3" s="1"/>
  <c r="F1500" i="3"/>
  <c r="D1500" i="3" l="1"/>
  <c r="E1500" i="3" s="1"/>
  <c r="F1501" i="3"/>
  <c r="F1502" i="3" l="1"/>
  <c r="D1501" i="3"/>
  <c r="E1501" i="3" s="1"/>
  <c r="D1502" i="3" l="1"/>
  <c r="E1502" i="3" s="1"/>
  <c r="F1503" i="3"/>
  <c r="D1503" i="3" l="1"/>
  <c r="E1503" i="3" s="1"/>
  <c r="F1504" i="3"/>
  <c r="D1504" i="3" l="1"/>
  <c r="E1504" i="3" s="1"/>
  <c r="F1505" i="3"/>
  <c r="D1505" i="3" l="1"/>
  <c r="E1505" i="3" s="1"/>
  <c r="F1506" i="3"/>
  <c r="D1506" i="3" l="1"/>
  <c r="E1506" i="3" s="1"/>
  <c r="F1507" i="3"/>
  <c r="D1507" i="3" l="1"/>
  <c r="E1507" i="3" s="1"/>
  <c r="F1508" i="3"/>
  <c r="D1508" i="3" l="1"/>
  <c r="E1508" i="3" s="1"/>
  <c r="F1509" i="3"/>
  <c r="D1509" i="3" l="1"/>
  <c r="E1509" i="3" s="1"/>
  <c r="F1510" i="3"/>
  <c r="D1510" i="3" l="1"/>
  <c r="E1510" i="3" s="1"/>
  <c r="F1511" i="3"/>
  <c r="D1511" i="3" l="1"/>
  <c r="E1511" i="3" s="1"/>
  <c r="F1512" i="3"/>
  <c r="D1512" i="3" l="1"/>
  <c r="E1512" i="3" s="1"/>
  <c r="F1513" i="3"/>
  <c r="D1513" i="3" l="1"/>
  <c r="E1513" i="3" s="1"/>
  <c r="F1514" i="3"/>
  <c r="D1514" i="3" l="1"/>
  <c r="E1514" i="3" s="1"/>
  <c r="F1515" i="3"/>
  <c r="F1516" i="3" l="1"/>
  <c r="D1515" i="3"/>
  <c r="E1515" i="3" s="1"/>
  <c r="F1517" i="3" l="1"/>
  <c r="D1516" i="3"/>
  <c r="E1516" i="3" s="1"/>
  <c r="D1517" i="3" l="1"/>
  <c r="E1517" i="3" s="1"/>
  <c r="F1518" i="3"/>
  <c r="D1518" i="3" l="1"/>
  <c r="E1518" i="3" s="1"/>
  <c r="F1519" i="3"/>
  <c r="D1519" i="3" l="1"/>
  <c r="E1519" i="3" s="1"/>
  <c r="F1520" i="3"/>
  <c r="D1520" i="3" l="1"/>
  <c r="E1520" i="3" s="1"/>
  <c r="F1521" i="3"/>
  <c r="D1521" i="3" l="1"/>
  <c r="E1521" i="3" s="1"/>
  <c r="F1522" i="3"/>
  <c r="D1522" i="3" l="1"/>
  <c r="E1522" i="3" s="1"/>
  <c r="F1523" i="3"/>
  <c r="D1523" i="3" l="1"/>
  <c r="E1523" i="3" s="1"/>
  <c r="F1524" i="3"/>
  <c r="D1524" i="3" l="1"/>
  <c r="E1524" i="3" s="1"/>
  <c r="F1525" i="3"/>
  <c r="D1525" i="3" l="1"/>
  <c r="E1525" i="3" s="1"/>
  <c r="F1526" i="3"/>
  <c r="F1527" i="3" l="1"/>
  <c r="D1526" i="3"/>
  <c r="E1526" i="3" s="1"/>
  <c r="F1528" i="3" l="1"/>
  <c r="D1527" i="3"/>
  <c r="E1527" i="3" s="1"/>
  <c r="F1529" i="3" l="1"/>
  <c r="D1528" i="3"/>
  <c r="E1528" i="3" s="1"/>
  <c r="D1529" i="3" l="1"/>
  <c r="E1529" i="3" s="1"/>
  <c r="F1530" i="3"/>
  <c r="D1530" i="3" l="1"/>
  <c r="E1530" i="3" s="1"/>
  <c r="F1531" i="3"/>
  <c r="D1531" i="3" l="1"/>
  <c r="E1531" i="3" s="1"/>
  <c r="F1532" i="3"/>
  <c r="D1532" i="3" l="1"/>
  <c r="E1532" i="3" s="1"/>
  <c r="F1533" i="3"/>
  <c r="D1533" i="3" l="1"/>
  <c r="E1533" i="3" s="1"/>
  <c r="F1534" i="3"/>
  <c r="D1534" i="3" l="1"/>
  <c r="E1534" i="3" s="1"/>
  <c r="F1535" i="3"/>
  <c r="D1535" i="3" l="1"/>
  <c r="E1535" i="3" s="1"/>
  <c r="F1536" i="3"/>
  <c r="D1536" i="3" l="1"/>
  <c r="E1536" i="3" s="1"/>
  <c r="F1537" i="3"/>
  <c r="D1537" i="3" l="1"/>
  <c r="E1537" i="3" s="1"/>
  <c r="F1538" i="3"/>
  <c r="F1539" i="3" l="1"/>
  <c r="D1538" i="3"/>
  <c r="E1538" i="3" s="1"/>
  <c r="F1540" i="3" l="1"/>
  <c r="D1539" i="3"/>
  <c r="E1539" i="3" s="1"/>
  <c r="D1540" i="3" l="1"/>
  <c r="E1540" i="3" s="1"/>
  <c r="F1541" i="3"/>
  <c r="D1541" i="3" l="1"/>
  <c r="E1541" i="3" s="1"/>
  <c r="F1542" i="3"/>
  <c r="D1542" i="3" l="1"/>
  <c r="E1542" i="3" s="1"/>
  <c r="F1543" i="3"/>
  <c r="D1543" i="3" l="1"/>
  <c r="E1543" i="3" s="1"/>
  <c r="F1544" i="3"/>
  <c r="D1544" i="3" l="1"/>
  <c r="E1544" i="3" s="1"/>
  <c r="F1545" i="3"/>
  <c r="D1545" i="3" l="1"/>
  <c r="E1545" i="3" s="1"/>
  <c r="F1546" i="3"/>
  <c r="D1546" i="3" l="1"/>
  <c r="E1546" i="3" s="1"/>
  <c r="F1547" i="3"/>
  <c r="D1547" i="3" l="1"/>
  <c r="E1547" i="3" s="1"/>
  <c r="F1548" i="3"/>
  <c r="D1548" i="3" l="1"/>
  <c r="E1548" i="3" s="1"/>
  <c r="F1549" i="3"/>
  <c r="D1549" i="3" l="1"/>
  <c r="E1549" i="3" s="1"/>
  <c r="F1550" i="3"/>
  <c r="F1551" i="3" l="1"/>
  <c r="D1550" i="3"/>
  <c r="E1550" i="3" s="1"/>
  <c r="F1552" i="3" l="1"/>
  <c r="D1551" i="3"/>
  <c r="E1551" i="3" s="1"/>
  <c r="D1552" i="3" l="1"/>
  <c r="E1552" i="3" s="1"/>
  <c r="F1553" i="3"/>
  <c r="D1553" i="3" l="1"/>
  <c r="E1553" i="3" s="1"/>
  <c r="F1554" i="3"/>
  <c r="D1554" i="3" l="1"/>
  <c r="E1554" i="3" s="1"/>
  <c r="F1555" i="3"/>
  <c r="D1555" i="3" l="1"/>
  <c r="E1555" i="3" s="1"/>
  <c r="F1556" i="3"/>
  <c r="D1556" i="3" l="1"/>
  <c r="E1556" i="3" s="1"/>
  <c r="F1557" i="3"/>
  <c r="D1557" i="3" l="1"/>
  <c r="E1557" i="3" s="1"/>
  <c r="F1558" i="3"/>
  <c r="D1558" i="3" l="1"/>
  <c r="E1558" i="3" s="1"/>
  <c r="F1559" i="3"/>
  <c r="D1559" i="3" l="1"/>
  <c r="E1559" i="3" s="1"/>
  <c r="F1560" i="3"/>
  <c r="D1560" i="3" l="1"/>
  <c r="E1560" i="3" s="1"/>
  <c r="F1561" i="3"/>
  <c r="D1561" i="3" l="1"/>
  <c r="E1561" i="3" s="1"/>
  <c r="F1562" i="3"/>
  <c r="D1562" i="3" l="1"/>
  <c r="E1562" i="3" s="1"/>
  <c r="F1563" i="3"/>
  <c r="F1564" i="3" l="1"/>
  <c r="D1563" i="3"/>
  <c r="E1563" i="3" s="1"/>
  <c r="D1564" i="3" l="1"/>
  <c r="E1564" i="3" s="1"/>
  <c r="F1565" i="3"/>
  <c r="D1565" i="3" l="1"/>
  <c r="E1565" i="3" s="1"/>
  <c r="F1566" i="3"/>
  <c r="D1566" i="3" l="1"/>
  <c r="E1566" i="3" s="1"/>
  <c r="F1567" i="3"/>
  <c r="D1567" i="3" l="1"/>
  <c r="E1567" i="3" s="1"/>
  <c r="F1568" i="3"/>
  <c r="D1568" i="3" l="1"/>
  <c r="E1568" i="3" s="1"/>
  <c r="F1569" i="3"/>
  <c r="D1569" i="3" l="1"/>
  <c r="E1569" i="3" s="1"/>
  <c r="F1570" i="3"/>
  <c r="D1570" i="3" l="1"/>
  <c r="E1570" i="3" s="1"/>
  <c r="F1571" i="3"/>
  <c r="D1571" i="3" l="1"/>
  <c r="E1571" i="3" s="1"/>
  <c r="F1572" i="3"/>
  <c r="D1572" i="3" l="1"/>
  <c r="E1572" i="3" s="1"/>
  <c r="F1573" i="3"/>
  <c r="D1573" i="3" l="1"/>
  <c r="E1573" i="3" s="1"/>
  <c r="F1574" i="3"/>
  <c r="D1574" i="3" l="1"/>
  <c r="E1574" i="3" s="1"/>
  <c r="F1575" i="3"/>
  <c r="F1576" i="3" l="1"/>
  <c r="D1575" i="3"/>
  <c r="E1575" i="3" s="1"/>
  <c r="D1576" i="3" l="1"/>
  <c r="E1576" i="3" s="1"/>
  <c r="F1577" i="3"/>
  <c r="D1577" i="3" l="1"/>
  <c r="E1577" i="3" s="1"/>
  <c r="F1578" i="3"/>
  <c r="D1578" i="3" l="1"/>
  <c r="E1578" i="3" s="1"/>
  <c r="F1579" i="3"/>
  <c r="D1579" i="3" l="1"/>
  <c r="E1579" i="3" s="1"/>
  <c r="F1580" i="3"/>
  <c r="D1580" i="3" l="1"/>
  <c r="E1580" i="3" s="1"/>
  <c r="F1581" i="3"/>
  <c r="D1581" i="3" l="1"/>
  <c r="E1581" i="3" s="1"/>
  <c r="F1582" i="3"/>
  <c r="D1582" i="3" l="1"/>
  <c r="E1582" i="3" s="1"/>
  <c r="F1583" i="3"/>
  <c r="D1583" i="3" l="1"/>
  <c r="E1583" i="3" s="1"/>
  <c r="F1584" i="3"/>
  <c r="D1584" i="3" l="1"/>
  <c r="E1584" i="3" s="1"/>
  <c r="F1585" i="3"/>
  <c r="D1585" i="3" l="1"/>
  <c r="E1585" i="3" s="1"/>
  <c r="F1586" i="3"/>
  <c r="D1586" i="3" l="1"/>
  <c r="E1586" i="3" s="1"/>
  <c r="F1587" i="3"/>
  <c r="F1588" i="3" l="1"/>
  <c r="D1587" i="3"/>
  <c r="E1587" i="3" s="1"/>
  <c r="D1588" i="3" l="1"/>
  <c r="E1588" i="3" s="1"/>
  <c r="F1589" i="3"/>
  <c r="D1589" i="3" l="1"/>
  <c r="E1589" i="3" s="1"/>
  <c r="F1590" i="3"/>
  <c r="D1590" i="3" l="1"/>
  <c r="E1590" i="3" s="1"/>
  <c r="F1591" i="3"/>
  <c r="D1591" i="3" l="1"/>
  <c r="E1591" i="3" s="1"/>
  <c r="F1592" i="3"/>
  <c r="D1592" i="3" l="1"/>
  <c r="E1592" i="3" s="1"/>
  <c r="F1593" i="3"/>
  <c r="D1593" i="3" l="1"/>
  <c r="E1593" i="3" s="1"/>
  <c r="F1594" i="3"/>
  <c r="D1594" i="3" l="1"/>
  <c r="E1594" i="3" s="1"/>
  <c r="F1595" i="3"/>
  <c r="D1595" i="3" l="1"/>
  <c r="E1595" i="3" s="1"/>
  <c r="F1596" i="3"/>
  <c r="D1596" i="3" l="1"/>
  <c r="E1596" i="3" s="1"/>
  <c r="F1597" i="3"/>
  <c r="D1597" i="3" l="1"/>
  <c r="E1597" i="3" s="1"/>
  <c r="F1598" i="3"/>
  <c r="D1598" i="3" l="1"/>
  <c r="E1598" i="3" s="1"/>
  <c r="F1599" i="3"/>
  <c r="F1600" i="3" l="1"/>
  <c r="D1599" i="3"/>
  <c r="E1599" i="3" s="1"/>
  <c r="D1600" i="3" l="1"/>
  <c r="E1600" i="3" s="1"/>
  <c r="F1601" i="3"/>
  <c r="D1601" i="3" l="1"/>
  <c r="E1601" i="3" s="1"/>
  <c r="F1602" i="3"/>
  <c r="D1602" i="3" l="1"/>
  <c r="E1602" i="3" s="1"/>
  <c r="F1603" i="3"/>
  <c r="D1603" i="3" l="1"/>
  <c r="E1603" i="3" s="1"/>
  <c r="F1604" i="3"/>
  <c r="F1605" i="3" l="1"/>
  <c r="D1604" i="3"/>
  <c r="E1604" i="3" s="1"/>
  <c r="D1605" i="3" l="1"/>
  <c r="E1605" i="3" s="1"/>
  <c r="F1606" i="3"/>
  <c r="D1606" i="3" l="1"/>
  <c r="E1606" i="3" s="1"/>
  <c r="F1607" i="3"/>
  <c r="D1607" i="3" l="1"/>
  <c r="E1607" i="3" s="1"/>
  <c r="F1608" i="3"/>
  <c r="D1608" i="3" l="1"/>
  <c r="E1608" i="3" s="1"/>
  <c r="F1609" i="3"/>
  <c r="D1609" i="3" l="1"/>
  <c r="E1609" i="3" s="1"/>
  <c r="F1610" i="3"/>
  <c r="D1610" i="3" l="1"/>
  <c r="E1610" i="3" s="1"/>
  <c r="F1611" i="3"/>
  <c r="F1612" i="3" l="1"/>
  <c r="D1611" i="3"/>
  <c r="E1611" i="3" s="1"/>
  <c r="D1612" i="3" l="1"/>
  <c r="E1612" i="3" s="1"/>
  <c r="F1613" i="3"/>
  <c r="D1613" i="3" l="1"/>
  <c r="E1613" i="3" s="1"/>
  <c r="F1614" i="3"/>
  <c r="D1614" i="3" l="1"/>
  <c r="E1614" i="3" s="1"/>
  <c r="F1615" i="3"/>
  <c r="D1615" i="3" l="1"/>
  <c r="E1615" i="3" s="1"/>
  <c r="F1616" i="3"/>
  <c r="F1617" i="3" l="1"/>
  <c r="D1616" i="3"/>
  <c r="E1616" i="3" s="1"/>
  <c r="D1617" i="3" l="1"/>
  <c r="E1617" i="3" s="1"/>
  <c r="F1618" i="3"/>
  <c r="D1618" i="3" l="1"/>
  <c r="E1618" i="3" s="1"/>
  <c r="F1619" i="3"/>
  <c r="D1619" i="3" l="1"/>
  <c r="E1619" i="3" s="1"/>
  <c r="F1620" i="3"/>
  <c r="D1620" i="3" l="1"/>
  <c r="E1620" i="3" s="1"/>
  <c r="F1621" i="3"/>
  <c r="D1621" i="3" l="1"/>
  <c r="E1621" i="3" s="1"/>
  <c r="F1622" i="3"/>
  <c r="D1622" i="3" l="1"/>
  <c r="E1622" i="3" s="1"/>
  <c r="F1623" i="3"/>
  <c r="F1624" i="3" l="1"/>
  <c r="D1623" i="3"/>
  <c r="E1623" i="3" s="1"/>
  <c r="D1624" i="3" l="1"/>
  <c r="E1624" i="3" s="1"/>
  <c r="F1625" i="3"/>
  <c r="D1625" i="3" l="1"/>
  <c r="E1625" i="3" s="1"/>
  <c r="F1626" i="3"/>
  <c r="D1626" i="3" l="1"/>
  <c r="E1626" i="3" s="1"/>
  <c r="F1627" i="3"/>
  <c r="D1627" i="3" l="1"/>
  <c r="E1627" i="3" s="1"/>
  <c r="F1628" i="3"/>
  <c r="D1628" i="3" l="1"/>
  <c r="E1628" i="3" s="1"/>
  <c r="F1629" i="3"/>
  <c r="D1629" i="3" l="1"/>
  <c r="E1629" i="3" s="1"/>
  <c r="F1630" i="3"/>
  <c r="D1630" i="3" l="1"/>
  <c r="E1630" i="3" s="1"/>
  <c r="F1631" i="3"/>
  <c r="D1631" i="3" l="1"/>
  <c r="E1631" i="3" s="1"/>
  <c r="F1632" i="3"/>
  <c r="D1632" i="3" l="1"/>
  <c r="E1632" i="3" s="1"/>
  <c r="F1633" i="3"/>
  <c r="D1633" i="3" l="1"/>
  <c r="E1633" i="3" s="1"/>
  <c r="F1634" i="3"/>
  <c r="D1634" i="3" l="1"/>
  <c r="E1634" i="3" s="1"/>
  <c r="F1635" i="3"/>
  <c r="F1636" i="3" l="1"/>
  <c r="D1635" i="3"/>
  <c r="E1635" i="3" s="1"/>
  <c r="D1636" i="3" l="1"/>
  <c r="E1636" i="3" s="1"/>
  <c r="F1637" i="3"/>
  <c r="D1637" i="3" l="1"/>
  <c r="E1637" i="3" s="1"/>
  <c r="F1638" i="3"/>
  <c r="D1638" i="3" l="1"/>
  <c r="E1638" i="3" s="1"/>
  <c r="F1639" i="3"/>
  <c r="D1639" i="3" l="1"/>
  <c r="E1639" i="3" s="1"/>
  <c r="F1640" i="3"/>
  <c r="D1640" i="3" l="1"/>
  <c r="E1640" i="3" s="1"/>
  <c r="F1641" i="3"/>
  <c r="D1641" i="3" l="1"/>
  <c r="E1641" i="3" s="1"/>
  <c r="F1642" i="3"/>
  <c r="D1642" i="3" l="1"/>
  <c r="E1642" i="3" s="1"/>
  <c r="F1643" i="3"/>
  <c r="D1643" i="3" l="1"/>
  <c r="E1643" i="3" s="1"/>
  <c r="F1644" i="3"/>
  <c r="D1644" i="3" l="1"/>
  <c r="E1644" i="3" s="1"/>
  <c r="F1645" i="3"/>
  <c r="D1645" i="3" l="1"/>
  <c r="E1645" i="3" s="1"/>
  <c r="F1646" i="3"/>
  <c r="D1646" i="3" l="1"/>
  <c r="E1646" i="3" s="1"/>
  <c r="F1647" i="3"/>
  <c r="F1648" i="3" l="1"/>
  <c r="D1647" i="3"/>
  <c r="E1647" i="3" s="1"/>
  <c r="D1648" i="3" l="1"/>
  <c r="E1648" i="3" s="1"/>
  <c r="F1649" i="3"/>
  <c r="D1649" i="3" l="1"/>
  <c r="E1649" i="3" s="1"/>
  <c r="F1650" i="3"/>
  <c r="D1650" i="3" l="1"/>
  <c r="E1650" i="3" s="1"/>
  <c r="F1651" i="3"/>
  <c r="D1651" i="3" l="1"/>
  <c r="E1651" i="3" s="1"/>
  <c r="F1652" i="3"/>
  <c r="D1652" i="3" l="1"/>
  <c r="E1652" i="3" s="1"/>
  <c r="F1653" i="3"/>
  <c r="D1653" i="3" l="1"/>
  <c r="E1653" i="3" s="1"/>
  <c r="F1654" i="3"/>
  <c r="D1654" i="3" l="1"/>
  <c r="E1654" i="3" s="1"/>
  <c r="F1655" i="3"/>
  <c r="D1655" i="3" l="1"/>
  <c r="E1655" i="3" s="1"/>
  <c r="F1656" i="3"/>
  <c r="D1656" i="3" l="1"/>
  <c r="E1656" i="3" s="1"/>
  <c r="F1657" i="3"/>
  <c r="D1657" i="3" l="1"/>
  <c r="E1657" i="3" s="1"/>
  <c r="F1658" i="3"/>
  <c r="D1658" i="3" l="1"/>
  <c r="E1658" i="3" s="1"/>
  <c r="F1659" i="3"/>
  <c r="F1660" i="3" l="1"/>
  <c r="D1659" i="3"/>
  <c r="E1659" i="3" s="1"/>
  <c r="D1660" i="3" l="1"/>
  <c r="E1660" i="3" s="1"/>
  <c r="F1661" i="3"/>
  <c r="D1661" i="3" l="1"/>
  <c r="E1661" i="3" s="1"/>
  <c r="F1662" i="3"/>
  <c r="D1662" i="3" l="1"/>
  <c r="E1662" i="3" s="1"/>
  <c r="F1663" i="3"/>
  <c r="D1663" i="3" l="1"/>
  <c r="E1663" i="3" s="1"/>
  <c r="F1664" i="3"/>
  <c r="D1664" i="3" l="1"/>
  <c r="E1664" i="3" s="1"/>
  <c r="F1665" i="3"/>
  <c r="D1665" i="3" l="1"/>
  <c r="E1665" i="3" s="1"/>
  <c r="F1666" i="3"/>
  <c r="D1666" i="3" l="1"/>
  <c r="E1666" i="3" s="1"/>
  <c r="F1667" i="3"/>
  <c r="D1667" i="3" l="1"/>
  <c r="E1667" i="3" s="1"/>
  <c r="F1668" i="3"/>
  <c r="D1668" i="3" l="1"/>
  <c r="E1668" i="3" s="1"/>
  <c r="F1669" i="3"/>
  <c r="D1669" i="3" l="1"/>
  <c r="E1669" i="3" s="1"/>
  <c r="F1670" i="3"/>
  <c r="D1670" i="3" l="1"/>
  <c r="E1670" i="3" s="1"/>
  <c r="F1671" i="3"/>
  <c r="F1672" i="3" l="1"/>
  <c r="D1671" i="3"/>
  <c r="E1671" i="3" s="1"/>
  <c r="D1672" i="3" l="1"/>
  <c r="E1672" i="3" s="1"/>
  <c r="F1673" i="3"/>
  <c r="D1673" i="3" l="1"/>
  <c r="E1673" i="3" s="1"/>
  <c r="F1674" i="3"/>
  <c r="D1674" i="3" l="1"/>
  <c r="E1674" i="3" s="1"/>
  <c r="F1675" i="3"/>
  <c r="D1675" i="3" l="1"/>
  <c r="E1675" i="3" s="1"/>
  <c r="F1676" i="3"/>
  <c r="D1676" i="3" l="1"/>
  <c r="E1676" i="3" s="1"/>
  <c r="F1677" i="3"/>
  <c r="D1677" i="3" l="1"/>
  <c r="E1677" i="3" s="1"/>
  <c r="F1678" i="3"/>
  <c r="D1678" i="3" l="1"/>
  <c r="E1678" i="3" s="1"/>
  <c r="F1679" i="3"/>
  <c r="D1679" i="3" l="1"/>
  <c r="E1679" i="3" s="1"/>
  <c r="F1680" i="3"/>
  <c r="D1680" i="3" l="1"/>
  <c r="E1680" i="3" s="1"/>
  <c r="F1681" i="3"/>
  <c r="D1681" i="3" l="1"/>
  <c r="E1681" i="3" s="1"/>
  <c r="F1682" i="3"/>
  <c r="D1682" i="3" l="1"/>
  <c r="E1682" i="3" s="1"/>
  <c r="F1683" i="3"/>
  <c r="F1684" i="3" l="1"/>
  <c r="D1683" i="3"/>
  <c r="E1683" i="3" s="1"/>
  <c r="D1684" i="3" l="1"/>
  <c r="E1684" i="3" s="1"/>
  <c r="F1685" i="3"/>
  <c r="D1685" i="3" l="1"/>
  <c r="E1685" i="3" s="1"/>
  <c r="F1686" i="3"/>
  <c r="D1686" i="3" l="1"/>
  <c r="E1686" i="3" s="1"/>
  <c r="F1687" i="3"/>
  <c r="D1687" i="3" l="1"/>
  <c r="E1687" i="3" s="1"/>
  <c r="F1688" i="3"/>
  <c r="D1688" i="3" l="1"/>
  <c r="E1688" i="3" s="1"/>
  <c r="F1689" i="3"/>
  <c r="D1689" i="3" l="1"/>
  <c r="E1689" i="3" s="1"/>
  <c r="F1690" i="3"/>
  <c r="D1690" i="3" l="1"/>
  <c r="E1690" i="3" s="1"/>
  <c r="F1691" i="3"/>
  <c r="D1691" i="3" l="1"/>
  <c r="E1691" i="3" s="1"/>
  <c r="F1692" i="3"/>
  <c r="D1692" i="3" l="1"/>
  <c r="E1692" i="3" s="1"/>
  <c r="F1693" i="3"/>
  <c r="D1693" i="3" l="1"/>
  <c r="E1693" i="3" s="1"/>
  <c r="F1694" i="3"/>
  <c r="D1694" i="3" l="1"/>
  <c r="E1694" i="3" s="1"/>
  <c r="F1695" i="3"/>
  <c r="F1696" i="3" l="1"/>
  <c r="D1695" i="3"/>
  <c r="E1695" i="3" s="1"/>
  <c r="D1696" i="3" l="1"/>
  <c r="E1696" i="3" s="1"/>
  <c r="F1697" i="3"/>
  <c r="D1697" i="3" l="1"/>
  <c r="E1697" i="3" s="1"/>
  <c r="F1698" i="3"/>
  <c r="D1698" i="3" l="1"/>
  <c r="E1698" i="3" s="1"/>
  <c r="F1699" i="3"/>
  <c r="D1699" i="3" l="1"/>
  <c r="E1699" i="3" s="1"/>
  <c r="F1700" i="3"/>
  <c r="D1700" i="3" l="1"/>
  <c r="E1700" i="3" s="1"/>
  <c r="F1701" i="3"/>
  <c r="D1701" i="3" l="1"/>
  <c r="E1701" i="3" s="1"/>
  <c r="F1702" i="3"/>
  <c r="D1702" i="3" l="1"/>
  <c r="E1702" i="3" s="1"/>
  <c r="F1703" i="3"/>
  <c r="D1703" i="3" l="1"/>
  <c r="E1703" i="3" s="1"/>
  <c r="F1704" i="3"/>
  <c r="D1704" i="3" l="1"/>
  <c r="E1704" i="3" s="1"/>
  <c r="F1705" i="3"/>
  <c r="D1705" i="3" l="1"/>
  <c r="E1705" i="3" s="1"/>
  <c r="F1706" i="3"/>
  <c r="D1706" i="3" l="1"/>
  <c r="E1706" i="3" s="1"/>
  <c r="F1707" i="3"/>
  <c r="F1708" i="3" l="1"/>
  <c r="D1707" i="3"/>
  <c r="E1707" i="3" s="1"/>
  <c r="D1708" i="3" l="1"/>
  <c r="E1708" i="3" s="1"/>
  <c r="F1709" i="3"/>
  <c r="D1709" i="3" l="1"/>
  <c r="E1709" i="3" s="1"/>
  <c r="F1710" i="3"/>
  <c r="D1710" i="3" l="1"/>
  <c r="E1710" i="3" s="1"/>
  <c r="F1711" i="3"/>
  <c r="D1711" i="3" l="1"/>
  <c r="E1711" i="3" s="1"/>
  <c r="F1712" i="3"/>
  <c r="D1712" i="3" l="1"/>
  <c r="E1712" i="3" s="1"/>
  <c r="F1713" i="3"/>
  <c r="D1713" i="3" l="1"/>
  <c r="E1713" i="3" s="1"/>
  <c r="F1714" i="3"/>
  <c r="D1714" i="3" l="1"/>
  <c r="E1714" i="3" s="1"/>
  <c r="F1715" i="3"/>
  <c r="D1715" i="3" l="1"/>
  <c r="E1715" i="3" s="1"/>
  <c r="F1716" i="3"/>
  <c r="D1716" i="3" l="1"/>
  <c r="E1716" i="3" s="1"/>
  <c r="F1717" i="3"/>
  <c r="D1717" i="3" l="1"/>
  <c r="E1717" i="3" s="1"/>
  <c r="F1718" i="3"/>
  <c r="D1718" i="3" l="1"/>
  <c r="E1718" i="3" s="1"/>
  <c r="F1719" i="3"/>
  <c r="F1720" i="3" l="1"/>
  <c r="D1719" i="3"/>
  <c r="E1719" i="3" s="1"/>
  <c r="D1720" i="3" l="1"/>
  <c r="E1720" i="3" s="1"/>
  <c r="F1721" i="3"/>
  <c r="D1721" i="3" l="1"/>
  <c r="E1721" i="3" s="1"/>
  <c r="F1722" i="3"/>
  <c r="D1722" i="3" l="1"/>
  <c r="E1722" i="3" s="1"/>
  <c r="F1723" i="3"/>
  <c r="D1723" i="3" l="1"/>
  <c r="E1723" i="3" s="1"/>
  <c r="F1724" i="3"/>
  <c r="D1724" i="3" l="1"/>
  <c r="E1724" i="3" s="1"/>
  <c r="F1725" i="3"/>
  <c r="D1725" i="3" l="1"/>
  <c r="E1725" i="3" s="1"/>
  <c r="F1726" i="3"/>
  <c r="D1726" i="3" l="1"/>
  <c r="E1726" i="3" s="1"/>
  <c r="F1727" i="3"/>
  <c r="D1727" i="3" l="1"/>
  <c r="E1727" i="3" s="1"/>
  <c r="F1728" i="3"/>
  <c r="D1728" i="3" l="1"/>
  <c r="E1728" i="3" s="1"/>
  <c r="F1729" i="3"/>
  <c r="D1729" i="3" l="1"/>
  <c r="E1729" i="3" s="1"/>
  <c r="F1730" i="3"/>
  <c r="D1730" i="3" l="1"/>
  <c r="E1730" i="3" s="1"/>
  <c r="F1731" i="3"/>
  <c r="F1732" i="3" l="1"/>
  <c r="D1731" i="3"/>
  <c r="E1731" i="3" s="1"/>
  <c r="D1732" i="3" l="1"/>
  <c r="E1732" i="3" s="1"/>
  <c r="F1733" i="3"/>
  <c r="D1733" i="3" l="1"/>
  <c r="E1733" i="3" s="1"/>
  <c r="F1734" i="3"/>
  <c r="D1734" i="3" l="1"/>
  <c r="E1734" i="3" s="1"/>
  <c r="F1735" i="3"/>
  <c r="D1735" i="3" l="1"/>
  <c r="E1735" i="3" s="1"/>
  <c r="F1736" i="3"/>
  <c r="D1736" i="3" l="1"/>
  <c r="E1736" i="3" s="1"/>
  <c r="F1737" i="3"/>
  <c r="D1737" i="3" l="1"/>
  <c r="E1737" i="3" s="1"/>
  <c r="F1738" i="3"/>
  <c r="D1738" i="3" l="1"/>
  <c r="E1738" i="3" s="1"/>
  <c r="F1739" i="3"/>
  <c r="D1739" i="3" l="1"/>
  <c r="E1739" i="3" s="1"/>
  <c r="F1740" i="3"/>
  <c r="D1740" i="3" l="1"/>
  <c r="E1740" i="3" s="1"/>
  <c r="F1741" i="3"/>
  <c r="D1741" i="3" l="1"/>
  <c r="E1741" i="3" s="1"/>
  <c r="F1742" i="3"/>
  <c r="D1742" i="3" l="1"/>
  <c r="E1742" i="3" s="1"/>
  <c r="F1743" i="3"/>
  <c r="F1744" i="3" l="1"/>
  <c r="D1743" i="3"/>
  <c r="E1743" i="3" s="1"/>
  <c r="D1744" i="3" l="1"/>
  <c r="E1744" i="3" s="1"/>
  <c r="F1745" i="3"/>
  <c r="D1745" i="3" l="1"/>
  <c r="E1745" i="3" s="1"/>
  <c r="F1746" i="3"/>
  <c r="D1746" i="3" l="1"/>
  <c r="E1746" i="3" s="1"/>
  <c r="F1747" i="3"/>
  <c r="D1747" i="3" l="1"/>
  <c r="E1747" i="3" s="1"/>
  <c r="F1748" i="3"/>
  <c r="D1748" i="3" l="1"/>
  <c r="E1748" i="3" s="1"/>
  <c r="F1749" i="3"/>
  <c r="D1749" i="3" l="1"/>
  <c r="E1749" i="3" s="1"/>
  <c r="F1750" i="3"/>
  <c r="D1750" i="3" l="1"/>
  <c r="E1750" i="3" s="1"/>
  <c r="F1751" i="3"/>
  <c r="D1751" i="3" l="1"/>
  <c r="E1751" i="3" s="1"/>
  <c r="F1752" i="3"/>
  <c r="D1752" i="3" l="1"/>
  <c r="E1752" i="3" s="1"/>
  <c r="F1753" i="3"/>
  <c r="D1753" i="3" l="1"/>
  <c r="E1753" i="3" s="1"/>
  <c r="F1754" i="3"/>
  <c r="D1754" i="3" l="1"/>
  <c r="E1754" i="3" s="1"/>
  <c r="F1755" i="3"/>
  <c r="F1756" i="3" l="1"/>
  <c r="D1755" i="3"/>
  <c r="E1755" i="3" s="1"/>
  <c r="D1756" i="3" l="1"/>
  <c r="E1756" i="3" s="1"/>
  <c r="F1757" i="3"/>
  <c r="D1757" i="3" l="1"/>
  <c r="E1757" i="3" s="1"/>
  <c r="F1758" i="3"/>
  <c r="D1758" i="3" l="1"/>
  <c r="E1758" i="3" s="1"/>
  <c r="F1759" i="3"/>
  <c r="D1759" i="3" l="1"/>
  <c r="E1759" i="3" s="1"/>
  <c r="F1760" i="3"/>
  <c r="D1760" i="3" l="1"/>
  <c r="E1760" i="3" s="1"/>
  <c r="F1761" i="3"/>
  <c r="D1761" i="3" l="1"/>
  <c r="E1761" i="3" s="1"/>
  <c r="F1762" i="3"/>
  <c r="D1762" i="3" l="1"/>
  <c r="E1762" i="3" s="1"/>
  <c r="H1759" i="3" s="1"/>
  <c r="F1763" i="3"/>
  <c r="D1763" i="3" s="1"/>
  <c r="E1763" i="3" s="1"/>
  <c r="H5" i="3" s="1"/>
  <c r="H1757" i="3" l="1"/>
  <c r="H1761" i="3"/>
  <c r="H1753" i="3"/>
  <c r="H1755" i="3"/>
  <c r="H1763" i="3"/>
  <c r="H7" i="3"/>
  <c r="H6" i="3"/>
  <c r="H8" i="3"/>
  <c r="H9" i="3"/>
  <c r="H13" i="3"/>
  <c r="H10" i="3"/>
  <c r="H11" i="3"/>
  <c r="H12" i="3"/>
  <c r="H14" i="3"/>
  <c r="H15" i="3"/>
  <c r="H16" i="3"/>
  <c r="H17" i="3"/>
  <c r="H18" i="3"/>
  <c r="H19" i="3"/>
  <c r="H21" i="3"/>
  <c r="H22" i="3"/>
  <c r="H23" i="3"/>
  <c r="H20" i="3"/>
  <c r="H25" i="3"/>
  <c r="H24" i="3"/>
  <c r="H28" i="3"/>
  <c r="H26" i="3"/>
  <c r="H27" i="3"/>
  <c r="H29" i="3"/>
  <c r="H30" i="3"/>
  <c r="H31" i="3"/>
  <c r="H32" i="3"/>
  <c r="H33" i="3"/>
  <c r="H35" i="3"/>
  <c r="H34" i="3"/>
  <c r="H37" i="3"/>
  <c r="H36" i="3"/>
  <c r="H38" i="3"/>
  <c r="H40" i="3"/>
  <c r="H39" i="3"/>
  <c r="H43" i="3"/>
  <c r="H41" i="3"/>
  <c r="H42" i="3"/>
  <c r="H44" i="3"/>
  <c r="H45" i="3"/>
  <c r="H47" i="3"/>
  <c r="H46" i="3"/>
  <c r="H49" i="3"/>
  <c r="H48" i="3"/>
  <c r="H50" i="3"/>
  <c r="H51" i="3"/>
  <c r="H55" i="3"/>
  <c r="H53" i="3"/>
  <c r="H52" i="3"/>
  <c r="H54" i="3"/>
  <c r="H58" i="3"/>
  <c r="H57" i="3"/>
  <c r="H56" i="3"/>
  <c r="H61" i="3"/>
  <c r="H59" i="3"/>
  <c r="H60" i="3"/>
  <c r="H64" i="3"/>
  <c r="H63" i="3"/>
  <c r="H62" i="3"/>
  <c r="H68" i="3"/>
  <c r="H65" i="3"/>
  <c r="H66" i="3"/>
  <c r="H67" i="3"/>
  <c r="H70" i="3"/>
  <c r="H69" i="3"/>
  <c r="H74" i="3"/>
  <c r="H71" i="3"/>
  <c r="H72" i="3"/>
  <c r="H73" i="3"/>
  <c r="H75" i="3"/>
  <c r="H76" i="3"/>
  <c r="H77" i="3"/>
  <c r="H78" i="3"/>
  <c r="H82" i="3"/>
  <c r="H80" i="3"/>
  <c r="H79" i="3"/>
  <c r="H81" i="3"/>
  <c r="H86" i="3"/>
  <c r="H83" i="3"/>
  <c r="H84" i="3"/>
  <c r="H85" i="3"/>
  <c r="H87" i="3"/>
  <c r="H89" i="3"/>
  <c r="H90" i="3"/>
  <c r="H88" i="3"/>
  <c r="H91" i="3"/>
  <c r="H92" i="3"/>
  <c r="H93" i="3"/>
  <c r="H94" i="3"/>
  <c r="H95" i="3"/>
  <c r="H96" i="3"/>
  <c r="H97" i="3"/>
  <c r="H98" i="3"/>
  <c r="H99" i="3"/>
  <c r="H100" i="3"/>
  <c r="H101" i="3"/>
  <c r="H105" i="3"/>
  <c r="H102" i="3"/>
  <c r="H103" i="3"/>
  <c r="H104" i="3"/>
  <c r="H106" i="3"/>
  <c r="H107" i="3"/>
  <c r="H111" i="3"/>
  <c r="H108" i="3"/>
  <c r="H109" i="3"/>
  <c r="H110" i="3"/>
  <c r="H113" i="3"/>
  <c r="H112" i="3"/>
  <c r="H114" i="3"/>
  <c r="H115" i="3"/>
  <c r="H116" i="3"/>
  <c r="H117" i="3"/>
  <c r="H121" i="3"/>
  <c r="H118" i="3"/>
  <c r="H119" i="3"/>
  <c r="H120" i="3"/>
  <c r="H123" i="3"/>
  <c r="H122" i="3"/>
  <c r="H124" i="3"/>
  <c r="H125" i="3"/>
  <c r="H127" i="3"/>
  <c r="H126" i="3"/>
  <c r="H128" i="3"/>
  <c r="H130" i="3"/>
  <c r="H129" i="3"/>
  <c r="H134" i="3"/>
  <c r="H132" i="3"/>
  <c r="H131" i="3"/>
  <c r="H133" i="3"/>
  <c r="H135" i="3"/>
  <c r="H136" i="3"/>
  <c r="H137" i="3"/>
  <c r="H139" i="3"/>
  <c r="H138" i="3"/>
  <c r="H140" i="3"/>
  <c r="H143" i="3"/>
  <c r="H141" i="3"/>
  <c r="H142" i="3"/>
  <c r="H144" i="3"/>
  <c r="H145" i="3"/>
  <c r="H146" i="3"/>
  <c r="H147" i="3"/>
  <c r="H148" i="3"/>
  <c r="H149" i="3"/>
  <c r="H151" i="3"/>
  <c r="H150" i="3"/>
  <c r="H152" i="3"/>
  <c r="H155" i="3"/>
  <c r="H154" i="3"/>
  <c r="H153" i="3"/>
  <c r="H156" i="3"/>
  <c r="H157" i="3"/>
  <c r="H158" i="3"/>
  <c r="H159" i="3"/>
  <c r="H161" i="3"/>
  <c r="H160" i="3"/>
  <c r="H163" i="3"/>
  <c r="H164" i="3"/>
  <c r="H162" i="3"/>
  <c r="H165" i="3"/>
  <c r="H166" i="3"/>
  <c r="H167" i="3"/>
  <c r="H169" i="3"/>
  <c r="H168" i="3"/>
  <c r="H170" i="3"/>
  <c r="H171" i="3"/>
  <c r="H172" i="3"/>
  <c r="H175" i="3"/>
  <c r="H173" i="3"/>
  <c r="H174" i="3"/>
  <c r="H176" i="3"/>
  <c r="H177" i="3"/>
  <c r="H178" i="3"/>
  <c r="H179" i="3"/>
  <c r="H183" i="3"/>
  <c r="H180" i="3"/>
  <c r="H181" i="3"/>
  <c r="H182" i="3"/>
  <c r="H186" i="3"/>
  <c r="H185" i="3"/>
  <c r="H184" i="3"/>
  <c r="H188" i="3"/>
  <c r="H187" i="3"/>
  <c r="H189" i="3"/>
  <c r="H191" i="3"/>
  <c r="H190" i="3"/>
  <c r="H194" i="3"/>
  <c r="H192" i="3"/>
  <c r="H193" i="3"/>
  <c r="H195" i="3"/>
  <c r="H196" i="3"/>
  <c r="H200" i="3"/>
  <c r="H197" i="3"/>
  <c r="H198" i="3"/>
  <c r="H199" i="3"/>
  <c r="H202" i="3"/>
  <c r="H201" i="3"/>
  <c r="H204" i="3"/>
  <c r="H203" i="3"/>
  <c r="H205" i="3"/>
  <c r="H207" i="3"/>
  <c r="H206" i="3"/>
  <c r="H210" i="3"/>
  <c r="H208" i="3"/>
  <c r="H209" i="3"/>
  <c r="H211" i="3"/>
  <c r="H212" i="3"/>
  <c r="H213" i="3"/>
  <c r="H214" i="3"/>
  <c r="H215" i="3"/>
  <c r="H216" i="3"/>
  <c r="H217" i="3"/>
  <c r="H219" i="3"/>
  <c r="H218" i="3"/>
  <c r="H220" i="3"/>
  <c r="H221" i="3"/>
  <c r="H226" i="3"/>
  <c r="H222" i="3"/>
  <c r="H223" i="3"/>
  <c r="H224" i="3"/>
  <c r="H225" i="3"/>
  <c r="H227" i="3"/>
  <c r="H228" i="3"/>
  <c r="H229" i="3"/>
  <c r="H231" i="3"/>
  <c r="H230" i="3"/>
  <c r="H232" i="3"/>
  <c r="H233" i="3"/>
  <c r="H238" i="3"/>
  <c r="H234" i="3"/>
  <c r="H235" i="3"/>
  <c r="H236" i="3"/>
  <c r="H237" i="3"/>
  <c r="H239" i="3"/>
  <c r="H240" i="3"/>
  <c r="H241" i="3"/>
  <c r="H243" i="3"/>
  <c r="H242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6" i="3"/>
  <c r="H265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5" i="3"/>
  <c r="H314" i="3"/>
  <c r="H316" i="3"/>
  <c r="H317" i="3"/>
  <c r="H318" i="3"/>
  <c r="H319" i="3"/>
  <c r="H320" i="3"/>
  <c r="H321" i="3"/>
  <c r="H322" i="3"/>
  <c r="H323" i="3"/>
  <c r="H324" i="3"/>
  <c r="H325" i="3"/>
  <c r="H327" i="3"/>
  <c r="H326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10" i="3"/>
  <c r="H409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2" i="3"/>
  <c r="H451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8" i="3"/>
  <c r="H467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62" i="3"/>
  <c r="H1760" i="3"/>
  <c r="H1758" i="3"/>
  <c r="H1754" i="3"/>
  <c r="H1756" i="3"/>
  <c r="K13" i="3" l="1"/>
</calcChain>
</file>

<file path=xl/sharedStrings.xml><?xml version="1.0" encoding="utf-8"?>
<sst xmlns="http://schemas.openxmlformats.org/spreadsheetml/2006/main" count="1864" uniqueCount="67">
  <si>
    <t>GOOG</t>
  </si>
  <si>
    <t>date</t>
  </si>
  <si>
    <t>symbol</t>
  </si>
  <si>
    <t>close</t>
  </si>
  <si>
    <t xml:space="preserve">return </t>
  </si>
  <si>
    <t>return 0 1</t>
  </si>
  <si>
    <t>SMA</t>
  </si>
  <si>
    <t>Standard deviation</t>
  </si>
  <si>
    <t>Bollinger bands + 2</t>
  </si>
  <si>
    <t>Bollinger bands - 2</t>
  </si>
  <si>
    <t xml:space="preserve">Date </t>
  </si>
  <si>
    <t>Prix Close</t>
  </si>
  <si>
    <t>Prix Return</t>
  </si>
  <si>
    <t>Prix Predicted</t>
  </si>
  <si>
    <t>Residuals AR</t>
  </si>
  <si>
    <t>Sigma</t>
  </si>
  <si>
    <t>Epsilon</t>
  </si>
  <si>
    <t>Log likelihood</t>
  </si>
  <si>
    <t>N</t>
  </si>
  <si>
    <t>sigma² 0</t>
  </si>
  <si>
    <t>Alpha 0</t>
  </si>
  <si>
    <t>Alpha1</t>
  </si>
  <si>
    <t>Beta 1</t>
  </si>
  <si>
    <t>eta1</t>
  </si>
  <si>
    <t>eta2</t>
  </si>
  <si>
    <t>log-likelihood</t>
  </si>
  <si>
    <t>variance of epsilon</t>
  </si>
  <si>
    <t>True\Prediction</t>
  </si>
  <si>
    <t>Positif</t>
  </si>
  <si>
    <t>Negatif</t>
  </si>
  <si>
    <t>AR-GARCH</t>
  </si>
  <si>
    <t>Parameters</t>
  </si>
  <si>
    <t>n</t>
  </si>
  <si>
    <t>Learning Sample</t>
  </si>
  <si>
    <t>First date</t>
  </si>
  <si>
    <t>Last date</t>
  </si>
  <si>
    <t>Testing sample</t>
  </si>
  <si>
    <t>AR-GARCH : confusion matrix (80% - 20%) with 2 etas</t>
  </si>
  <si>
    <t>Training Set (80% du dataset)</t>
  </si>
  <si>
    <t>Test Set (20% du dataset)</t>
  </si>
  <si>
    <t>Date</t>
  </si>
  <si>
    <t>SMI</t>
  </si>
  <si>
    <t>price return</t>
  </si>
  <si>
    <t>predicted return (AR part)</t>
  </si>
  <si>
    <t>residual of the AR part</t>
  </si>
  <si>
    <t>sigma</t>
  </si>
  <si>
    <t>epsilon</t>
  </si>
  <si>
    <t>Price return</t>
  </si>
  <si>
    <t>Predicted return</t>
  </si>
  <si>
    <t>sigma² 0 training</t>
  </si>
  <si>
    <t>alpha 0</t>
  </si>
  <si>
    <t>alpha 1</t>
  </si>
  <si>
    <t>beta 1</t>
  </si>
  <si>
    <t>eta 1</t>
  </si>
  <si>
    <t>eta 2</t>
  </si>
  <si>
    <t>sigma² 0 test</t>
  </si>
  <si>
    <t>Pour voir le solver de AR-GARCH -&gt; Feuille : ArGarch</t>
  </si>
  <si>
    <t>Perceptron : confusion matrix + cross entropy evolution</t>
  </si>
  <si>
    <t>MULTI LAYER PERCEPTRON</t>
  </si>
  <si>
    <t>Confusion matrix MLP</t>
  </si>
  <si>
    <t>Confusion matrix Simple Perceptron</t>
  </si>
  <si>
    <t>Layer</t>
  </si>
  <si>
    <t xml:space="preserve">Input </t>
  </si>
  <si>
    <t>Test matrice de Confusion normal quelle soit parfaite vu que je prends les valeurs observées.</t>
  </si>
  <si>
    <t>NE PAS APPUYER SUR CE BOUTON SINON 15 MIN DE COMPILATION car :</t>
  </si>
  <si>
    <t>Compile le Sub main du module function (aller voir directement)</t>
  </si>
  <si>
    <t xml:space="preserve">Donc compile toutes les méthodes de calcul returns returns 0 1 SMA SD bollinger et les écrits d'où le temps d'exécutions tres long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</si>
</sst>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%"/>
    <numFmt numFmtId="166" formatCode="0.0000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10" fontId="2" fillId="3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2" borderId="0" xfId="0" applyNumberFormat="1" applyFill="1"/>
    <xf numFmtId="10" fontId="0" fillId="0" borderId="0" xfId="1" applyNumberFormat="1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4" fontId="0" fillId="0" borderId="2" xfId="0" applyNumberFormat="1" applyBorder="1"/>
    <xf numFmtId="1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7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7" borderId="7" xfId="0" applyFill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7" borderId="10" xfId="0" applyFill="1" applyBorder="1" applyAlignment="1">
      <alignment horizontal="center"/>
    </xf>
    <xf numFmtId="14" fontId="0" fillId="0" borderId="11" xfId="0" applyNumberFormat="1" applyBorder="1" applyAlignment="1">
      <alignment horizontal="center"/>
    </xf>
    <xf numFmtId="0" fontId="0" fillId="10" borderId="7" xfId="0" applyFill="1" applyBorder="1"/>
    <xf numFmtId="0" fontId="0" fillId="10" borderId="12" xfId="0" applyFill="1" applyBorder="1"/>
    <xf numFmtId="0" fontId="0" fillId="10" borderId="8" xfId="0" applyFill="1" applyBorder="1"/>
    <xf numFmtId="0" fontId="0" fillId="10" borderId="13" xfId="0" applyFill="1" applyBorder="1"/>
    <xf numFmtId="0" fontId="0" fillId="10" borderId="0" xfId="0" applyFill="1"/>
    <xf numFmtId="0" fontId="0" fillId="10" borderId="14" xfId="0" applyFill="1" applyBorder="1"/>
    <xf numFmtId="0" fontId="0" fillId="11" borderId="1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8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10" xfId="0" applyFill="1" applyBorder="1"/>
    <xf numFmtId="0" fontId="0" fillId="10" borderId="22" xfId="0" applyFill="1" applyBorder="1"/>
    <xf numFmtId="0" fontId="0" fillId="10" borderId="11" xfId="0" applyFill="1" applyBorder="1"/>
    <xf numFmtId="0" fontId="0" fillId="4" borderId="0" xfId="0" applyFill="1"/>
    <xf numFmtId="0" fontId="4" fillId="0" borderId="0" xfId="0" applyFont="1"/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4" xfId="0" applyFill="1" applyBorder="1" applyAlignment="1">
      <alignment vertical="center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2" xfId="0" applyBorder="1"/>
    <xf numFmtId="0" fontId="0" fillId="0" borderId="8" xfId="0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13" xfId="0" applyNumberFormat="1" applyBorder="1"/>
    <xf numFmtId="165" fontId="0" fillId="0" borderId="0" xfId="1" applyNumberFormat="1" applyFont="1" applyBorder="1"/>
    <xf numFmtId="166" fontId="0" fillId="0" borderId="0" xfId="0" applyNumberFormat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2" fillId="10" borderId="13" xfId="0" applyFont="1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0" fontId="0" fillId="0" borderId="0" xfId="0" applyNumberFormat="1"/>
    <xf numFmtId="164" fontId="0" fillId="10" borderId="14" xfId="0" applyNumberForma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4" fontId="0" fillId="0" borderId="10" xfId="0" applyNumberFormat="1" applyBorder="1"/>
    <xf numFmtId="0" fontId="0" fillId="0" borderId="22" xfId="0" applyBorder="1"/>
    <xf numFmtId="165" fontId="0" fillId="0" borderId="22" xfId="1" applyNumberFormat="1" applyFont="1" applyBorder="1"/>
    <xf numFmtId="0" fontId="0" fillId="0" borderId="11" xfId="0" applyBorder="1"/>
    <xf numFmtId="10" fontId="0" fillId="0" borderId="22" xfId="0" applyNumberFormat="1" applyBorder="1"/>
    <xf numFmtId="11" fontId="0" fillId="0" borderId="1" xfId="0" applyNumberForma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11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11" borderId="19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0" fillId="8" borderId="6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/>
    </xf>
    <xf numFmtId="0" fontId="5" fillId="9" borderId="4" xfId="0" applyFont="1" applyFill="1" applyBorder="1" applyAlignment="1">
      <alignment horizontal="center"/>
    </xf>
    <xf numFmtId="0" fontId="5" fillId="9" borderId="5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5"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'[1]AR GARCH Manuel'!$F$3</c:f>
              <c:strCache>
                <c:ptCount val="1"/>
                <c:pt idx="0">
                  <c:v>residual of the AR part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'[1]AR GARCH Manuel'!$B$5:$B$1766</c:f>
              <c:numCache>
                <c:formatCode>General</c:formatCode>
                <c:ptCount val="1762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40273</c:v>
                </c:pt>
                <c:pt idx="63">
                  <c:v>40274</c:v>
                </c:pt>
                <c:pt idx="64">
                  <c:v>40275</c:v>
                </c:pt>
                <c:pt idx="65">
                  <c:v>40276</c:v>
                </c:pt>
                <c:pt idx="66">
                  <c:v>40277</c:v>
                </c:pt>
                <c:pt idx="67">
                  <c:v>40280</c:v>
                </c:pt>
                <c:pt idx="68">
                  <c:v>40281</c:v>
                </c:pt>
                <c:pt idx="69">
                  <c:v>40282</c:v>
                </c:pt>
                <c:pt idx="70">
                  <c:v>40283</c:v>
                </c:pt>
                <c:pt idx="71">
                  <c:v>40284</c:v>
                </c:pt>
                <c:pt idx="72">
                  <c:v>40287</c:v>
                </c:pt>
                <c:pt idx="73">
                  <c:v>40288</c:v>
                </c:pt>
                <c:pt idx="74">
                  <c:v>40289</c:v>
                </c:pt>
                <c:pt idx="75">
                  <c:v>40290</c:v>
                </c:pt>
                <c:pt idx="76">
                  <c:v>40291</c:v>
                </c:pt>
                <c:pt idx="77">
                  <c:v>40294</c:v>
                </c:pt>
                <c:pt idx="78">
                  <c:v>40295</c:v>
                </c:pt>
                <c:pt idx="79">
                  <c:v>40296</c:v>
                </c:pt>
                <c:pt idx="80">
                  <c:v>40297</c:v>
                </c:pt>
                <c:pt idx="81">
                  <c:v>40298</c:v>
                </c:pt>
                <c:pt idx="82">
                  <c:v>40301</c:v>
                </c:pt>
                <c:pt idx="83">
                  <c:v>40302</c:v>
                </c:pt>
                <c:pt idx="84">
                  <c:v>40303</c:v>
                </c:pt>
                <c:pt idx="85">
                  <c:v>40304</c:v>
                </c:pt>
                <c:pt idx="86">
                  <c:v>40305</c:v>
                </c:pt>
                <c:pt idx="87">
                  <c:v>40308</c:v>
                </c:pt>
                <c:pt idx="88">
                  <c:v>40309</c:v>
                </c:pt>
                <c:pt idx="89">
                  <c:v>40310</c:v>
                </c:pt>
                <c:pt idx="90">
                  <c:v>40311</c:v>
                </c:pt>
                <c:pt idx="91">
                  <c:v>40312</c:v>
                </c:pt>
                <c:pt idx="92">
                  <c:v>40315</c:v>
                </c:pt>
                <c:pt idx="93">
                  <c:v>40316</c:v>
                </c:pt>
                <c:pt idx="94">
                  <c:v>40317</c:v>
                </c:pt>
                <c:pt idx="95">
                  <c:v>40318</c:v>
                </c:pt>
                <c:pt idx="96">
                  <c:v>40319</c:v>
                </c:pt>
                <c:pt idx="97">
                  <c:v>40322</c:v>
                </c:pt>
                <c:pt idx="98">
                  <c:v>40323</c:v>
                </c:pt>
                <c:pt idx="99">
                  <c:v>40324</c:v>
                </c:pt>
                <c:pt idx="100">
                  <c:v>40325</c:v>
                </c:pt>
                <c:pt idx="101">
                  <c:v>40326</c:v>
                </c:pt>
                <c:pt idx="102">
                  <c:v>40330</c:v>
                </c:pt>
                <c:pt idx="103">
                  <c:v>40331</c:v>
                </c:pt>
                <c:pt idx="104">
                  <c:v>40332</c:v>
                </c:pt>
                <c:pt idx="105">
                  <c:v>40333</c:v>
                </c:pt>
                <c:pt idx="106">
                  <c:v>40336</c:v>
                </c:pt>
                <c:pt idx="107">
                  <c:v>40337</c:v>
                </c:pt>
                <c:pt idx="108">
                  <c:v>40338</c:v>
                </c:pt>
                <c:pt idx="109">
                  <c:v>40339</c:v>
                </c:pt>
                <c:pt idx="110">
                  <c:v>40340</c:v>
                </c:pt>
                <c:pt idx="111">
                  <c:v>40343</c:v>
                </c:pt>
                <c:pt idx="112">
                  <c:v>40344</c:v>
                </c:pt>
                <c:pt idx="113">
                  <c:v>40345</c:v>
                </c:pt>
                <c:pt idx="114">
                  <c:v>40346</c:v>
                </c:pt>
                <c:pt idx="115">
                  <c:v>40347</c:v>
                </c:pt>
                <c:pt idx="116">
                  <c:v>40350</c:v>
                </c:pt>
                <c:pt idx="117">
                  <c:v>40351</c:v>
                </c:pt>
                <c:pt idx="118">
                  <c:v>40352</c:v>
                </c:pt>
                <c:pt idx="119">
                  <c:v>40353</c:v>
                </c:pt>
                <c:pt idx="120">
                  <c:v>40354</c:v>
                </c:pt>
                <c:pt idx="121">
                  <c:v>40357</c:v>
                </c:pt>
                <c:pt idx="122">
                  <c:v>40358</c:v>
                </c:pt>
                <c:pt idx="123">
                  <c:v>40359</c:v>
                </c:pt>
                <c:pt idx="124">
                  <c:v>40360</c:v>
                </c:pt>
                <c:pt idx="125">
                  <c:v>40361</c:v>
                </c:pt>
                <c:pt idx="126">
                  <c:v>40365</c:v>
                </c:pt>
                <c:pt idx="127">
                  <c:v>40366</c:v>
                </c:pt>
                <c:pt idx="128">
                  <c:v>40367</c:v>
                </c:pt>
                <c:pt idx="129">
                  <c:v>40368</c:v>
                </c:pt>
                <c:pt idx="130">
                  <c:v>40371</c:v>
                </c:pt>
                <c:pt idx="131">
                  <c:v>40372</c:v>
                </c:pt>
                <c:pt idx="132">
                  <c:v>40373</c:v>
                </c:pt>
                <c:pt idx="133">
                  <c:v>40374</c:v>
                </c:pt>
                <c:pt idx="134">
                  <c:v>40375</c:v>
                </c:pt>
                <c:pt idx="135">
                  <c:v>40378</c:v>
                </c:pt>
                <c:pt idx="136">
                  <c:v>40379</c:v>
                </c:pt>
                <c:pt idx="137">
                  <c:v>40380</c:v>
                </c:pt>
                <c:pt idx="138">
                  <c:v>40381</c:v>
                </c:pt>
                <c:pt idx="139">
                  <c:v>40382</c:v>
                </c:pt>
                <c:pt idx="140">
                  <c:v>40385</c:v>
                </c:pt>
                <c:pt idx="141">
                  <c:v>40386</c:v>
                </c:pt>
                <c:pt idx="142">
                  <c:v>40387</c:v>
                </c:pt>
                <c:pt idx="143">
                  <c:v>40388</c:v>
                </c:pt>
                <c:pt idx="144">
                  <c:v>40389</c:v>
                </c:pt>
                <c:pt idx="145">
                  <c:v>40392</c:v>
                </c:pt>
                <c:pt idx="146">
                  <c:v>40393</c:v>
                </c:pt>
                <c:pt idx="147">
                  <c:v>40394</c:v>
                </c:pt>
                <c:pt idx="148">
                  <c:v>40395</c:v>
                </c:pt>
                <c:pt idx="149">
                  <c:v>40396</c:v>
                </c:pt>
                <c:pt idx="150">
                  <c:v>40399</c:v>
                </c:pt>
                <c:pt idx="151">
                  <c:v>40400</c:v>
                </c:pt>
                <c:pt idx="152">
                  <c:v>40401</c:v>
                </c:pt>
                <c:pt idx="153">
                  <c:v>40402</c:v>
                </c:pt>
                <c:pt idx="154">
                  <c:v>40403</c:v>
                </c:pt>
                <c:pt idx="155">
                  <c:v>40406</c:v>
                </c:pt>
                <c:pt idx="156">
                  <c:v>40407</c:v>
                </c:pt>
                <c:pt idx="157">
                  <c:v>40408</c:v>
                </c:pt>
                <c:pt idx="158">
                  <c:v>40409</c:v>
                </c:pt>
                <c:pt idx="159">
                  <c:v>40410</c:v>
                </c:pt>
                <c:pt idx="160">
                  <c:v>40413</c:v>
                </c:pt>
                <c:pt idx="161">
                  <c:v>40414</c:v>
                </c:pt>
                <c:pt idx="162">
                  <c:v>40415</c:v>
                </c:pt>
                <c:pt idx="163">
                  <c:v>40416</c:v>
                </c:pt>
                <c:pt idx="164">
                  <c:v>40417</c:v>
                </c:pt>
                <c:pt idx="165">
                  <c:v>40420</c:v>
                </c:pt>
                <c:pt idx="166">
                  <c:v>40421</c:v>
                </c:pt>
                <c:pt idx="167">
                  <c:v>40422</c:v>
                </c:pt>
                <c:pt idx="168">
                  <c:v>40423</c:v>
                </c:pt>
                <c:pt idx="169">
                  <c:v>40424</c:v>
                </c:pt>
                <c:pt idx="170">
                  <c:v>40428</c:v>
                </c:pt>
                <c:pt idx="171">
                  <c:v>40429</c:v>
                </c:pt>
                <c:pt idx="172">
                  <c:v>40430</c:v>
                </c:pt>
                <c:pt idx="173">
                  <c:v>40431</c:v>
                </c:pt>
                <c:pt idx="174">
                  <c:v>40434</c:v>
                </c:pt>
                <c:pt idx="175">
                  <c:v>40435</c:v>
                </c:pt>
                <c:pt idx="176">
                  <c:v>40436</c:v>
                </c:pt>
                <c:pt idx="177">
                  <c:v>40437</c:v>
                </c:pt>
                <c:pt idx="178">
                  <c:v>40438</c:v>
                </c:pt>
                <c:pt idx="179">
                  <c:v>40441</c:v>
                </c:pt>
                <c:pt idx="180">
                  <c:v>40442</c:v>
                </c:pt>
                <c:pt idx="181">
                  <c:v>40443</c:v>
                </c:pt>
                <c:pt idx="182">
                  <c:v>40444</c:v>
                </c:pt>
                <c:pt idx="183">
                  <c:v>40445</c:v>
                </c:pt>
                <c:pt idx="184">
                  <c:v>40448</c:v>
                </c:pt>
                <c:pt idx="185">
                  <c:v>40449</c:v>
                </c:pt>
                <c:pt idx="186">
                  <c:v>40450</c:v>
                </c:pt>
                <c:pt idx="187">
                  <c:v>40451</c:v>
                </c:pt>
                <c:pt idx="188">
                  <c:v>40452</c:v>
                </c:pt>
                <c:pt idx="189">
                  <c:v>40455</c:v>
                </c:pt>
                <c:pt idx="190">
                  <c:v>40456</c:v>
                </c:pt>
                <c:pt idx="191">
                  <c:v>40457</c:v>
                </c:pt>
                <c:pt idx="192">
                  <c:v>40458</c:v>
                </c:pt>
                <c:pt idx="193">
                  <c:v>40459</c:v>
                </c:pt>
                <c:pt idx="194">
                  <c:v>40462</c:v>
                </c:pt>
                <c:pt idx="195">
                  <c:v>40463</c:v>
                </c:pt>
                <c:pt idx="196">
                  <c:v>40464</c:v>
                </c:pt>
                <c:pt idx="197">
                  <c:v>40465</c:v>
                </c:pt>
                <c:pt idx="198">
                  <c:v>40466</c:v>
                </c:pt>
                <c:pt idx="199">
                  <c:v>40469</c:v>
                </c:pt>
                <c:pt idx="200">
                  <c:v>40470</c:v>
                </c:pt>
                <c:pt idx="201">
                  <c:v>40471</c:v>
                </c:pt>
                <c:pt idx="202">
                  <c:v>40472</c:v>
                </c:pt>
                <c:pt idx="203">
                  <c:v>40473</c:v>
                </c:pt>
                <c:pt idx="204">
                  <c:v>40476</c:v>
                </c:pt>
                <c:pt idx="205">
                  <c:v>40477</c:v>
                </c:pt>
                <c:pt idx="206">
                  <c:v>40478</c:v>
                </c:pt>
                <c:pt idx="207">
                  <c:v>40479</c:v>
                </c:pt>
                <c:pt idx="208">
                  <c:v>40480</c:v>
                </c:pt>
                <c:pt idx="209">
                  <c:v>40483</c:v>
                </c:pt>
                <c:pt idx="210">
                  <c:v>40484</c:v>
                </c:pt>
                <c:pt idx="211">
                  <c:v>40485</c:v>
                </c:pt>
                <c:pt idx="212">
                  <c:v>40486</c:v>
                </c:pt>
                <c:pt idx="213">
                  <c:v>40487</c:v>
                </c:pt>
                <c:pt idx="214">
                  <c:v>40490</c:v>
                </c:pt>
                <c:pt idx="215">
                  <c:v>40491</c:v>
                </c:pt>
                <c:pt idx="216">
                  <c:v>40492</c:v>
                </c:pt>
                <c:pt idx="217">
                  <c:v>40493</c:v>
                </c:pt>
                <c:pt idx="218">
                  <c:v>40494</c:v>
                </c:pt>
                <c:pt idx="219">
                  <c:v>40497</c:v>
                </c:pt>
                <c:pt idx="220">
                  <c:v>40498</c:v>
                </c:pt>
                <c:pt idx="221">
                  <c:v>40499</c:v>
                </c:pt>
                <c:pt idx="222">
                  <c:v>40500</c:v>
                </c:pt>
                <c:pt idx="223">
                  <c:v>40501</c:v>
                </c:pt>
                <c:pt idx="224">
                  <c:v>40504</c:v>
                </c:pt>
                <c:pt idx="225">
                  <c:v>40505</c:v>
                </c:pt>
                <c:pt idx="226">
                  <c:v>40506</c:v>
                </c:pt>
                <c:pt idx="227">
                  <c:v>40508</c:v>
                </c:pt>
                <c:pt idx="228">
                  <c:v>40511</c:v>
                </c:pt>
                <c:pt idx="229">
                  <c:v>40512</c:v>
                </c:pt>
                <c:pt idx="230">
                  <c:v>40513</c:v>
                </c:pt>
                <c:pt idx="231">
                  <c:v>40514</c:v>
                </c:pt>
                <c:pt idx="232">
                  <c:v>40515</c:v>
                </c:pt>
                <c:pt idx="233">
                  <c:v>40518</c:v>
                </c:pt>
                <c:pt idx="234">
                  <c:v>40519</c:v>
                </c:pt>
                <c:pt idx="235">
                  <c:v>40520</c:v>
                </c:pt>
                <c:pt idx="236">
                  <c:v>40521</c:v>
                </c:pt>
                <c:pt idx="237">
                  <c:v>40522</c:v>
                </c:pt>
                <c:pt idx="238">
                  <c:v>40525</c:v>
                </c:pt>
                <c:pt idx="239">
                  <c:v>40526</c:v>
                </c:pt>
                <c:pt idx="240">
                  <c:v>40527</c:v>
                </c:pt>
                <c:pt idx="241">
                  <c:v>40528</c:v>
                </c:pt>
                <c:pt idx="242">
                  <c:v>40529</c:v>
                </c:pt>
                <c:pt idx="243">
                  <c:v>40532</c:v>
                </c:pt>
                <c:pt idx="244">
                  <c:v>40533</c:v>
                </c:pt>
                <c:pt idx="245">
                  <c:v>40534</c:v>
                </c:pt>
                <c:pt idx="246">
                  <c:v>40535</c:v>
                </c:pt>
                <c:pt idx="247">
                  <c:v>40539</c:v>
                </c:pt>
                <c:pt idx="248">
                  <c:v>40540</c:v>
                </c:pt>
                <c:pt idx="249">
                  <c:v>40541</c:v>
                </c:pt>
                <c:pt idx="250">
                  <c:v>40542</c:v>
                </c:pt>
                <c:pt idx="251">
                  <c:v>40543</c:v>
                </c:pt>
                <c:pt idx="252">
                  <c:v>40546</c:v>
                </c:pt>
                <c:pt idx="253">
                  <c:v>40547</c:v>
                </c:pt>
                <c:pt idx="254">
                  <c:v>40548</c:v>
                </c:pt>
                <c:pt idx="255">
                  <c:v>40549</c:v>
                </c:pt>
                <c:pt idx="256">
                  <c:v>40550</c:v>
                </c:pt>
                <c:pt idx="257">
                  <c:v>40553</c:v>
                </c:pt>
                <c:pt idx="258">
                  <c:v>40554</c:v>
                </c:pt>
                <c:pt idx="259">
                  <c:v>40555</c:v>
                </c:pt>
                <c:pt idx="260">
                  <c:v>40556</c:v>
                </c:pt>
                <c:pt idx="261">
                  <c:v>40557</c:v>
                </c:pt>
                <c:pt idx="262">
                  <c:v>40561</c:v>
                </c:pt>
                <c:pt idx="263">
                  <c:v>40562</c:v>
                </c:pt>
                <c:pt idx="264">
                  <c:v>40563</c:v>
                </c:pt>
                <c:pt idx="265">
                  <c:v>40564</c:v>
                </c:pt>
                <c:pt idx="266">
                  <c:v>40567</c:v>
                </c:pt>
                <c:pt idx="267">
                  <c:v>40568</c:v>
                </c:pt>
                <c:pt idx="268">
                  <c:v>40569</c:v>
                </c:pt>
                <c:pt idx="269">
                  <c:v>40570</c:v>
                </c:pt>
                <c:pt idx="270">
                  <c:v>40571</c:v>
                </c:pt>
                <c:pt idx="271">
                  <c:v>40574</c:v>
                </c:pt>
                <c:pt idx="272">
                  <c:v>40575</c:v>
                </c:pt>
                <c:pt idx="273">
                  <c:v>40576</c:v>
                </c:pt>
                <c:pt idx="274">
                  <c:v>40577</c:v>
                </c:pt>
                <c:pt idx="275">
                  <c:v>40578</c:v>
                </c:pt>
                <c:pt idx="276">
                  <c:v>40581</c:v>
                </c:pt>
                <c:pt idx="277">
                  <c:v>40582</c:v>
                </c:pt>
                <c:pt idx="278">
                  <c:v>40583</c:v>
                </c:pt>
                <c:pt idx="279">
                  <c:v>40584</c:v>
                </c:pt>
                <c:pt idx="280">
                  <c:v>40585</c:v>
                </c:pt>
                <c:pt idx="281">
                  <c:v>40588</c:v>
                </c:pt>
                <c:pt idx="282">
                  <c:v>40589</c:v>
                </c:pt>
                <c:pt idx="283">
                  <c:v>40590</c:v>
                </c:pt>
                <c:pt idx="284">
                  <c:v>40591</c:v>
                </c:pt>
                <c:pt idx="285">
                  <c:v>40592</c:v>
                </c:pt>
                <c:pt idx="286">
                  <c:v>40596</c:v>
                </c:pt>
                <c:pt idx="287">
                  <c:v>40597</c:v>
                </c:pt>
                <c:pt idx="288">
                  <c:v>40598</c:v>
                </c:pt>
                <c:pt idx="289">
                  <c:v>40599</c:v>
                </c:pt>
                <c:pt idx="290">
                  <c:v>40602</c:v>
                </c:pt>
                <c:pt idx="291">
                  <c:v>40603</c:v>
                </c:pt>
                <c:pt idx="292">
                  <c:v>40604</c:v>
                </c:pt>
                <c:pt idx="293">
                  <c:v>40605</c:v>
                </c:pt>
                <c:pt idx="294">
                  <c:v>40606</c:v>
                </c:pt>
                <c:pt idx="295">
                  <c:v>40609</c:v>
                </c:pt>
                <c:pt idx="296">
                  <c:v>40610</c:v>
                </c:pt>
                <c:pt idx="297">
                  <c:v>40611</c:v>
                </c:pt>
                <c:pt idx="298">
                  <c:v>40612</c:v>
                </c:pt>
                <c:pt idx="299">
                  <c:v>40613</c:v>
                </c:pt>
                <c:pt idx="300">
                  <c:v>40616</c:v>
                </c:pt>
                <c:pt idx="301">
                  <c:v>40617</c:v>
                </c:pt>
                <c:pt idx="302">
                  <c:v>40618</c:v>
                </c:pt>
                <c:pt idx="303">
                  <c:v>40619</c:v>
                </c:pt>
                <c:pt idx="304">
                  <c:v>40620</c:v>
                </c:pt>
                <c:pt idx="305">
                  <c:v>40623</c:v>
                </c:pt>
                <c:pt idx="306">
                  <c:v>40624</c:v>
                </c:pt>
                <c:pt idx="307">
                  <c:v>40625</c:v>
                </c:pt>
                <c:pt idx="308">
                  <c:v>40626</c:v>
                </c:pt>
                <c:pt idx="309">
                  <c:v>40627</c:v>
                </c:pt>
                <c:pt idx="310">
                  <c:v>40630</c:v>
                </c:pt>
                <c:pt idx="311">
                  <c:v>40631</c:v>
                </c:pt>
                <c:pt idx="312">
                  <c:v>40632</c:v>
                </c:pt>
                <c:pt idx="313">
                  <c:v>40633</c:v>
                </c:pt>
                <c:pt idx="314">
                  <c:v>40634</c:v>
                </c:pt>
                <c:pt idx="315">
                  <c:v>40637</c:v>
                </c:pt>
                <c:pt idx="316">
                  <c:v>40638</c:v>
                </c:pt>
                <c:pt idx="317">
                  <c:v>40639</c:v>
                </c:pt>
                <c:pt idx="318">
                  <c:v>40640</c:v>
                </c:pt>
                <c:pt idx="319">
                  <c:v>40641</c:v>
                </c:pt>
                <c:pt idx="320">
                  <c:v>40644</c:v>
                </c:pt>
                <c:pt idx="321">
                  <c:v>40645</c:v>
                </c:pt>
                <c:pt idx="322">
                  <c:v>40646</c:v>
                </c:pt>
                <c:pt idx="323">
                  <c:v>40647</c:v>
                </c:pt>
                <c:pt idx="324">
                  <c:v>40648</c:v>
                </c:pt>
                <c:pt idx="325">
                  <c:v>40651</c:v>
                </c:pt>
                <c:pt idx="326">
                  <c:v>40652</c:v>
                </c:pt>
                <c:pt idx="327">
                  <c:v>40653</c:v>
                </c:pt>
                <c:pt idx="328">
                  <c:v>40654</c:v>
                </c:pt>
                <c:pt idx="329">
                  <c:v>40658</c:v>
                </c:pt>
                <c:pt idx="330">
                  <c:v>40659</c:v>
                </c:pt>
                <c:pt idx="331">
                  <c:v>40660</c:v>
                </c:pt>
                <c:pt idx="332">
                  <c:v>40661</c:v>
                </c:pt>
                <c:pt idx="333">
                  <c:v>40662</c:v>
                </c:pt>
                <c:pt idx="334">
                  <c:v>40665</c:v>
                </c:pt>
                <c:pt idx="335">
                  <c:v>40666</c:v>
                </c:pt>
                <c:pt idx="336">
                  <c:v>40667</c:v>
                </c:pt>
                <c:pt idx="337">
                  <c:v>40668</c:v>
                </c:pt>
                <c:pt idx="338">
                  <c:v>40669</c:v>
                </c:pt>
                <c:pt idx="339">
                  <c:v>40672</c:v>
                </c:pt>
                <c:pt idx="340">
                  <c:v>40673</c:v>
                </c:pt>
                <c:pt idx="341">
                  <c:v>40674</c:v>
                </c:pt>
                <c:pt idx="342">
                  <c:v>40675</c:v>
                </c:pt>
                <c:pt idx="343">
                  <c:v>40676</c:v>
                </c:pt>
                <c:pt idx="344">
                  <c:v>40679</c:v>
                </c:pt>
                <c:pt idx="345">
                  <c:v>40680</c:v>
                </c:pt>
                <c:pt idx="346">
                  <c:v>40681</c:v>
                </c:pt>
                <c:pt idx="347">
                  <c:v>40682</c:v>
                </c:pt>
                <c:pt idx="348">
                  <c:v>40683</c:v>
                </c:pt>
                <c:pt idx="349">
                  <c:v>40686</c:v>
                </c:pt>
                <c:pt idx="350">
                  <c:v>40687</c:v>
                </c:pt>
                <c:pt idx="351">
                  <c:v>40688</c:v>
                </c:pt>
                <c:pt idx="352">
                  <c:v>40689</c:v>
                </c:pt>
                <c:pt idx="353">
                  <c:v>40690</c:v>
                </c:pt>
                <c:pt idx="354">
                  <c:v>40694</c:v>
                </c:pt>
                <c:pt idx="355">
                  <c:v>40695</c:v>
                </c:pt>
                <c:pt idx="356">
                  <c:v>40696</c:v>
                </c:pt>
                <c:pt idx="357">
                  <c:v>40697</c:v>
                </c:pt>
                <c:pt idx="358">
                  <c:v>40700</c:v>
                </c:pt>
                <c:pt idx="359">
                  <c:v>40701</c:v>
                </c:pt>
                <c:pt idx="360">
                  <c:v>40702</c:v>
                </c:pt>
                <c:pt idx="361">
                  <c:v>40703</c:v>
                </c:pt>
                <c:pt idx="362">
                  <c:v>40704</c:v>
                </c:pt>
                <c:pt idx="363">
                  <c:v>40707</c:v>
                </c:pt>
                <c:pt idx="364">
                  <c:v>40708</c:v>
                </c:pt>
                <c:pt idx="365">
                  <c:v>40709</c:v>
                </c:pt>
                <c:pt idx="366">
                  <c:v>40710</c:v>
                </c:pt>
                <c:pt idx="367">
                  <c:v>40711</c:v>
                </c:pt>
                <c:pt idx="368">
                  <c:v>40714</c:v>
                </c:pt>
                <c:pt idx="369">
                  <c:v>40715</c:v>
                </c:pt>
                <c:pt idx="370">
                  <c:v>40716</c:v>
                </c:pt>
                <c:pt idx="371">
                  <c:v>40717</c:v>
                </c:pt>
                <c:pt idx="372">
                  <c:v>40718</c:v>
                </c:pt>
                <c:pt idx="373">
                  <c:v>40721</c:v>
                </c:pt>
                <c:pt idx="374">
                  <c:v>40722</c:v>
                </c:pt>
                <c:pt idx="375">
                  <c:v>40723</c:v>
                </c:pt>
                <c:pt idx="376">
                  <c:v>40724</c:v>
                </c:pt>
                <c:pt idx="377">
                  <c:v>40725</c:v>
                </c:pt>
                <c:pt idx="378">
                  <c:v>40729</c:v>
                </c:pt>
                <c:pt idx="379">
                  <c:v>40730</c:v>
                </c:pt>
                <c:pt idx="380">
                  <c:v>40731</c:v>
                </c:pt>
                <c:pt idx="381">
                  <c:v>40732</c:v>
                </c:pt>
                <c:pt idx="382">
                  <c:v>40735</c:v>
                </c:pt>
                <c:pt idx="383">
                  <c:v>40736</c:v>
                </c:pt>
                <c:pt idx="384">
                  <c:v>40737</c:v>
                </c:pt>
                <c:pt idx="385">
                  <c:v>40738</c:v>
                </c:pt>
                <c:pt idx="386">
                  <c:v>40739</c:v>
                </c:pt>
                <c:pt idx="387">
                  <c:v>40742</c:v>
                </c:pt>
                <c:pt idx="388">
                  <c:v>40743</c:v>
                </c:pt>
                <c:pt idx="389">
                  <c:v>40744</c:v>
                </c:pt>
                <c:pt idx="390">
                  <c:v>40745</c:v>
                </c:pt>
                <c:pt idx="391">
                  <c:v>40746</c:v>
                </c:pt>
                <c:pt idx="392">
                  <c:v>40749</c:v>
                </c:pt>
                <c:pt idx="393">
                  <c:v>40750</c:v>
                </c:pt>
                <c:pt idx="394">
                  <c:v>40751</c:v>
                </c:pt>
                <c:pt idx="395">
                  <c:v>40752</c:v>
                </c:pt>
                <c:pt idx="396">
                  <c:v>40753</c:v>
                </c:pt>
                <c:pt idx="397">
                  <c:v>40756</c:v>
                </c:pt>
                <c:pt idx="398">
                  <c:v>40757</c:v>
                </c:pt>
                <c:pt idx="399">
                  <c:v>40758</c:v>
                </c:pt>
                <c:pt idx="400">
                  <c:v>40759</c:v>
                </c:pt>
                <c:pt idx="401">
                  <c:v>40760</c:v>
                </c:pt>
                <c:pt idx="402">
                  <c:v>40763</c:v>
                </c:pt>
                <c:pt idx="403">
                  <c:v>40764</c:v>
                </c:pt>
                <c:pt idx="404">
                  <c:v>40765</c:v>
                </c:pt>
                <c:pt idx="405">
                  <c:v>40766</c:v>
                </c:pt>
                <c:pt idx="406">
                  <c:v>40767</c:v>
                </c:pt>
                <c:pt idx="407">
                  <c:v>40770</c:v>
                </c:pt>
                <c:pt idx="408">
                  <c:v>40771</c:v>
                </c:pt>
                <c:pt idx="409">
                  <c:v>40772</c:v>
                </c:pt>
                <c:pt idx="410">
                  <c:v>40773</c:v>
                </c:pt>
                <c:pt idx="411">
                  <c:v>40774</c:v>
                </c:pt>
                <c:pt idx="412">
                  <c:v>40777</c:v>
                </c:pt>
                <c:pt idx="413">
                  <c:v>40778</c:v>
                </c:pt>
                <c:pt idx="414">
                  <c:v>40779</c:v>
                </c:pt>
                <c:pt idx="415">
                  <c:v>40780</c:v>
                </c:pt>
                <c:pt idx="416">
                  <c:v>40781</c:v>
                </c:pt>
                <c:pt idx="417">
                  <c:v>40784</c:v>
                </c:pt>
                <c:pt idx="418">
                  <c:v>40785</c:v>
                </c:pt>
                <c:pt idx="419">
                  <c:v>40786</c:v>
                </c:pt>
                <c:pt idx="420">
                  <c:v>40787</c:v>
                </c:pt>
                <c:pt idx="421">
                  <c:v>40788</c:v>
                </c:pt>
                <c:pt idx="422">
                  <c:v>40792</c:v>
                </c:pt>
                <c:pt idx="423">
                  <c:v>40793</c:v>
                </c:pt>
                <c:pt idx="424">
                  <c:v>40794</c:v>
                </c:pt>
                <c:pt idx="425">
                  <c:v>40795</c:v>
                </c:pt>
                <c:pt idx="426">
                  <c:v>40798</c:v>
                </c:pt>
                <c:pt idx="427">
                  <c:v>40799</c:v>
                </c:pt>
                <c:pt idx="428">
                  <c:v>40800</c:v>
                </c:pt>
                <c:pt idx="429">
                  <c:v>40801</c:v>
                </c:pt>
                <c:pt idx="430">
                  <c:v>40802</c:v>
                </c:pt>
                <c:pt idx="431">
                  <c:v>40805</c:v>
                </c:pt>
                <c:pt idx="432">
                  <c:v>40806</c:v>
                </c:pt>
                <c:pt idx="433">
                  <c:v>40807</c:v>
                </c:pt>
                <c:pt idx="434">
                  <c:v>40808</c:v>
                </c:pt>
                <c:pt idx="435">
                  <c:v>40809</c:v>
                </c:pt>
                <c:pt idx="436">
                  <c:v>40812</c:v>
                </c:pt>
                <c:pt idx="437">
                  <c:v>40813</c:v>
                </c:pt>
                <c:pt idx="438">
                  <c:v>40814</c:v>
                </c:pt>
                <c:pt idx="439">
                  <c:v>40815</c:v>
                </c:pt>
                <c:pt idx="440">
                  <c:v>40816</c:v>
                </c:pt>
                <c:pt idx="441">
                  <c:v>40819</c:v>
                </c:pt>
                <c:pt idx="442">
                  <c:v>40820</c:v>
                </c:pt>
                <c:pt idx="443">
                  <c:v>40821</c:v>
                </c:pt>
                <c:pt idx="444">
                  <c:v>40822</c:v>
                </c:pt>
                <c:pt idx="445">
                  <c:v>40823</c:v>
                </c:pt>
                <c:pt idx="446">
                  <c:v>40826</c:v>
                </c:pt>
                <c:pt idx="447">
                  <c:v>40827</c:v>
                </c:pt>
                <c:pt idx="448">
                  <c:v>40828</c:v>
                </c:pt>
                <c:pt idx="449">
                  <c:v>40829</c:v>
                </c:pt>
                <c:pt idx="450">
                  <c:v>40830</c:v>
                </c:pt>
                <c:pt idx="451">
                  <c:v>40833</c:v>
                </c:pt>
                <c:pt idx="452">
                  <c:v>40834</c:v>
                </c:pt>
                <c:pt idx="453">
                  <c:v>40835</c:v>
                </c:pt>
                <c:pt idx="454">
                  <c:v>40836</c:v>
                </c:pt>
                <c:pt idx="455">
                  <c:v>40837</c:v>
                </c:pt>
                <c:pt idx="456">
                  <c:v>40840</c:v>
                </c:pt>
                <c:pt idx="457">
                  <c:v>40841</c:v>
                </c:pt>
                <c:pt idx="458">
                  <c:v>40842</c:v>
                </c:pt>
                <c:pt idx="459">
                  <c:v>40843</c:v>
                </c:pt>
                <c:pt idx="460">
                  <c:v>40844</c:v>
                </c:pt>
                <c:pt idx="461">
                  <c:v>40847</c:v>
                </c:pt>
                <c:pt idx="462">
                  <c:v>40848</c:v>
                </c:pt>
                <c:pt idx="463">
                  <c:v>40849</c:v>
                </c:pt>
                <c:pt idx="464">
                  <c:v>40850</c:v>
                </c:pt>
                <c:pt idx="465">
                  <c:v>40851</c:v>
                </c:pt>
                <c:pt idx="466">
                  <c:v>40854</c:v>
                </c:pt>
                <c:pt idx="467">
                  <c:v>40855</c:v>
                </c:pt>
                <c:pt idx="468">
                  <c:v>40856</c:v>
                </c:pt>
                <c:pt idx="469">
                  <c:v>40857</c:v>
                </c:pt>
                <c:pt idx="470">
                  <c:v>40858</c:v>
                </c:pt>
                <c:pt idx="471">
                  <c:v>40861</c:v>
                </c:pt>
                <c:pt idx="472">
                  <c:v>40862</c:v>
                </c:pt>
                <c:pt idx="473">
                  <c:v>40863</c:v>
                </c:pt>
                <c:pt idx="474">
                  <c:v>40864</c:v>
                </c:pt>
                <c:pt idx="475">
                  <c:v>40865</c:v>
                </c:pt>
                <c:pt idx="476">
                  <c:v>40868</c:v>
                </c:pt>
                <c:pt idx="477">
                  <c:v>40869</c:v>
                </c:pt>
                <c:pt idx="478">
                  <c:v>40870</c:v>
                </c:pt>
                <c:pt idx="479">
                  <c:v>40872</c:v>
                </c:pt>
                <c:pt idx="480">
                  <c:v>40875</c:v>
                </c:pt>
                <c:pt idx="481">
                  <c:v>40876</c:v>
                </c:pt>
                <c:pt idx="482">
                  <c:v>40877</c:v>
                </c:pt>
                <c:pt idx="483">
                  <c:v>40878</c:v>
                </c:pt>
                <c:pt idx="484">
                  <c:v>40879</c:v>
                </c:pt>
                <c:pt idx="485">
                  <c:v>40882</c:v>
                </c:pt>
                <c:pt idx="486">
                  <c:v>40883</c:v>
                </c:pt>
                <c:pt idx="487">
                  <c:v>40884</c:v>
                </c:pt>
                <c:pt idx="488">
                  <c:v>40885</c:v>
                </c:pt>
                <c:pt idx="489">
                  <c:v>40886</c:v>
                </c:pt>
                <c:pt idx="490">
                  <c:v>40889</c:v>
                </c:pt>
                <c:pt idx="491">
                  <c:v>40890</c:v>
                </c:pt>
                <c:pt idx="492">
                  <c:v>40891</c:v>
                </c:pt>
                <c:pt idx="493">
                  <c:v>40892</c:v>
                </c:pt>
                <c:pt idx="494">
                  <c:v>40893</c:v>
                </c:pt>
                <c:pt idx="495">
                  <c:v>40896</c:v>
                </c:pt>
                <c:pt idx="496">
                  <c:v>40897</c:v>
                </c:pt>
                <c:pt idx="497">
                  <c:v>40898</c:v>
                </c:pt>
                <c:pt idx="498">
                  <c:v>40899</c:v>
                </c:pt>
                <c:pt idx="499">
                  <c:v>40900</c:v>
                </c:pt>
                <c:pt idx="500">
                  <c:v>40904</c:v>
                </c:pt>
                <c:pt idx="501">
                  <c:v>40905</c:v>
                </c:pt>
                <c:pt idx="502">
                  <c:v>40906</c:v>
                </c:pt>
                <c:pt idx="503">
                  <c:v>40907</c:v>
                </c:pt>
                <c:pt idx="504">
                  <c:v>40911</c:v>
                </c:pt>
                <c:pt idx="505">
                  <c:v>40912</c:v>
                </c:pt>
                <c:pt idx="506">
                  <c:v>40913</c:v>
                </c:pt>
                <c:pt idx="507">
                  <c:v>40914</c:v>
                </c:pt>
                <c:pt idx="508">
                  <c:v>40917</c:v>
                </c:pt>
                <c:pt idx="509">
                  <c:v>40918</c:v>
                </c:pt>
                <c:pt idx="510">
                  <c:v>40919</c:v>
                </c:pt>
                <c:pt idx="511">
                  <c:v>40920</c:v>
                </c:pt>
                <c:pt idx="512">
                  <c:v>40921</c:v>
                </c:pt>
                <c:pt idx="513">
                  <c:v>40925</c:v>
                </c:pt>
                <c:pt idx="514">
                  <c:v>40926</c:v>
                </c:pt>
                <c:pt idx="515">
                  <c:v>40927</c:v>
                </c:pt>
                <c:pt idx="516">
                  <c:v>40928</c:v>
                </c:pt>
                <c:pt idx="517">
                  <c:v>40931</c:v>
                </c:pt>
                <c:pt idx="518">
                  <c:v>40932</c:v>
                </c:pt>
                <c:pt idx="519">
                  <c:v>40933</c:v>
                </c:pt>
                <c:pt idx="520">
                  <c:v>40934</c:v>
                </c:pt>
                <c:pt idx="521">
                  <c:v>40935</c:v>
                </c:pt>
                <c:pt idx="522">
                  <c:v>40938</c:v>
                </c:pt>
                <c:pt idx="523">
                  <c:v>40939</c:v>
                </c:pt>
                <c:pt idx="524">
                  <c:v>40940</c:v>
                </c:pt>
                <c:pt idx="525">
                  <c:v>40941</c:v>
                </c:pt>
                <c:pt idx="526">
                  <c:v>40942</c:v>
                </c:pt>
                <c:pt idx="527">
                  <c:v>40945</c:v>
                </c:pt>
                <c:pt idx="528">
                  <c:v>40946</c:v>
                </c:pt>
                <c:pt idx="529">
                  <c:v>40947</c:v>
                </c:pt>
                <c:pt idx="530">
                  <c:v>40948</c:v>
                </c:pt>
                <c:pt idx="531">
                  <c:v>40949</c:v>
                </c:pt>
                <c:pt idx="532">
                  <c:v>40952</c:v>
                </c:pt>
                <c:pt idx="533">
                  <c:v>40953</c:v>
                </c:pt>
                <c:pt idx="534">
                  <c:v>40954</c:v>
                </c:pt>
                <c:pt idx="535">
                  <c:v>40955</c:v>
                </c:pt>
                <c:pt idx="536">
                  <c:v>40956</c:v>
                </c:pt>
                <c:pt idx="537">
                  <c:v>40960</c:v>
                </c:pt>
                <c:pt idx="538">
                  <c:v>40961</c:v>
                </c:pt>
                <c:pt idx="539">
                  <c:v>40962</c:v>
                </c:pt>
                <c:pt idx="540">
                  <c:v>40963</c:v>
                </c:pt>
                <c:pt idx="541">
                  <c:v>40966</c:v>
                </c:pt>
                <c:pt idx="542">
                  <c:v>40967</c:v>
                </c:pt>
                <c:pt idx="543">
                  <c:v>40968</c:v>
                </c:pt>
                <c:pt idx="544">
                  <c:v>40969</c:v>
                </c:pt>
                <c:pt idx="545">
                  <c:v>40970</c:v>
                </c:pt>
                <c:pt idx="546">
                  <c:v>40973</c:v>
                </c:pt>
                <c:pt idx="547">
                  <c:v>40974</c:v>
                </c:pt>
                <c:pt idx="548">
                  <c:v>40975</c:v>
                </c:pt>
                <c:pt idx="549">
                  <c:v>40976</c:v>
                </c:pt>
                <c:pt idx="550">
                  <c:v>40977</c:v>
                </c:pt>
                <c:pt idx="551">
                  <c:v>40980</c:v>
                </c:pt>
                <c:pt idx="552">
                  <c:v>40981</c:v>
                </c:pt>
                <c:pt idx="553">
                  <c:v>40982</c:v>
                </c:pt>
                <c:pt idx="554">
                  <c:v>40983</c:v>
                </c:pt>
                <c:pt idx="555">
                  <c:v>40984</c:v>
                </c:pt>
                <c:pt idx="556">
                  <c:v>40987</c:v>
                </c:pt>
                <c:pt idx="557">
                  <c:v>40988</c:v>
                </c:pt>
                <c:pt idx="558">
                  <c:v>40989</c:v>
                </c:pt>
                <c:pt idx="559">
                  <c:v>40990</c:v>
                </c:pt>
                <c:pt idx="560">
                  <c:v>40991</c:v>
                </c:pt>
                <c:pt idx="561">
                  <c:v>40994</c:v>
                </c:pt>
                <c:pt idx="562">
                  <c:v>40995</c:v>
                </c:pt>
                <c:pt idx="563">
                  <c:v>40996</c:v>
                </c:pt>
                <c:pt idx="564">
                  <c:v>40997</c:v>
                </c:pt>
                <c:pt idx="565">
                  <c:v>40998</c:v>
                </c:pt>
                <c:pt idx="566">
                  <c:v>41001</c:v>
                </c:pt>
                <c:pt idx="567">
                  <c:v>41002</c:v>
                </c:pt>
                <c:pt idx="568">
                  <c:v>41003</c:v>
                </c:pt>
                <c:pt idx="569">
                  <c:v>41004</c:v>
                </c:pt>
                <c:pt idx="570">
                  <c:v>41008</c:v>
                </c:pt>
                <c:pt idx="571">
                  <c:v>41009</c:v>
                </c:pt>
                <c:pt idx="572">
                  <c:v>41010</c:v>
                </c:pt>
                <c:pt idx="573">
                  <c:v>41011</c:v>
                </c:pt>
                <c:pt idx="574">
                  <c:v>41012</c:v>
                </c:pt>
                <c:pt idx="575">
                  <c:v>41015</c:v>
                </c:pt>
                <c:pt idx="576">
                  <c:v>41016</c:v>
                </c:pt>
                <c:pt idx="577">
                  <c:v>41017</c:v>
                </c:pt>
                <c:pt idx="578">
                  <c:v>41018</c:v>
                </c:pt>
                <c:pt idx="579">
                  <c:v>41019</c:v>
                </c:pt>
                <c:pt idx="580">
                  <c:v>41022</c:v>
                </c:pt>
                <c:pt idx="581">
                  <c:v>41023</c:v>
                </c:pt>
                <c:pt idx="582">
                  <c:v>41024</c:v>
                </c:pt>
                <c:pt idx="583">
                  <c:v>41025</c:v>
                </c:pt>
                <c:pt idx="584">
                  <c:v>41026</c:v>
                </c:pt>
                <c:pt idx="585">
                  <c:v>41029</c:v>
                </c:pt>
                <c:pt idx="586">
                  <c:v>41030</c:v>
                </c:pt>
                <c:pt idx="587">
                  <c:v>41031</c:v>
                </c:pt>
                <c:pt idx="588">
                  <c:v>41032</c:v>
                </c:pt>
                <c:pt idx="589">
                  <c:v>41033</c:v>
                </c:pt>
                <c:pt idx="590">
                  <c:v>41036</c:v>
                </c:pt>
                <c:pt idx="591">
                  <c:v>41037</c:v>
                </c:pt>
                <c:pt idx="592">
                  <c:v>41038</c:v>
                </c:pt>
                <c:pt idx="593">
                  <c:v>41039</c:v>
                </c:pt>
                <c:pt idx="594">
                  <c:v>41040</c:v>
                </c:pt>
                <c:pt idx="595">
                  <c:v>41043</c:v>
                </c:pt>
                <c:pt idx="596">
                  <c:v>41044</c:v>
                </c:pt>
                <c:pt idx="597">
                  <c:v>41045</c:v>
                </c:pt>
                <c:pt idx="598">
                  <c:v>41046</c:v>
                </c:pt>
                <c:pt idx="599">
                  <c:v>41047</c:v>
                </c:pt>
                <c:pt idx="600">
                  <c:v>41050</c:v>
                </c:pt>
                <c:pt idx="601">
                  <c:v>41051</c:v>
                </c:pt>
                <c:pt idx="602">
                  <c:v>41052</c:v>
                </c:pt>
                <c:pt idx="603">
                  <c:v>41053</c:v>
                </c:pt>
                <c:pt idx="604">
                  <c:v>41054</c:v>
                </c:pt>
                <c:pt idx="605">
                  <c:v>41058</c:v>
                </c:pt>
                <c:pt idx="606">
                  <c:v>41059</c:v>
                </c:pt>
                <c:pt idx="607">
                  <c:v>41060</c:v>
                </c:pt>
                <c:pt idx="608">
                  <c:v>41061</c:v>
                </c:pt>
                <c:pt idx="609">
                  <c:v>41064</c:v>
                </c:pt>
                <c:pt idx="610">
                  <c:v>41065</c:v>
                </c:pt>
                <c:pt idx="611">
                  <c:v>41066</c:v>
                </c:pt>
                <c:pt idx="612">
                  <c:v>41067</c:v>
                </c:pt>
                <c:pt idx="613">
                  <c:v>41068</c:v>
                </c:pt>
                <c:pt idx="614">
                  <c:v>41071</c:v>
                </c:pt>
                <c:pt idx="615">
                  <c:v>41072</c:v>
                </c:pt>
                <c:pt idx="616">
                  <c:v>41073</c:v>
                </c:pt>
                <c:pt idx="617">
                  <c:v>41074</c:v>
                </c:pt>
                <c:pt idx="618">
                  <c:v>41075</c:v>
                </c:pt>
                <c:pt idx="619">
                  <c:v>41078</c:v>
                </c:pt>
                <c:pt idx="620">
                  <c:v>41079</c:v>
                </c:pt>
                <c:pt idx="621">
                  <c:v>41080</c:v>
                </c:pt>
                <c:pt idx="622">
                  <c:v>41081</c:v>
                </c:pt>
                <c:pt idx="623">
                  <c:v>41082</c:v>
                </c:pt>
                <c:pt idx="624">
                  <c:v>41085</c:v>
                </c:pt>
                <c:pt idx="625">
                  <c:v>41086</c:v>
                </c:pt>
                <c:pt idx="626">
                  <c:v>41087</c:v>
                </c:pt>
                <c:pt idx="627">
                  <c:v>41088</c:v>
                </c:pt>
                <c:pt idx="628">
                  <c:v>41089</c:v>
                </c:pt>
                <c:pt idx="629">
                  <c:v>41092</c:v>
                </c:pt>
                <c:pt idx="630">
                  <c:v>41093</c:v>
                </c:pt>
                <c:pt idx="631">
                  <c:v>41095</c:v>
                </c:pt>
                <c:pt idx="632">
                  <c:v>41096</c:v>
                </c:pt>
                <c:pt idx="633">
                  <c:v>41099</c:v>
                </c:pt>
                <c:pt idx="634">
                  <c:v>41100</c:v>
                </c:pt>
                <c:pt idx="635">
                  <c:v>41101</c:v>
                </c:pt>
                <c:pt idx="636">
                  <c:v>41102</c:v>
                </c:pt>
                <c:pt idx="637">
                  <c:v>41103</c:v>
                </c:pt>
                <c:pt idx="638">
                  <c:v>41106</c:v>
                </c:pt>
                <c:pt idx="639">
                  <c:v>41107</c:v>
                </c:pt>
                <c:pt idx="640">
                  <c:v>41108</c:v>
                </c:pt>
                <c:pt idx="641">
                  <c:v>41109</c:v>
                </c:pt>
                <c:pt idx="642">
                  <c:v>41110</c:v>
                </c:pt>
                <c:pt idx="643">
                  <c:v>41113</c:v>
                </c:pt>
                <c:pt idx="644">
                  <c:v>41114</c:v>
                </c:pt>
                <c:pt idx="645">
                  <c:v>41115</c:v>
                </c:pt>
                <c:pt idx="646">
                  <c:v>41116</c:v>
                </c:pt>
                <c:pt idx="647">
                  <c:v>41117</c:v>
                </c:pt>
                <c:pt idx="648">
                  <c:v>41120</c:v>
                </c:pt>
                <c:pt idx="649">
                  <c:v>41121</c:v>
                </c:pt>
                <c:pt idx="650">
                  <c:v>41122</c:v>
                </c:pt>
                <c:pt idx="651">
                  <c:v>41123</c:v>
                </c:pt>
                <c:pt idx="652">
                  <c:v>41124</c:v>
                </c:pt>
                <c:pt idx="653">
                  <c:v>41127</c:v>
                </c:pt>
                <c:pt idx="654">
                  <c:v>41128</c:v>
                </c:pt>
                <c:pt idx="655">
                  <c:v>41129</c:v>
                </c:pt>
                <c:pt idx="656">
                  <c:v>41130</c:v>
                </c:pt>
                <c:pt idx="657">
                  <c:v>41131</c:v>
                </c:pt>
                <c:pt idx="658">
                  <c:v>41134</c:v>
                </c:pt>
                <c:pt idx="659">
                  <c:v>41135</c:v>
                </c:pt>
                <c:pt idx="660">
                  <c:v>41136</c:v>
                </c:pt>
                <c:pt idx="661">
                  <c:v>41137</c:v>
                </c:pt>
                <c:pt idx="662">
                  <c:v>41138</c:v>
                </c:pt>
                <c:pt idx="663">
                  <c:v>41141</c:v>
                </c:pt>
                <c:pt idx="664">
                  <c:v>41142</c:v>
                </c:pt>
                <c:pt idx="665">
                  <c:v>41143</c:v>
                </c:pt>
                <c:pt idx="666">
                  <c:v>41144</c:v>
                </c:pt>
                <c:pt idx="667">
                  <c:v>41145</c:v>
                </c:pt>
                <c:pt idx="668">
                  <c:v>41148</c:v>
                </c:pt>
                <c:pt idx="669">
                  <c:v>41149</c:v>
                </c:pt>
                <c:pt idx="670">
                  <c:v>41150</c:v>
                </c:pt>
                <c:pt idx="671">
                  <c:v>41151</c:v>
                </c:pt>
                <c:pt idx="672">
                  <c:v>41152</c:v>
                </c:pt>
                <c:pt idx="673">
                  <c:v>41156</c:v>
                </c:pt>
                <c:pt idx="674">
                  <c:v>41157</c:v>
                </c:pt>
                <c:pt idx="675">
                  <c:v>41158</c:v>
                </c:pt>
                <c:pt idx="676">
                  <c:v>41159</c:v>
                </c:pt>
                <c:pt idx="677">
                  <c:v>41162</c:v>
                </c:pt>
                <c:pt idx="678">
                  <c:v>41163</c:v>
                </c:pt>
                <c:pt idx="679">
                  <c:v>41164</c:v>
                </c:pt>
                <c:pt idx="680">
                  <c:v>41165</c:v>
                </c:pt>
                <c:pt idx="681">
                  <c:v>41166</c:v>
                </c:pt>
                <c:pt idx="682">
                  <c:v>41169</c:v>
                </c:pt>
                <c:pt idx="683">
                  <c:v>41170</c:v>
                </c:pt>
                <c:pt idx="684">
                  <c:v>41171</c:v>
                </c:pt>
                <c:pt idx="685">
                  <c:v>41172</c:v>
                </c:pt>
                <c:pt idx="686">
                  <c:v>41173</c:v>
                </c:pt>
                <c:pt idx="687">
                  <c:v>41176</c:v>
                </c:pt>
                <c:pt idx="688">
                  <c:v>41177</c:v>
                </c:pt>
                <c:pt idx="689">
                  <c:v>41178</c:v>
                </c:pt>
                <c:pt idx="690">
                  <c:v>41179</c:v>
                </c:pt>
                <c:pt idx="691">
                  <c:v>41180</c:v>
                </c:pt>
                <c:pt idx="692">
                  <c:v>41183</c:v>
                </c:pt>
                <c:pt idx="693">
                  <c:v>41184</c:v>
                </c:pt>
                <c:pt idx="694">
                  <c:v>41185</c:v>
                </c:pt>
                <c:pt idx="695">
                  <c:v>41186</c:v>
                </c:pt>
                <c:pt idx="696">
                  <c:v>41187</c:v>
                </c:pt>
                <c:pt idx="697">
                  <c:v>41190</c:v>
                </c:pt>
                <c:pt idx="698">
                  <c:v>41191</c:v>
                </c:pt>
                <c:pt idx="699">
                  <c:v>41192</c:v>
                </c:pt>
                <c:pt idx="700">
                  <c:v>41193</c:v>
                </c:pt>
                <c:pt idx="701">
                  <c:v>41194</c:v>
                </c:pt>
                <c:pt idx="702">
                  <c:v>41197</c:v>
                </c:pt>
                <c:pt idx="703">
                  <c:v>41198</c:v>
                </c:pt>
                <c:pt idx="704">
                  <c:v>41199</c:v>
                </c:pt>
                <c:pt idx="705">
                  <c:v>41200</c:v>
                </c:pt>
                <c:pt idx="706">
                  <c:v>41201</c:v>
                </c:pt>
                <c:pt idx="707">
                  <c:v>41204</c:v>
                </c:pt>
                <c:pt idx="708">
                  <c:v>41205</c:v>
                </c:pt>
                <c:pt idx="709">
                  <c:v>41206</c:v>
                </c:pt>
                <c:pt idx="710">
                  <c:v>41207</c:v>
                </c:pt>
                <c:pt idx="711">
                  <c:v>41208</c:v>
                </c:pt>
                <c:pt idx="712">
                  <c:v>41213</c:v>
                </c:pt>
                <c:pt idx="713">
                  <c:v>41214</c:v>
                </c:pt>
                <c:pt idx="714">
                  <c:v>41215</c:v>
                </c:pt>
                <c:pt idx="715">
                  <c:v>41218</c:v>
                </c:pt>
                <c:pt idx="716">
                  <c:v>41219</c:v>
                </c:pt>
                <c:pt idx="717">
                  <c:v>41220</c:v>
                </c:pt>
                <c:pt idx="718">
                  <c:v>41221</c:v>
                </c:pt>
                <c:pt idx="719">
                  <c:v>41222</c:v>
                </c:pt>
                <c:pt idx="720">
                  <c:v>41225</c:v>
                </c:pt>
                <c:pt idx="721">
                  <c:v>41226</c:v>
                </c:pt>
                <c:pt idx="722">
                  <c:v>41227</c:v>
                </c:pt>
                <c:pt idx="723">
                  <c:v>41228</c:v>
                </c:pt>
                <c:pt idx="724">
                  <c:v>41229</c:v>
                </c:pt>
                <c:pt idx="725">
                  <c:v>41232</c:v>
                </c:pt>
                <c:pt idx="726">
                  <c:v>41233</c:v>
                </c:pt>
                <c:pt idx="727">
                  <c:v>41234</c:v>
                </c:pt>
                <c:pt idx="728">
                  <c:v>41236</c:v>
                </c:pt>
                <c:pt idx="729">
                  <c:v>41239</c:v>
                </c:pt>
                <c:pt idx="730">
                  <c:v>41240</c:v>
                </c:pt>
                <c:pt idx="731">
                  <c:v>41241</c:v>
                </c:pt>
                <c:pt idx="732">
                  <c:v>41242</c:v>
                </c:pt>
                <c:pt idx="733">
                  <c:v>41243</c:v>
                </c:pt>
                <c:pt idx="734">
                  <c:v>41246</c:v>
                </c:pt>
                <c:pt idx="735">
                  <c:v>41247</c:v>
                </c:pt>
                <c:pt idx="736">
                  <c:v>41248</c:v>
                </c:pt>
                <c:pt idx="737">
                  <c:v>41249</c:v>
                </c:pt>
                <c:pt idx="738">
                  <c:v>41250</c:v>
                </c:pt>
                <c:pt idx="739">
                  <c:v>41253</c:v>
                </c:pt>
                <c:pt idx="740">
                  <c:v>41254</c:v>
                </c:pt>
                <c:pt idx="741">
                  <c:v>41255</c:v>
                </c:pt>
                <c:pt idx="742">
                  <c:v>41256</c:v>
                </c:pt>
                <c:pt idx="743">
                  <c:v>41257</c:v>
                </c:pt>
                <c:pt idx="744">
                  <c:v>41260</c:v>
                </c:pt>
                <c:pt idx="745">
                  <c:v>41261</c:v>
                </c:pt>
                <c:pt idx="746">
                  <c:v>41262</c:v>
                </c:pt>
                <c:pt idx="747">
                  <c:v>41263</c:v>
                </c:pt>
                <c:pt idx="748">
                  <c:v>41264</c:v>
                </c:pt>
                <c:pt idx="749">
                  <c:v>41267</c:v>
                </c:pt>
                <c:pt idx="750">
                  <c:v>41269</c:v>
                </c:pt>
                <c:pt idx="751">
                  <c:v>41270</c:v>
                </c:pt>
                <c:pt idx="752">
                  <c:v>41271</c:v>
                </c:pt>
                <c:pt idx="753">
                  <c:v>41274</c:v>
                </c:pt>
                <c:pt idx="754">
                  <c:v>41276</c:v>
                </c:pt>
                <c:pt idx="755">
                  <c:v>41277</c:v>
                </c:pt>
                <c:pt idx="756">
                  <c:v>41278</c:v>
                </c:pt>
                <c:pt idx="757">
                  <c:v>41281</c:v>
                </c:pt>
                <c:pt idx="758">
                  <c:v>41282</c:v>
                </c:pt>
                <c:pt idx="759">
                  <c:v>41283</c:v>
                </c:pt>
                <c:pt idx="760">
                  <c:v>41284</c:v>
                </c:pt>
                <c:pt idx="761">
                  <c:v>41285</c:v>
                </c:pt>
                <c:pt idx="762">
                  <c:v>41288</c:v>
                </c:pt>
                <c:pt idx="763">
                  <c:v>41289</c:v>
                </c:pt>
                <c:pt idx="764">
                  <c:v>41290</c:v>
                </c:pt>
                <c:pt idx="765">
                  <c:v>41291</c:v>
                </c:pt>
                <c:pt idx="766">
                  <c:v>41292</c:v>
                </c:pt>
                <c:pt idx="767">
                  <c:v>41296</c:v>
                </c:pt>
                <c:pt idx="768">
                  <c:v>41297</c:v>
                </c:pt>
                <c:pt idx="769">
                  <c:v>41298</c:v>
                </c:pt>
                <c:pt idx="770">
                  <c:v>41299</c:v>
                </c:pt>
                <c:pt idx="771">
                  <c:v>41302</c:v>
                </c:pt>
                <c:pt idx="772">
                  <c:v>41303</c:v>
                </c:pt>
                <c:pt idx="773">
                  <c:v>41304</c:v>
                </c:pt>
                <c:pt idx="774">
                  <c:v>41305</c:v>
                </c:pt>
                <c:pt idx="775">
                  <c:v>41306</c:v>
                </c:pt>
                <c:pt idx="776">
                  <c:v>41309</c:v>
                </c:pt>
                <c:pt idx="777">
                  <c:v>41310</c:v>
                </c:pt>
                <c:pt idx="778">
                  <c:v>41311</c:v>
                </c:pt>
                <c:pt idx="779">
                  <c:v>41312</c:v>
                </c:pt>
                <c:pt idx="780">
                  <c:v>41313</c:v>
                </c:pt>
                <c:pt idx="781">
                  <c:v>41316</c:v>
                </c:pt>
                <c:pt idx="782">
                  <c:v>41317</c:v>
                </c:pt>
                <c:pt idx="783">
                  <c:v>41318</c:v>
                </c:pt>
                <c:pt idx="784">
                  <c:v>41319</c:v>
                </c:pt>
                <c:pt idx="785">
                  <c:v>41320</c:v>
                </c:pt>
                <c:pt idx="786">
                  <c:v>41324</c:v>
                </c:pt>
                <c:pt idx="787">
                  <c:v>41325</c:v>
                </c:pt>
                <c:pt idx="788">
                  <c:v>41326</c:v>
                </c:pt>
                <c:pt idx="789">
                  <c:v>41327</c:v>
                </c:pt>
                <c:pt idx="790">
                  <c:v>41330</c:v>
                </c:pt>
                <c:pt idx="791">
                  <c:v>41331</c:v>
                </c:pt>
                <c:pt idx="792">
                  <c:v>41332</c:v>
                </c:pt>
                <c:pt idx="793">
                  <c:v>41333</c:v>
                </c:pt>
                <c:pt idx="794">
                  <c:v>41334</c:v>
                </c:pt>
                <c:pt idx="795">
                  <c:v>41337</c:v>
                </c:pt>
                <c:pt idx="796">
                  <c:v>41338</c:v>
                </c:pt>
                <c:pt idx="797">
                  <c:v>41339</c:v>
                </c:pt>
                <c:pt idx="798">
                  <c:v>41340</c:v>
                </c:pt>
                <c:pt idx="799">
                  <c:v>41341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41351</c:v>
                </c:pt>
                <c:pt idx="806">
                  <c:v>41352</c:v>
                </c:pt>
                <c:pt idx="807">
                  <c:v>41353</c:v>
                </c:pt>
                <c:pt idx="808">
                  <c:v>41354</c:v>
                </c:pt>
                <c:pt idx="809">
                  <c:v>41355</c:v>
                </c:pt>
                <c:pt idx="810">
                  <c:v>41358</c:v>
                </c:pt>
                <c:pt idx="811">
                  <c:v>41359</c:v>
                </c:pt>
                <c:pt idx="812">
                  <c:v>41360</c:v>
                </c:pt>
                <c:pt idx="813">
                  <c:v>41361</c:v>
                </c:pt>
                <c:pt idx="814">
                  <c:v>41365</c:v>
                </c:pt>
                <c:pt idx="815">
                  <c:v>41366</c:v>
                </c:pt>
                <c:pt idx="816">
                  <c:v>41367</c:v>
                </c:pt>
                <c:pt idx="817">
                  <c:v>41368</c:v>
                </c:pt>
                <c:pt idx="818">
                  <c:v>41369</c:v>
                </c:pt>
                <c:pt idx="819">
                  <c:v>41372</c:v>
                </c:pt>
                <c:pt idx="820">
                  <c:v>41373</c:v>
                </c:pt>
                <c:pt idx="821">
                  <c:v>41374</c:v>
                </c:pt>
                <c:pt idx="822">
                  <c:v>41375</c:v>
                </c:pt>
                <c:pt idx="823">
                  <c:v>41376</c:v>
                </c:pt>
                <c:pt idx="824">
                  <c:v>41379</c:v>
                </c:pt>
                <c:pt idx="825">
                  <c:v>41380</c:v>
                </c:pt>
                <c:pt idx="826">
                  <c:v>41381</c:v>
                </c:pt>
                <c:pt idx="827">
                  <c:v>41382</c:v>
                </c:pt>
                <c:pt idx="828">
                  <c:v>41383</c:v>
                </c:pt>
                <c:pt idx="829">
                  <c:v>41386</c:v>
                </c:pt>
                <c:pt idx="830">
                  <c:v>41387</c:v>
                </c:pt>
                <c:pt idx="831">
                  <c:v>41388</c:v>
                </c:pt>
                <c:pt idx="832">
                  <c:v>41389</c:v>
                </c:pt>
                <c:pt idx="833">
                  <c:v>41390</c:v>
                </c:pt>
                <c:pt idx="834">
                  <c:v>41393</c:v>
                </c:pt>
                <c:pt idx="835">
                  <c:v>41394</c:v>
                </c:pt>
                <c:pt idx="836">
                  <c:v>41395</c:v>
                </c:pt>
                <c:pt idx="837">
                  <c:v>41396</c:v>
                </c:pt>
                <c:pt idx="838">
                  <c:v>41397</c:v>
                </c:pt>
                <c:pt idx="839">
                  <c:v>41400</c:v>
                </c:pt>
                <c:pt idx="840">
                  <c:v>41401</c:v>
                </c:pt>
                <c:pt idx="841">
                  <c:v>41402</c:v>
                </c:pt>
                <c:pt idx="842">
                  <c:v>41403</c:v>
                </c:pt>
                <c:pt idx="843">
                  <c:v>41404</c:v>
                </c:pt>
                <c:pt idx="844">
                  <c:v>41407</c:v>
                </c:pt>
                <c:pt idx="845">
                  <c:v>41408</c:v>
                </c:pt>
                <c:pt idx="846">
                  <c:v>41409</c:v>
                </c:pt>
                <c:pt idx="847">
                  <c:v>41410</c:v>
                </c:pt>
                <c:pt idx="848">
                  <c:v>41411</c:v>
                </c:pt>
                <c:pt idx="849">
                  <c:v>41414</c:v>
                </c:pt>
                <c:pt idx="850">
                  <c:v>41415</c:v>
                </c:pt>
                <c:pt idx="851">
                  <c:v>41416</c:v>
                </c:pt>
                <c:pt idx="852">
                  <c:v>41417</c:v>
                </c:pt>
                <c:pt idx="853">
                  <c:v>41418</c:v>
                </c:pt>
                <c:pt idx="854">
                  <c:v>41422</c:v>
                </c:pt>
                <c:pt idx="855">
                  <c:v>41423</c:v>
                </c:pt>
                <c:pt idx="856">
                  <c:v>41424</c:v>
                </c:pt>
                <c:pt idx="857">
                  <c:v>41425</c:v>
                </c:pt>
                <c:pt idx="858">
                  <c:v>41428</c:v>
                </c:pt>
                <c:pt idx="859">
                  <c:v>41429</c:v>
                </c:pt>
                <c:pt idx="860">
                  <c:v>41430</c:v>
                </c:pt>
                <c:pt idx="861">
                  <c:v>41431</c:v>
                </c:pt>
                <c:pt idx="862">
                  <c:v>41432</c:v>
                </c:pt>
                <c:pt idx="863">
                  <c:v>41435</c:v>
                </c:pt>
                <c:pt idx="864">
                  <c:v>41436</c:v>
                </c:pt>
                <c:pt idx="865">
                  <c:v>41437</c:v>
                </c:pt>
                <c:pt idx="866">
                  <c:v>41438</c:v>
                </c:pt>
                <c:pt idx="867">
                  <c:v>41439</c:v>
                </c:pt>
                <c:pt idx="868">
                  <c:v>41442</c:v>
                </c:pt>
                <c:pt idx="869">
                  <c:v>41443</c:v>
                </c:pt>
                <c:pt idx="870">
                  <c:v>41444</c:v>
                </c:pt>
                <c:pt idx="871">
                  <c:v>41445</c:v>
                </c:pt>
                <c:pt idx="872">
                  <c:v>41446</c:v>
                </c:pt>
                <c:pt idx="873">
                  <c:v>41449</c:v>
                </c:pt>
                <c:pt idx="874">
                  <c:v>41450</c:v>
                </c:pt>
                <c:pt idx="875">
                  <c:v>41451</c:v>
                </c:pt>
                <c:pt idx="876">
                  <c:v>41452</c:v>
                </c:pt>
                <c:pt idx="877">
                  <c:v>41453</c:v>
                </c:pt>
                <c:pt idx="878">
                  <c:v>41456</c:v>
                </c:pt>
                <c:pt idx="879">
                  <c:v>41457</c:v>
                </c:pt>
                <c:pt idx="880">
                  <c:v>41458</c:v>
                </c:pt>
                <c:pt idx="881">
                  <c:v>41460</c:v>
                </c:pt>
                <c:pt idx="882">
                  <c:v>41463</c:v>
                </c:pt>
                <c:pt idx="883">
                  <c:v>41464</c:v>
                </c:pt>
                <c:pt idx="884">
                  <c:v>41465</c:v>
                </c:pt>
                <c:pt idx="885">
                  <c:v>41466</c:v>
                </c:pt>
                <c:pt idx="886">
                  <c:v>41467</c:v>
                </c:pt>
                <c:pt idx="887">
                  <c:v>41470</c:v>
                </c:pt>
                <c:pt idx="888">
                  <c:v>41471</c:v>
                </c:pt>
                <c:pt idx="889">
                  <c:v>41472</c:v>
                </c:pt>
                <c:pt idx="890">
                  <c:v>41473</c:v>
                </c:pt>
                <c:pt idx="891">
                  <c:v>41474</c:v>
                </c:pt>
                <c:pt idx="892">
                  <c:v>41477</c:v>
                </c:pt>
                <c:pt idx="893">
                  <c:v>41478</c:v>
                </c:pt>
                <c:pt idx="894">
                  <c:v>41479</c:v>
                </c:pt>
                <c:pt idx="895">
                  <c:v>41480</c:v>
                </c:pt>
                <c:pt idx="896">
                  <c:v>41481</c:v>
                </c:pt>
                <c:pt idx="897">
                  <c:v>41484</c:v>
                </c:pt>
                <c:pt idx="898">
                  <c:v>41485</c:v>
                </c:pt>
                <c:pt idx="899">
                  <c:v>41486</c:v>
                </c:pt>
                <c:pt idx="900">
                  <c:v>41487</c:v>
                </c:pt>
                <c:pt idx="901">
                  <c:v>41488</c:v>
                </c:pt>
                <c:pt idx="902">
                  <c:v>41491</c:v>
                </c:pt>
                <c:pt idx="903">
                  <c:v>41492</c:v>
                </c:pt>
                <c:pt idx="904">
                  <c:v>41493</c:v>
                </c:pt>
                <c:pt idx="905">
                  <c:v>41494</c:v>
                </c:pt>
                <c:pt idx="906">
                  <c:v>41495</c:v>
                </c:pt>
                <c:pt idx="907">
                  <c:v>41498</c:v>
                </c:pt>
                <c:pt idx="908">
                  <c:v>41499</c:v>
                </c:pt>
                <c:pt idx="909">
                  <c:v>41500</c:v>
                </c:pt>
                <c:pt idx="910">
                  <c:v>41501</c:v>
                </c:pt>
                <c:pt idx="911">
                  <c:v>41502</c:v>
                </c:pt>
                <c:pt idx="912">
                  <c:v>41505</c:v>
                </c:pt>
                <c:pt idx="913">
                  <c:v>41506</c:v>
                </c:pt>
                <c:pt idx="914">
                  <c:v>41507</c:v>
                </c:pt>
                <c:pt idx="915">
                  <c:v>41508</c:v>
                </c:pt>
                <c:pt idx="916">
                  <c:v>41509</c:v>
                </c:pt>
                <c:pt idx="917">
                  <c:v>41512</c:v>
                </c:pt>
                <c:pt idx="918">
                  <c:v>41513</c:v>
                </c:pt>
                <c:pt idx="919">
                  <c:v>41514</c:v>
                </c:pt>
                <c:pt idx="920">
                  <c:v>41515</c:v>
                </c:pt>
                <c:pt idx="921">
                  <c:v>41516</c:v>
                </c:pt>
                <c:pt idx="922">
                  <c:v>41520</c:v>
                </c:pt>
                <c:pt idx="923">
                  <c:v>41521</c:v>
                </c:pt>
                <c:pt idx="924">
                  <c:v>41522</c:v>
                </c:pt>
                <c:pt idx="925">
                  <c:v>41523</c:v>
                </c:pt>
                <c:pt idx="926">
                  <c:v>41526</c:v>
                </c:pt>
                <c:pt idx="927">
                  <c:v>41527</c:v>
                </c:pt>
                <c:pt idx="928">
                  <c:v>41528</c:v>
                </c:pt>
                <c:pt idx="929">
                  <c:v>41529</c:v>
                </c:pt>
                <c:pt idx="930">
                  <c:v>41530</c:v>
                </c:pt>
                <c:pt idx="931">
                  <c:v>41533</c:v>
                </c:pt>
                <c:pt idx="932">
                  <c:v>41534</c:v>
                </c:pt>
                <c:pt idx="933">
                  <c:v>41535</c:v>
                </c:pt>
                <c:pt idx="934">
                  <c:v>41536</c:v>
                </c:pt>
                <c:pt idx="935">
                  <c:v>41537</c:v>
                </c:pt>
                <c:pt idx="936">
                  <c:v>41540</c:v>
                </c:pt>
                <c:pt idx="937">
                  <c:v>41541</c:v>
                </c:pt>
                <c:pt idx="938">
                  <c:v>41542</c:v>
                </c:pt>
                <c:pt idx="939">
                  <c:v>41543</c:v>
                </c:pt>
                <c:pt idx="940">
                  <c:v>41544</c:v>
                </c:pt>
                <c:pt idx="941">
                  <c:v>41547</c:v>
                </c:pt>
                <c:pt idx="942">
                  <c:v>41548</c:v>
                </c:pt>
                <c:pt idx="943">
                  <c:v>41549</c:v>
                </c:pt>
                <c:pt idx="944">
                  <c:v>41550</c:v>
                </c:pt>
                <c:pt idx="945">
                  <c:v>41551</c:v>
                </c:pt>
                <c:pt idx="946">
                  <c:v>41554</c:v>
                </c:pt>
                <c:pt idx="947">
                  <c:v>41555</c:v>
                </c:pt>
                <c:pt idx="948">
                  <c:v>41556</c:v>
                </c:pt>
                <c:pt idx="949">
                  <c:v>41557</c:v>
                </c:pt>
                <c:pt idx="950">
                  <c:v>41558</c:v>
                </c:pt>
                <c:pt idx="951">
                  <c:v>41561</c:v>
                </c:pt>
                <c:pt idx="952">
                  <c:v>41562</c:v>
                </c:pt>
                <c:pt idx="953">
                  <c:v>41563</c:v>
                </c:pt>
                <c:pt idx="954">
                  <c:v>41564</c:v>
                </c:pt>
                <c:pt idx="955">
                  <c:v>41565</c:v>
                </c:pt>
                <c:pt idx="956">
                  <c:v>41568</c:v>
                </c:pt>
                <c:pt idx="957">
                  <c:v>41569</c:v>
                </c:pt>
                <c:pt idx="958">
                  <c:v>41570</c:v>
                </c:pt>
                <c:pt idx="959">
                  <c:v>41571</c:v>
                </c:pt>
                <c:pt idx="960">
                  <c:v>41572</c:v>
                </c:pt>
                <c:pt idx="961">
                  <c:v>41575</c:v>
                </c:pt>
                <c:pt idx="962">
                  <c:v>41576</c:v>
                </c:pt>
                <c:pt idx="963">
                  <c:v>41577</c:v>
                </c:pt>
                <c:pt idx="964">
                  <c:v>41578</c:v>
                </c:pt>
                <c:pt idx="965">
                  <c:v>41579</c:v>
                </c:pt>
                <c:pt idx="966">
                  <c:v>41582</c:v>
                </c:pt>
                <c:pt idx="967">
                  <c:v>41583</c:v>
                </c:pt>
                <c:pt idx="968">
                  <c:v>41584</c:v>
                </c:pt>
                <c:pt idx="969">
                  <c:v>41585</c:v>
                </c:pt>
                <c:pt idx="970">
                  <c:v>41586</c:v>
                </c:pt>
                <c:pt idx="971">
                  <c:v>41589</c:v>
                </c:pt>
                <c:pt idx="972">
                  <c:v>41590</c:v>
                </c:pt>
                <c:pt idx="973">
                  <c:v>41591</c:v>
                </c:pt>
                <c:pt idx="974">
                  <c:v>41592</c:v>
                </c:pt>
                <c:pt idx="975">
                  <c:v>41593</c:v>
                </c:pt>
                <c:pt idx="976">
                  <c:v>41596</c:v>
                </c:pt>
                <c:pt idx="977">
                  <c:v>41597</c:v>
                </c:pt>
                <c:pt idx="978">
                  <c:v>41598</c:v>
                </c:pt>
                <c:pt idx="979">
                  <c:v>41599</c:v>
                </c:pt>
                <c:pt idx="980">
                  <c:v>41600</c:v>
                </c:pt>
                <c:pt idx="981">
                  <c:v>41603</c:v>
                </c:pt>
                <c:pt idx="982">
                  <c:v>41604</c:v>
                </c:pt>
                <c:pt idx="983">
                  <c:v>41605</c:v>
                </c:pt>
                <c:pt idx="984">
                  <c:v>41607</c:v>
                </c:pt>
                <c:pt idx="985">
                  <c:v>41610</c:v>
                </c:pt>
                <c:pt idx="986">
                  <c:v>41611</c:v>
                </c:pt>
                <c:pt idx="987">
                  <c:v>41612</c:v>
                </c:pt>
                <c:pt idx="988">
                  <c:v>41613</c:v>
                </c:pt>
                <c:pt idx="989">
                  <c:v>41614</c:v>
                </c:pt>
                <c:pt idx="990">
                  <c:v>41617</c:v>
                </c:pt>
                <c:pt idx="991">
                  <c:v>41618</c:v>
                </c:pt>
                <c:pt idx="992">
                  <c:v>41619</c:v>
                </c:pt>
                <c:pt idx="993">
                  <c:v>41620</c:v>
                </c:pt>
                <c:pt idx="994">
                  <c:v>41621</c:v>
                </c:pt>
                <c:pt idx="995">
                  <c:v>41624</c:v>
                </c:pt>
                <c:pt idx="996">
                  <c:v>41625</c:v>
                </c:pt>
                <c:pt idx="997">
                  <c:v>41626</c:v>
                </c:pt>
                <c:pt idx="998">
                  <c:v>41627</c:v>
                </c:pt>
                <c:pt idx="999">
                  <c:v>41628</c:v>
                </c:pt>
                <c:pt idx="1000">
                  <c:v>41631</c:v>
                </c:pt>
                <c:pt idx="1001">
                  <c:v>41632</c:v>
                </c:pt>
                <c:pt idx="1002">
                  <c:v>41634</c:v>
                </c:pt>
                <c:pt idx="1003">
                  <c:v>41635</c:v>
                </c:pt>
                <c:pt idx="1004">
                  <c:v>41638</c:v>
                </c:pt>
                <c:pt idx="1005">
                  <c:v>41639</c:v>
                </c:pt>
                <c:pt idx="1006">
                  <c:v>41641</c:v>
                </c:pt>
                <c:pt idx="1007">
                  <c:v>41642</c:v>
                </c:pt>
                <c:pt idx="1008">
                  <c:v>41645</c:v>
                </c:pt>
                <c:pt idx="1009">
                  <c:v>41646</c:v>
                </c:pt>
                <c:pt idx="1010">
                  <c:v>41647</c:v>
                </c:pt>
                <c:pt idx="1011">
                  <c:v>41648</c:v>
                </c:pt>
                <c:pt idx="1012">
                  <c:v>41649</c:v>
                </c:pt>
                <c:pt idx="1013">
                  <c:v>41652</c:v>
                </c:pt>
                <c:pt idx="1014">
                  <c:v>41653</c:v>
                </c:pt>
                <c:pt idx="1015">
                  <c:v>41654</c:v>
                </c:pt>
                <c:pt idx="1016">
                  <c:v>41655</c:v>
                </c:pt>
                <c:pt idx="1017">
                  <c:v>41656</c:v>
                </c:pt>
                <c:pt idx="1018">
                  <c:v>41660</c:v>
                </c:pt>
                <c:pt idx="1019">
                  <c:v>41661</c:v>
                </c:pt>
                <c:pt idx="1020">
                  <c:v>41662</c:v>
                </c:pt>
                <c:pt idx="1021">
                  <c:v>41663</c:v>
                </c:pt>
                <c:pt idx="1022">
                  <c:v>41666</c:v>
                </c:pt>
                <c:pt idx="1023">
                  <c:v>41667</c:v>
                </c:pt>
                <c:pt idx="1024">
                  <c:v>41668</c:v>
                </c:pt>
                <c:pt idx="1025">
                  <c:v>41669</c:v>
                </c:pt>
                <c:pt idx="1026">
                  <c:v>41670</c:v>
                </c:pt>
                <c:pt idx="1027">
                  <c:v>41673</c:v>
                </c:pt>
                <c:pt idx="1028">
                  <c:v>41674</c:v>
                </c:pt>
                <c:pt idx="1029">
                  <c:v>41675</c:v>
                </c:pt>
                <c:pt idx="1030">
                  <c:v>41676</c:v>
                </c:pt>
                <c:pt idx="1031">
                  <c:v>41677</c:v>
                </c:pt>
                <c:pt idx="1032">
                  <c:v>41680</c:v>
                </c:pt>
                <c:pt idx="1033">
                  <c:v>41681</c:v>
                </c:pt>
                <c:pt idx="1034">
                  <c:v>41682</c:v>
                </c:pt>
                <c:pt idx="1035">
                  <c:v>41683</c:v>
                </c:pt>
                <c:pt idx="1036">
                  <c:v>41684</c:v>
                </c:pt>
                <c:pt idx="1037">
                  <c:v>41688</c:v>
                </c:pt>
                <c:pt idx="1038">
                  <c:v>41689</c:v>
                </c:pt>
                <c:pt idx="1039">
                  <c:v>41690</c:v>
                </c:pt>
                <c:pt idx="1040">
                  <c:v>41691</c:v>
                </c:pt>
                <c:pt idx="1041">
                  <c:v>41694</c:v>
                </c:pt>
                <c:pt idx="1042">
                  <c:v>41695</c:v>
                </c:pt>
                <c:pt idx="1043">
                  <c:v>41696</c:v>
                </c:pt>
                <c:pt idx="1044">
                  <c:v>41697</c:v>
                </c:pt>
                <c:pt idx="1045">
                  <c:v>41698</c:v>
                </c:pt>
                <c:pt idx="1046">
                  <c:v>41701</c:v>
                </c:pt>
                <c:pt idx="1047">
                  <c:v>41702</c:v>
                </c:pt>
                <c:pt idx="1048">
                  <c:v>41703</c:v>
                </c:pt>
                <c:pt idx="1049">
                  <c:v>41704</c:v>
                </c:pt>
                <c:pt idx="1050">
                  <c:v>41705</c:v>
                </c:pt>
                <c:pt idx="1051">
                  <c:v>41708</c:v>
                </c:pt>
                <c:pt idx="1052">
                  <c:v>41709</c:v>
                </c:pt>
                <c:pt idx="1053">
                  <c:v>41710</c:v>
                </c:pt>
                <c:pt idx="1054">
                  <c:v>41711</c:v>
                </c:pt>
                <c:pt idx="1055">
                  <c:v>41712</c:v>
                </c:pt>
                <c:pt idx="1056">
                  <c:v>41715</c:v>
                </c:pt>
                <c:pt idx="1057">
                  <c:v>41716</c:v>
                </c:pt>
                <c:pt idx="1058">
                  <c:v>41717</c:v>
                </c:pt>
                <c:pt idx="1059">
                  <c:v>41718</c:v>
                </c:pt>
                <c:pt idx="1060">
                  <c:v>41719</c:v>
                </c:pt>
                <c:pt idx="1061">
                  <c:v>41722</c:v>
                </c:pt>
                <c:pt idx="1062">
                  <c:v>41723</c:v>
                </c:pt>
                <c:pt idx="1063">
                  <c:v>41724</c:v>
                </c:pt>
                <c:pt idx="1064">
                  <c:v>41725</c:v>
                </c:pt>
                <c:pt idx="1065">
                  <c:v>41726</c:v>
                </c:pt>
                <c:pt idx="1066">
                  <c:v>41729</c:v>
                </c:pt>
                <c:pt idx="1067">
                  <c:v>41730</c:v>
                </c:pt>
                <c:pt idx="1068">
                  <c:v>41731</c:v>
                </c:pt>
                <c:pt idx="1069">
                  <c:v>41732</c:v>
                </c:pt>
                <c:pt idx="1070">
                  <c:v>41733</c:v>
                </c:pt>
                <c:pt idx="1071">
                  <c:v>41736</c:v>
                </c:pt>
                <c:pt idx="1072">
                  <c:v>41737</c:v>
                </c:pt>
                <c:pt idx="1073">
                  <c:v>41738</c:v>
                </c:pt>
                <c:pt idx="1074">
                  <c:v>41739</c:v>
                </c:pt>
                <c:pt idx="1075">
                  <c:v>41740</c:v>
                </c:pt>
                <c:pt idx="1076">
                  <c:v>41743</c:v>
                </c:pt>
                <c:pt idx="1077">
                  <c:v>41744</c:v>
                </c:pt>
                <c:pt idx="1078">
                  <c:v>41745</c:v>
                </c:pt>
                <c:pt idx="1079">
                  <c:v>41746</c:v>
                </c:pt>
                <c:pt idx="1080">
                  <c:v>41750</c:v>
                </c:pt>
                <c:pt idx="1081">
                  <c:v>41751</c:v>
                </c:pt>
                <c:pt idx="1082">
                  <c:v>41752</c:v>
                </c:pt>
                <c:pt idx="1083">
                  <c:v>41753</c:v>
                </c:pt>
                <c:pt idx="1084">
                  <c:v>41754</c:v>
                </c:pt>
                <c:pt idx="1085">
                  <c:v>41757</c:v>
                </c:pt>
                <c:pt idx="1086">
                  <c:v>41758</c:v>
                </c:pt>
                <c:pt idx="1087">
                  <c:v>41759</c:v>
                </c:pt>
                <c:pt idx="1088">
                  <c:v>41760</c:v>
                </c:pt>
                <c:pt idx="1089">
                  <c:v>41761</c:v>
                </c:pt>
                <c:pt idx="1090">
                  <c:v>41764</c:v>
                </c:pt>
                <c:pt idx="1091">
                  <c:v>41765</c:v>
                </c:pt>
                <c:pt idx="1092">
                  <c:v>41766</c:v>
                </c:pt>
                <c:pt idx="1093">
                  <c:v>41767</c:v>
                </c:pt>
                <c:pt idx="1094">
                  <c:v>41768</c:v>
                </c:pt>
                <c:pt idx="1095">
                  <c:v>41771</c:v>
                </c:pt>
                <c:pt idx="1096">
                  <c:v>41772</c:v>
                </c:pt>
                <c:pt idx="1097">
                  <c:v>41773</c:v>
                </c:pt>
                <c:pt idx="1098">
                  <c:v>41774</c:v>
                </c:pt>
                <c:pt idx="1099">
                  <c:v>41775</c:v>
                </c:pt>
                <c:pt idx="1100">
                  <c:v>41778</c:v>
                </c:pt>
                <c:pt idx="1101">
                  <c:v>41779</c:v>
                </c:pt>
                <c:pt idx="1102">
                  <c:v>41780</c:v>
                </c:pt>
                <c:pt idx="1103">
                  <c:v>41781</c:v>
                </c:pt>
                <c:pt idx="1104">
                  <c:v>41782</c:v>
                </c:pt>
                <c:pt idx="1105">
                  <c:v>41786</c:v>
                </c:pt>
                <c:pt idx="1106">
                  <c:v>41787</c:v>
                </c:pt>
                <c:pt idx="1107">
                  <c:v>41788</c:v>
                </c:pt>
                <c:pt idx="1108">
                  <c:v>41789</c:v>
                </c:pt>
                <c:pt idx="1109">
                  <c:v>41792</c:v>
                </c:pt>
                <c:pt idx="1110">
                  <c:v>41793</c:v>
                </c:pt>
                <c:pt idx="1111">
                  <c:v>41794</c:v>
                </c:pt>
                <c:pt idx="1112">
                  <c:v>41795</c:v>
                </c:pt>
                <c:pt idx="1113">
                  <c:v>41796</c:v>
                </c:pt>
                <c:pt idx="1114">
                  <c:v>41799</c:v>
                </c:pt>
                <c:pt idx="1115">
                  <c:v>41800</c:v>
                </c:pt>
                <c:pt idx="1116">
                  <c:v>41801</c:v>
                </c:pt>
                <c:pt idx="1117">
                  <c:v>41802</c:v>
                </c:pt>
                <c:pt idx="1118">
                  <c:v>41803</c:v>
                </c:pt>
                <c:pt idx="1119">
                  <c:v>41806</c:v>
                </c:pt>
                <c:pt idx="1120">
                  <c:v>41807</c:v>
                </c:pt>
                <c:pt idx="1121">
                  <c:v>41808</c:v>
                </c:pt>
                <c:pt idx="1122">
                  <c:v>41809</c:v>
                </c:pt>
                <c:pt idx="1123">
                  <c:v>41810</c:v>
                </c:pt>
                <c:pt idx="1124">
                  <c:v>41813</c:v>
                </c:pt>
                <c:pt idx="1125">
                  <c:v>41814</c:v>
                </c:pt>
                <c:pt idx="1126">
                  <c:v>41815</c:v>
                </c:pt>
                <c:pt idx="1127">
                  <c:v>41816</c:v>
                </c:pt>
                <c:pt idx="1128">
                  <c:v>41817</c:v>
                </c:pt>
                <c:pt idx="1129">
                  <c:v>41820</c:v>
                </c:pt>
                <c:pt idx="1130">
                  <c:v>41821</c:v>
                </c:pt>
                <c:pt idx="1131">
                  <c:v>41822</c:v>
                </c:pt>
                <c:pt idx="1132">
                  <c:v>41823</c:v>
                </c:pt>
                <c:pt idx="1133">
                  <c:v>41827</c:v>
                </c:pt>
                <c:pt idx="1134">
                  <c:v>41828</c:v>
                </c:pt>
                <c:pt idx="1135">
                  <c:v>41829</c:v>
                </c:pt>
                <c:pt idx="1136">
                  <c:v>41830</c:v>
                </c:pt>
                <c:pt idx="1137">
                  <c:v>41831</c:v>
                </c:pt>
                <c:pt idx="1138">
                  <c:v>41834</c:v>
                </c:pt>
                <c:pt idx="1139">
                  <c:v>41835</c:v>
                </c:pt>
                <c:pt idx="1140">
                  <c:v>41836</c:v>
                </c:pt>
                <c:pt idx="1141">
                  <c:v>41837</c:v>
                </c:pt>
                <c:pt idx="1142">
                  <c:v>41838</c:v>
                </c:pt>
                <c:pt idx="1143">
                  <c:v>41841</c:v>
                </c:pt>
                <c:pt idx="1144">
                  <c:v>41842</c:v>
                </c:pt>
                <c:pt idx="1145">
                  <c:v>41843</c:v>
                </c:pt>
                <c:pt idx="1146">
                  <c:v>41844</c:v>
                </c:pt>
                <c:pt idx="1147">
                  <c:v>41845</c:v>
                </c:pt>
                <c:pt idx="1148">
                  <c:v>41848</c:v>
                </c:pt>
                <c:pt idx="1149">
                  <c:v>41849</c:v>
                </c:pt>
                <c:pt idx="1150">
                  <c:v>41850</c:v>
                </c:pt>
                <c:pt idx="1151">
                  <c:v>41851</c:v>
                </c:pt>
                <c:pt idx="1152">
                  <c:v>41852</c:v>
                </c:pt>
                <c:pt idx="1153">
                  <c:v>41855</c:v>
                </c:pt>
                <c:pt idx="1154">
                  <c:v>41856</c:v>
                </c:pt>
                <c:pt idx="1155">
                  <c:v>41857</c:v>
                </c:pt>
                <c:pt idx="1156">
                  <c:v>41858</c:v>
                </c:pt>
                <c:pt idx="1157">
                  <c:v>41859</c:v>
                </c:pt>
                <c:pt idx="1158">
                  <c:v>41862</c:v>
                </c:pt>
                <c:pt idx="1159">
                  <c:v>41863</c:v>
                </c:pt>
                <c:pt idx="1160">
                  <c:v>41864</c:v>
                </c:pt>
                <c:pt idx="1161">
                  <c:v>41865</c:v>
                </c:pt>
                <c:pt idx="1162">
                  <c:v>41866</c:v>
                </c:pt>
                <c:pt idx="1163">
                  <c:v>41869</c:v>
                </c:pt>
                <c:pt idx="1164">
                  <c:v>41870</c:v>
                </c:pt>
                <c:pt idx="1165">
                  <c:v>41871</c:v>
                </c:pt>
                <c:pt idx="1166">
                  <c:v>41872</c:v>
                </c:pt>
                <c:pt idx="1167">
                  <c:v>41873</c:v>
                </c:pt>
                <c:pt idx="1168">
                  <c:v>41876</c:v>
                </c:pt>
                <c:pt idx="1169">
                  <c:v>41877</c:v>
                </c:pt>
                <c:pt idx="1170">
                  <c:v>41878</c:v>
                </c:pt>
                <c:pt idx="1171">
                  <c:v>41879</c:v>
                </c:pt>
                <c:pt idx="1172">
                  <c:v>41880</c:v>
                </c:pt>
                <c:pt idx="1173">
                  <c:v>41884</c:v>
                </c:pt>
                <c:pt idx="1174">
                  <c:v>41885</c:v>
                </c:pt>
                <c:pt idx="1175">
                  <c:v>41886</c:v>
                </c:pt>
                <c:pt idx="1176">
                  <c:v>41887</c:v>
                </c:pt>
                <c:pt idx="1177">
                  <c:v>41890</c:v>
                </c:pt>
                <c:pt idx="1178">
                  <c:v>41891</c:v>
                </c:pt>
                <c:pt idx="1179">
                  <c:v>41892</c:v>
                </c:pt>
                <c:pt idx="1180">
                  <c:v>41893</c:v>
                </c:pt>
                <c:pt idx="1181">
                  <c:v>41894</c:v>
                </c:pt>
                <c:pt idx="1182">
                  <c:v>41897</c:v>
                </c:pt>
                <c:pt idx="1183">
                  <c:v>41898</c:v>
                </c:pt>
                <c:pt idx="1184">
                  <c:v>41899</c:v>
                </c:pt>
                <c:pt idx="1185">
                  <c:v>41900</c:v>
                </c:pt>
                <c:pt idx="1186">
                  <c:v>41901</c:v>
                </c:pt>
                <c:pt idx="1187">
                  <c:v>41904</c:v>
                </c:pt>
                <c:pt idx="1188">
                  <c:v>41905</c:v>
                </c:pt>
                <c:pt idx="1189">
                  <c:v>41906</c:v>
                </c:pt>
                <c:pt idx="1190">
                  <c:v>41907</c:v>
                </c:pt>
                <c:pt idx="1191">
                  <c:v>41908</c:v>
                </c:pt>
                <c:pt idx="1192">
                  <c:v>41911</c:v>
                </c:pt>
                <c:pt idx="1193">
                  <c:v>41912</c:v>
                </c:pt>
                <c:pt idx="1194">
                  <c:v>41913</c:v>
                </c:pt>
                <c:pt idx="1195">
                  <c:v>41914</c:v>
                </c:pt>
                <c:pt idx="1196">
                  <c:v>41915</c:v>
                </c:pt>
                <c:pt idx="1197">
                  <c:v>41918</c:v>
                </c:pt>
                <c:pt idx="1198">
                  <c:v>41919</c:v>
                </c:pt>
                <c:pt idx="1199">
                  <c:v>41920</c:v>
                </c:pt>
                <c:pt idx="1200">
                  <c:v>41921</c:v>
                </c:pt>
                <c:pt idx="1201">
                  <c:v>41922</c:v>
                </c:pt>
                <c:pt idx="1202">
                  <c:v>41925</c:v>
                </c:pt>
                <c:pt idx="1203">
                  <c:v>41926</c:v>
                </c:pt>
                <c:pt idx="1204">
                  <c:v>41927</c:v>
                </c:pt>
                <c:pt idx="1205">
                  <c:v>41928</c:v>
                </c:pt>
                <c:pt idx="1206">
                  <c:v>41929</c:v>
                </c:pt>
                <c:pt idx="1207">
                  <c:v>41932</c:v>
                </c:pt>
                <c:pt idx="1208">
                  <c:v>41933</c:v>
                </c:pt>
                <c:pt idx="1209">
                  <c:v>41934</c:v>
                </c:pt>
                <c:pt idx="1210">
                  <c:v>41935</c:v>
                </c:pt>
                <c:pt idx="1211">
                  <c:v>41936</c:v>
                </c:pt>
                <c:pt idx="1212">
                  <c:v>41939</c:v>
                </c:pt>
                <c:pt idx="1213">
                  <c:v>41940</c:v>
                </c:pt>
                <c:pt idx="1214">
                  <c:v>41941</c:v>
                </c:pt>
                <c:pt idx="1215">
                  <c:v>41942</c:v>
                </c:pt>
                <c:pt idx="1216">
                  <c:v>41943</c:v>
                </c:pt>
                <c:pt idx="1217">
                  <c:v>41946</c:v>
                </c:pt>
                <c:pt idx="1218">
                  <c:v>41947</c:v>
                </c:pt>
                <c:pt idx="1219">
                  <c:v>41948</c:v>
                </c:pt>
                <c:pt idx="1220">
                  <c:v>41949</c:v>
                </c:pt>
                <c:pt idx="1221">
                  <c:v>41950</c:v>
                </c:pt>
                <c:pt idx="1222">
                  <c:v>41953</c:v>
                </c:pt>
                <c:pt idx="1223">
                  <c:v>41954</c:v>
                </c:pt>
                <c:pt idx="1224">
                  <c:v>41955</c:v>
                </c:pt>
                <c:pt idx="1225">
                  <c:v>41956</c:v>
                </c:pt>
                <c:pt idx="1226">
                  <c:v>41957</c:v>
                </c:pt>
                <c:pt idx="1227">
                  <c:v>41960</c:v>
                </c:pt>
                <c:pt idx="1228">
                  <c:v>41961</c:v>
                </c:pt>
                <c:pt idx="1229">
                  <c:v>41962</c:v>
                </c:pt>
                <c:pt idx="1230">
                  <c:v>41963</c:v>
                </c:pt>
                <c:pt idx="1231">
                  <c:v>41964</c:v>
                </c:pt>
                <c:pt idx="1232">
                  <c:v>41967</c:v>
                </c:pt>
                <c:pt idx="1233">
                  <c:v>41968</c:v>
                </c:pt>
                <c:pt idx="1234">
                  <c:v>41969</c:v>
                </c:pt>
                <c:pt idx="1235">
                  <c:v>41971</c:v>
                </c:pt>
                <c:pt idx="1236">
                  <c:v>41974</c:v>
                </c:pt>
                <c:pt idx="1237">
                  <c:v>41975</c:v>
                </c:pt>
                <c:pt idx="1238">
                  <c:v>41976</c:v>
                </c:pt>
                <c:pt idx="1239">
                  <c:v>41977</c:v>
                </c:pt>
                <c:pt idx="1240">
                  <c:v>41978</c:v>
                </c:pt>
                <c:pt idx="1241">
                  <c:v>41981</c:v>
                </c:pt>
                <c:pt idx="1242">
                  <c:v>41982</c:v>
                </c:pt>
                <c:pt idx="1243">
                  <c:v>41983</c:v>
                </c:pt>
                <c:pt idx="1244">
                  <c:v>41984</c:v>
                </c:pt>
                <c:pt idx="1245">
                  <c:v>41985</c:v>
                </c:pt>
                <c:pt idx="1246">
                  <c:v>41988</c:v>
                </c:pt>
                <c:pt idx="1247">
                  <c:v>41989</c:v>
                </c:pt>
                <c:pt idx="1248">
                  <c:v>41990</c:v>
                </c:pt>
                <c:pt idx="1249">
                  <c:v>41991</c:v>
                </c:pt>
                <c:pt idx="1250">
                  <c:v>41992</c:v>
                </c:pt>
                <c:pt idx="1251">
                  <c:v>41995</c:v>
                </c:pt>
                <c:pt idx="1252">
                  <c:v>41996</c:v>
                </c:pt>
                <c:pt idx="1253">
                  <c:v>41997</c:v>
                </c:pt>
                <c:pt idx="1254">
                  <c:v>41999</c:v>
                </c:pt>
                <c:pt idx="1255">
                  <c:v>42002</c:v>
                </c:pt>
                <c:pt idx="1256">
                  <c:v>42003</c:v>
                </c:pt>
                <c:pt idx="1257">
                  <c:v>42004</c:v>
                </c:pt>
                <c:pt idx="1258">
                  <c:v>42006</c:v>
                </c:pt>
                <c:pt idx="1259">
                  <c:v>42009</c:v>
                </c:pt>
                <c:pt idx="1260">
                  <c:v>42010</c:v>
                </c:pt>
                <c:pt idx="1261">
                  <c:v>42011</c:v>
                </c:pt>
                <c:pt idx="1262">
                  <c:v>42012</c:v>
                </c:pt>
                <c:pt idx="1263">
                  <c:v>42013</c:v>
                </c:pt>
                <c:pt idx="1264">
                  <c:v>42016</c:v>
                </c:pt>
                <c:pt idx="1265">
                  <c:v>42017</c:v>
                </c:pt>
                <c:pt idx="1266">
                  <c:v>42018</c:v>
                </c:pt>
                <c:pt idx="1267">
                  <c:v>42019</c:v>
                </c:pt>
                <c:pt idx="1268">
                  <c:v>42020</c:v>
                </c:pt>
                <c:pt idx="1269">
                  <c:v>42024</c:v>
                </c:pt>
                <c:pt idx="1270">
                  <c:v>42025</c:v>
                </c:pt>
                <c:pt idx="1271">
                  <c:v>42026</c:v>
                </c:pt>
                <c:pt idx="1272">
                  <c:v>42027</c:v>
                </c:pt>
                <c:pt idx="1273">
                  <c:v>42030</c:v>
                </c:pt>
                <c:pt idx="1274">
                  <c:v>42031</c:v>
                </c:pt>
                <c:pt idx="1275">
                  <c:v>42032</c:v>
                </c:pt>
                <c:pt idx="1276">
                  <c:v>42033</c:v>
                </c:pt>
                <c:pt idx="1277">
                  <c:v>42034</c:v>
                </c:pt>
                <c:pt idx="1278">
                  <c:v>42037</c:v>
                </c:pt>
                <c:pt idx="1279">
                  <c:v>42038</c:v>
                </c:pt>
                <c:pt idx="1280">
                  <c:v>42039</c:v>
                </c:pt>
                <c:pt idx="1281">
                  <c:v>42040</c:v>
                </c:pt>
                <c:pt idx="1282">
                  <c:v>42041</c:v>
                </c:pt>
                <c:pt idx="1283">
                  <c:v>42044</c:v>
                </c:pt>
                <c:pt idx="1284">
                  <c:v>42045</c:v>
                </c:pt>
                <c:pt idx="1285">
                  <c:v>42046</c:v>
                </c:pt>
                <c:pt idx="1286">
                  <c:v>42047</c:v>
                </c:pt>
                <c:pt idx="1287">
                  <c:v>42048</c:v>
                </c:pt>
                <c:pt idx="1288">
                  <c:v>42052</c:v>
                </c:pt>
                <c:pt idx="1289">
                  <c:v>42053</c:v>
                </c:pt>
                <c:pt idx="1290">
                  <c:v>42054</c:v>
                </c:pt>
                <c:pt idx="1291">
                  <c:v>42055</c:v>
                </c:pt>
                <c:pt idx="1292">
                  <c:v>42058</c:v>
                </c:pt>
                <c:pt idx="1293">
                  <c:v>42059</c:v>
                </c:pt>
                <c:pt idx="1294">
                  <c:v>42060</c:v>
                </c:pt>
                <c:pt idx="1295">
                  <c:v>42061</c:v>
                </c:pt>
                <c:pt idx="1296">
                  <c:v>42062</c:v>
                </c:pt>
                <c:pt idx="1297">
                  <c:v>42065</c:v>
                </c:pt>
                <c:pt idx="1298">
                  <c:v>42066</c:v>
                </c:pt>
                <c:pt idx="1299">
                  <c:v>42067</c:v>
                </c:pt>
                <c:pt idx="1300">
                  <c:v>42068</c:v>
                </c:pt>
                <c:pt idx="1301">
                  <c:v>42069</c:v>
                </c:pt>
                <c:pt idx="1302">
                  <c:v>42072</c:v>
                </c:pt>
                <c:pt idx="1303">
                  <c:v>42073</c:v>
                </c:pt>
                <c:pt idx="1304">
                  <c:v>42074</c:v>
                </c:pt>
                <c:pt idx="1305">
                  <c:v>42075</c:v>
                </c:pt>
                <c:pt idx="1306">
                  <c:v>42076</c:v>
                </c:pt>
                <c:pt idx="1307">
                  <c:v>42079</c:v>
                </c:pt>
                <c:pt idx="1308">
                  <c:v>42080</c:v>
                </c:pt>
                <c:pt idx="1309">
                  <c:v>42081</c:v>
                </c:pt>
                <c:pt idx="1310">
                  <c:v>42082</c:v>
                </c:pt>
                <c:pt idx="1311">
                  <c:v>42083</c:v>
                </c:pt>
                <c:pt idx="1312">
                  <c:v>42086</c:v>
                </c:pt>
                <c:pt idx="1313">
                  <c:v>42087</c:v>
                </c:pt>
                <c:pt idx="1314">
                  <c:v>42088</c:v>
                </c:pt>
                <c:pt idx="1315">
                  <c:v>42089</c:v>
                </c:pt>
                <c:pt idx="1316">
                  <c:v>42090</c:v>
                </c:pt>
                <c:pt idx="1317">
                  <c:v>42093</c:v>
                </c:pt>
                <c:pt idx="1318">
                  <c:v>42094</c:v>
                </c:pt>
                <c:pt idx="1319">
                  <c:v>42095</c:v>
                </c:pt>
                <c:pt idx="1320">
                  <c:v>42096</c:v>
                </c:pt>
                <c:pt idx="1321">
                  <c:v>42100</c:v>
                </c:pt>
                <c:pt idx="1322">
                  <c:v>42101</c:v>
                </c:pt>
                <c:pt idx="1323">
                  <c:v>42102</c:v>
                </c:pt>
                <c:pt idx="1324">
                  <c:v>42103</c:v>
                </c:pt>
                <c:pt idx="1325">
                  <c:v>42104</c:v>
                </c:pt>
                <c:pt idx="1326">
                  <c:v>42107</c:v>
                </c:pt>
                <c:pt idx="1327">
                  <c:v>42108</c:v>
                </c:pt>
                <c:pt idx="1328">
                  <c:v>42109</c:v>
                </c:pt>
                <c:pt idx="1329">
                  <c:v>42110</c:v>
                </c:pt>
                <c:pt idx="1330">
                  <c:v>42111</c:v>
                </c:pt>
                <c:pt idx="1331">
                  <c:v>42114</c:v>
                </c:pt>
                <c:pt idx="1332">
                  <c:v>42115</c:v>
                </c:pt>
                <c:pt idx="1333">
                  <c:v>42116</c:v>
                </c:pt>
                <c:pt idx="1334">
                  <c:v>42117</c:v>
                </c:pt>
                <c:pt idx="1335">
                  <c:v>42118</c:v>
                </c:pt>
                <c:pt idx="1336">
                  <c:v>42121</c:v>
                </c:pt>
                <c:pt idx="1337">
                  <c:v>42122</c:v>
                </c:pt>
                <c:pt idx="1338">
                  <c:v>42123</c:v>
                </c:pt>
                <c:pt idx="1339">
                  <c:v>42124</c:v>
                </c:pt>
                <c:pt idx="1340">
                  <c:v>42125</c:v>
                </c:pt>
                <c:pt idx="1341">
                  <c:v>42128</c:v>
                </c:pt>
                <c:pt idx="1342">
                  <c:v>42129</c:v>
                </c:pt>
                <c:pt idx="1343">
                  <c:v>42130</c:v>
                </c:pt>
                <c:pt idx="1344">
                  <c:v>42131</c:v>
                </c:pt>
                <c:pt idx="1345">
                  <c:v>42132</c:v>
                </c:pt>
                <c:pt idx="1346">
                  <c:v>42135</c:v>
                </c:pt>
                <c:pt idx="1347">
                  <c:v>42136</c:v>
                </c:pt>
                <c:pt idx="1348">
                  <c:v>42137</c:v>
                </c:pt>
                <c:pt idx="1349">
                  <c:v>42138</c:v>
                </c:pt>
                <c:pt idx="1350">
                  <c:v>42139</c:v>
                </c:pt>
                <c:pt idx="1351">
                  <c:v>42142</c:v>
                </c:pt>
                <c:pt idx="1352">
                  <c:v>42143</c:v>
                </c:pt>
                <c:pt idx="1353">
                  <c:v>42144</c:v>
                </c:pt>
                <c:pt idx="1354">
                  <c:v>42145</c:v>
                </c:pt>
                <c:pt idx="1355">
                  <c:v>42146</c:v>
                </c:pt>
                <c:pt idx="1356">
                  <c:v>42150</c:v>
                </c:pt>
                <c:pt idx="1357">
                  <c:v>42151</c:v>
                </c:pt>
                <c:pt idx="1358">
                  <c:v>42152</c:v>
                </c:pt>
                <c:pt idx="1359">
                  <c:v>42153</c:v>
                </c:pt>
                <c:pt idx="1360">
                  <c:v>42156</c:v>
                </c:pt>
                <c:pt idx="1361">
                  <c:v>42157</c:v>
                </c:pt>
                <c:pt idx="1362">
                  <c:v>42158</c:v>
                </c:pt>
                <c:pt idx="1363">
                  <c:v>42159</c:v>
                </c:pt>
                <c:pt idx="1364">
                  <c:v>42160</c:v>
                </c:pt>
                <c:pt idx="1365">
                  <c:v>42163</c:v>
                </c:pt>
                <c:pt idx="1366">
                  <c:v>42164</c:v>
                </c:pt>
                <c:pt idx="1367">
                  <c:v>42165</c:v>
                </c:pt>
                <c:pt idx="1368">
                  <c:v>42166</c:v>
                </c:pt>
                <c:pt idx="1369">
                  <c:v>42167</c:v>
                </c:pt>
                <c:pt idx="1370">
                  <c:v>42170</c:v>
                </c:pt>
                <c:pt idx="1371">
                  <c:v>42171</c:v>
                </c:pt>
                <c:pt idx="1372">
                  <c:v>42172</c:v>
                </c:pt>
                <c:pt idx="1373">
                  <c:v>42173</c:v>
                </c:pt>
                <c:pt idx="1374">
                  <c:v>42174</c:v>
                </c:pt>
                <c:pt idx="1375">
                  <c:v>42177</c:v>
                </c:pt>
                <c:pt idx="1376">
                  <c:v>42178</c:v>
                </c:pt>
                <c:pt idx="1377">
                  <c:v>42179</c:v>
                </c:pt>
                <c:pt idx="1378">
                  <c:v>42180</c:v>
                </c:pt>
                <c:pt idx="1379">
                  <c:v>42181</c:v>
                </c:pt>
                <c:pt idx="1380">
                  <c:v>42184</c:v>
                </c:pt>
                <c:pt idx="1381">
                  <c:v>42185</c:v>
                </c:pt>
                <c:pt idx="1382">
                  <c:v>42186</c:v>
                </c:pt>
                <c:pt idx="1383">
                  <c:v>42187</c:v>
                </c:pt>
                <c:pt idx="1384">
                  <c:v>42191</c:v>
                </c:pt>
                <c:pt idx="1385">
                  <c:v>42192</c:v>
                </c:pt>
                <c:pt idx="1386">
                  <c:v>42193</c:v>
                </c:pt>
                <c:pt idx="1387">
                  <c:v>42194</c:v>
                </c:pt>
                <c:pt idx="1388">
                  <c:v>42195</c:v>
                </c:pt>
                <c:pt idx="1389">
                  <c:v>42198</c:v>
                </c:pt>
                <c:pt idx="1390">
                  <c:v>42199</c:v>
                </c:pt>
                <c:pt idx="1391">
                  <c:v>42200</c:v>
                </c:pt>
                <c:pt idx="1392">
                  <c:v>42201</c:v>
                </c:pt>
                <c:pt idx="1393">
                  <c:v>42202</c:v>
                </c:pt>
                <c:pt idx="1394">
                  <c:v>42205</c:v>
                </c:pt>
                <c:pt idx="1395">
                  <c:v>42206</c:v>
                </c:pt>
                <c:pt idx="1396">
                  <c:v>42207</c:v>
                </c:pt>
                <c:pt idx="1397">
                  <c:v>42208</c:v>
                </c:pt>
                <c:pt idx="1398">
                  <c:v>42209</c:v>
                </c:pt>
                <c:pt idx="1399">
                  <c:v>42212</c:v>
                </c:pt>
                <c:pt idx="1400">
                  <c:v>42213</c:v>
                </c:pt>
                <c:pt idx="1401">
                  <c:v>42214</c:v>
                </c:pt>
                <c:pt idx="1402">
                  <c:v>42215</c:v>
                </c:pt>
                <c:pt idx="1403">
                  <c:v>42216</c:v>
                </c:pt>
                <c:pt idx="1404">
                  <c:v>42219</c:v>
                </c:pt>
                <c:pt idx="1405">
                  <c:v>42220</c:v>
                </c:pt>
                <c:pt idx="1406">
                  <c:v>42221</c:v>
                </c:pt>
                <c:pt idx="1407">
                  <c:v>42222</c:v>
                </c:pt>
                <c:pt idx="1408">
                  <c:v>42223</c:v>
                </c:pt>
                <c:pt idx="1409">
                  <c:v>42226</c:v>
                </c:pt>
                <c:pt idx="1410">
                  <c:v>42227</c:v>
                </c:pt>
                <c:pt idx="1411">
                  <c:v>42228</c:v>
                </c:pt>
                <c:pt idx="1412">
                  <c:v>42229</c:v>
                </c:pt>
                <c:pt idx="1413">
                  <c:v>42230</c:v>
                </c:pt>
                <c:pt idx="1414">
                  <c:v>42233</c:v>
                </c:pt>
                <c:pt idx="1415">
                  <c:v>42234</c:v>
                </c:pt>
                <c:pt idx="1416">
                  <c:v>42235</c:v>
                </c:pt>
                <c:pt idx="1417">
                  <c:v>42236</c:v>
                </c:pt>
                <c:pt idx="1418">
                  <c:v>42237</c:v>
                </c:pt>
                <c:pt idx="1419">
                  <c:v>42240</c:v>
                </c:pt>
                <c:pt idx="1420">
                  <c:v>42241</c:v>
                </c:pt>
                <c:pt idx="1421">
                  <c:v>42242</c:v>
                </c:pt>
                <c:pt idx="1422">
                  <c:v>42243</c:v>
                </c:pt>
                <c:pt idx="1423">
                  <c:v>42244</c:v>
                </c:pt>
                <c:pt idx="1424">
                  <c:v>42247</c:v>
                </c:pt>
                <c:pt idx="1425">
                  <c:v>42248</c:v>
                </c:pt>
                <c:pt idx="1426">
                  <c:v>42249</c:v>
                </c:pt>
                <c:pt idx="1427">
                  <c:v>42250</c:v>
                </c:pt>
                <c:pt idx="1428">
                  <c:v>42251</c:v>
                </c:pt>
                <c:pt idx="1429">
                  <c:v>42255</c:v>
                </c:pt>
                <c:pt idx="1430">
                  <c:v>42256</c:v>
                </c:pt>
                <c:pt idx="1431">
                  <c:v>42257</c:v>
                </c:pt>
                <c:pt idx="1432">
                  <c:v>42258</c:v>
                </c:pt>
                <c:pt idx="1433">
                  <c:v>42261</c:v>
                </c:pt>
                <c:pt idx="1434">
                  <c:v>42262</c:v>
                </c:pt>
                <c:pt idx="1435">
                  <c:v>42263</c:v>
                </c:pt>
                <c:pt idx="1436">
                  <c:v>42264</c:v>
                </c:pt>
                <c:pt idx="1437">
                  <c:v>42265</c:v>
                </c:pt>
                <c:pt idx="1438">
                  <c:v>42268</c:v>
                </c:pt>
                <c:pt idx="1439">
                  <c:v>42269</c:v>
                </c:pt>
                <c:pt idx="1440">
                  <c:v>42270</c:v>
                </c:pt>
                <c:pt idx="1441">
                  <c:v>42271</c:v>
                </c:pt>
                <c:pt idx="1442">
                  <c:v>42272</c:v>
                </c:pt>
                <c:pt idx="1443">
                  <c:v>42275</c:v>
                </c:pt>
                <c:pt idx="1444">
                  <c:v>42276</c:v>
                </c:pt>
                <c:pt idx="1445">
                  <c:v>42277</c:v>
                </c:pt>
                <c:pt idx="1446">
                  <c:v>42278</c:v>
                </c:pt>
                <c:pt idx="1447">
                  <c:v>42279</c:v>
                </c:pt>
                <c:pt idx="1448">
                  <c:v>42282</c:v>
                </c:pt>
                <c:pt idx="1449">
                  <c:v>42283</c:v>
                </c:pt>
                <c:pt idx="1450">
                  <c:v>42284</c:v>
                </c:pt>
                <c:pt idx="1451">
                  <c:v>42285</c:v>
                </c:pt>
                <c:pt idx="1452">
                  <c:v>42286</c:v>
                </c:pt>
                <c:pt idx="1453">
                  <c:v>42289</c:v>
                </c:pt>
                <c:pt idx="1454">
                  <c:v>42290</c:v>
                </c:pt>
                <c:pt idx="1455">
                  <c:v>42291</c:v>
                </c:pt>
                <c:pt idx="1456">
                  <c:v>42292</c:v>
                </c:pt>
                <c:pt idx="1457">
                  <c:v>42293</c:v>
                </c:pt>
                <c:pt idx="1458">
                  <c:v>42296</c:v>
                </c:pt>
                <c:pt idx="1459">
                  <c:v>42297</c:v>
                </c:pt>
                <c:pt idx="1460">
                  <c:v>42298</c:v>
                </c:pt>
                <c:pt idx="1461">
                  <c:v>42299</c:v>
                </c:pt>
                <c:pt idx="1462">
                  <c:v>42300</c:v>
                </c:pt>
                <c:pt idx="1463">
                  <c:v>42303</c:v>
                </c:pt>
                <c:pt idx="1464">
                  <c:v>42304</c:v>
                </c:pt>
                <c:pt idx="1465">
                  <c:v>42305</c:v>
                </c:pt>
                <c:pt idx="1466">
                  <c:v>42306</c:v>
                </c:pt>
                <c:pt idx="1467">
                  <c:v>42307</c:v>
                </c:pt>
                <c:pt idx="1468">
                  <c:v>42310</c:v>
                </c:pt>
                <c:pt idx="1469">
                  <c:v>42311</c:v>
                </c:pt>
                <c:pt idx="1470">
                  <c:v>42312</c:v>
                </c:pt>
                <c:pt idx="1471">
                  <c:v>42313</c:v>
                </c:pt>
                <c:pt idx="1472">
                  <c:v>42314</c:v>
                </c:pt>
                <c:pt idx="1473">
                  <c:v>42317</c:v>
                </c:pt>
                <c:pt idx="1474">
                  <c:v>42318</c:v>
                </c:pt>
                <c:pt idx="1475">
                  <c:v>42319</c:v>
                </c:pt>
                <c:pt idx="1476">
                  <c:v>42320</c:v>
                </c:pt>
                <c:pt idx="1477">
                  <c:v>42321</c:v>
                </c:pt>
                <c:pt idx="1478">
                  <c:v>42324</c:v>
                </c:pt>
                <c:pt idx="1479">
                  <c:v>42325</c:v>
                </c:pt>
                <c:pt idx="1480">
                  <c:v>42326</c:v>
                </c:pt>
                <c:pt idx="1481">
                  <c:v>42327</c:v>
                </c:pt>
                <c:pt idx="1482">
                  <c:v>42328</c:v>
                </c:pt>
                <c:pt idx="1483">
                  <c:v>42331</c:v>
                </c:pt>
                <c:pt idx="1484">
                  <c:v>42332</c:v>
                </c:pt>
                <c:pt idx="1485">
                  <c:v>42333</c:v>
                </c:pt>
                <c:pt idx="1486">
                  <c:v>42335</c:v>
                </c:pt>
                <c:pt idx="1487">
                  <c:v>42338</c:v>
                </c:pt>
                <c:pt idx="1488">
                  <c:v>42339</c:v>
                </c:pt>
                <c:pt idx="1489">
                  <c:v>42340</c:v>
                </c:pt>
                <c:pt idx="1490">
                  <c:v>42341</c:v>
                </c:pt>
                <c:pt idx="1491">
                  <c:v>42342</c:v>
                </c:pt>
                <c:pt idx="1492">
                  <c:v>42345</c:v>
                </c:pt>
                <c:pt idx="1493">
                  <c:v>42346</c:v>
                </c:pt>
                <c:pt idx="1494">
                  <c:v>42347</c:v>
                </c:pt>
                <c:pt idx="1495">
                  <c:v>42348</c:v>
                </c:pt>
                <c:pt idx="1496">
                  <c:v>42349</c:v>
                </c:pt>
                <c:pt idx="1497">
                  <c:v>42352</c:v>
                </c:pt>
                <c:pt idx="1498">
                  <c:v>42353</c:v>
                </c:pt>
                <c:pt idx="1499">
                  <c:v>42354</c:v>
                </c:pt>
                <c:pt idx="1500">
                  <c:v>42355</c:v>
                </c:pt>
                <c:pt idx="1501">
                  <c:v>42356</c:v>
                </c:pt>
                <c:pt idx="1502">
                  <c:v>42359</c:v>
                </c:pt>
                <c:pt idx="1503">
                  <c:v>42360</c:v>
                </c:pt>
                <c:pt idx="1504">
                  <c:v>42361</c:v>
                </c:pt>
                <c:pt idx="1505">
                  <c:v>42362</c:v>
                </c:pt>
                <c:pt idx="1506">
                  <c:v>42366</c:v>
                </c:pt>
                <c:pt idx="1507">
                  <c:v>42367</c:v>
                </c:pt>
                <c:pt idx="1508">
                  <c:v>42368</c:v>
                </c:pt>
                <c:pt idx="1509">
                  <c:v>42369</c:v>
                </c:pt>
                <c:pt idx="1510">
                  <c:v>42373</c:v>
                </c:pt>
                <c:pt idx="1511">
                  <c:v>42374</c:v>
                </c:pt>
                <c:pt idx="1512">
                  <c:v>42375</c:v>
                </c:pt>
                <c:pt idx="1513">
                  <c:v>42376</c:v>
                </c:pt>
                <c:pt idx="1514">
                  <c:v>42377</c:v>
                </c:pt>
                <c:pt idx="1515">
                  <c:v>42380</c:v>
                </c:pt>
                <c:pt idx="1516">
                  <c:v>42381</c:v>
                </c:pt>
                <c:pt idx="1517">
                  <c:v>42382</c:v>
                </c:pt>
                <c:pt idx="1518">
                  <c:v>42383</c:v>
                </c:pt>
                <c:pt idx="1519">
                  <c:v>42384</c:v>
                </c:pt>
                <c:pt idx="1520">
                  <c:v>42388</c:v>
                </c:pt>
                <c:pt idx="1521">
                  <c:v>42389</c:v>
                </c:pt>
                <c:pt idx="1522">
                  <c:v>42390</c:v>
                </c:pt>
                <c:pt idx="1523">
                  <c:v>42391</c:v>
                </c:pt>
                <c:pt idx="1524">
                  <c:v>42394</c:v>
                </c:pt>
                <c:pt idx="1525">
                  <c:v>42395</c:v>
                </c:pt>
                <c:pt idx="1526">
                  <c:v>42396</c:v>
                </c:pt>
                <c:pt idx="1527">
                  <c:v>42397</c:v>
                </c:pt>
                <c:pt idx="1528">
                  <c:v>42398</c:v>
                </c:pt>
                <c:pt idx="1529">
                  <c:v>42401</c:v>
                </c:pt>
                <c:pt idx="1530">
                  <c:v>42402</c:v>
                </c:pt>
                <c:pt idx="1531">
                  <c:v>42403</c:v>
                </c:pt>
                <c:pt idx="1532">
                  <c:v>42404</c:v>
                </c:pt>
                <c:pt idx="1533">
                  <c:v>42405</c:v>
                </c:pt>
                <c:pt idx="1534">
                  <c:v>42408</c:v>
                </c:pt>
                <c:pt idx="1535">
                  <c:v>42409</c:v>
                </c:pt>
                <c:pt idx="1536">
                  <c:v>42410</c:v>
                </c:pt>
                <c:pt idx="1537">
                  <c:v>42411</c:v>
                </c:pt>
                <c:pt idx="1538">
                  <c:v>42412</c:v>
                </c:pt>
                <c:pt idx="1539">
                  <c:v>42416</c:v>
                </c:pt>
                <c:pt idx="1540">
                  <c:v>42417</c:v>
                </c:pt>
                <c:pt idx="1541">
                  <c:v>42418</c:v>
                </c:pt>
                <c:pt idx="1542">
                  <c:v>42419</c:v>
                </c:pt>
                <c:pt idx="1543">
                  <c:v>42422</c:v>
                </c:pt>
                <c:pt idx="1544">
                  <c:v>42423</c:v>
                </c:pt>
                <c:pt idx="1545">
                  <c:v>42424</c:v>
                </c:pt>
                <c:pt idx="1546">
                  <c:v>42425</c:v>
                </c:pt>
                <c:pt idx="1547">
                  <c:v>42426</c:v>
                </c:pt>
                <c:pt idx="1548">
                  <c:v>42429</c:v>
                </c:pt>
                <c:pt idx="1549">
                  <c:v>42430</c:v>
                </c:pt>
                <c:pt idx="1550">
                  <c:v>42431</c:v>
                </c:pt>
                <c:pt idx="1551">
                  <c:v>42432</c:v>
                </c:pt>
                <c:pt idx="1552">
                  <c:v>42433</c:v>
                </c:pt>
                <c:pt idx="1553">
                  <c:v>42436</c:v>
                </c:pt>
                <c:pt idx="1554">
                  <c:v>42437</c:v>
                </c:pt>
                <c:pt idx="1555">
                  <c:v>42438</c:v>
                </c:pt>
                <c:pt idx="1556">
                  <c:v>42439</c:v>
                </c:pt>
                <c:pt idx="1557">
                  <c:v>42440</c:v>
                </c:pt>
                <c:pt idx="1558">
                  <c:v>42443</c:v>
                </c:pt>
                <c:pt idx="1559">
                  <c:v>42444</c:v>
                </c:pt>
                <c:pt idx="1560">
                  <c:v>42445</c:v>
                </c:pt>
                <c:pt idx="1561">
                  <c:v>42446</c:v>
                </c:pt>
                <c:pt idx="1562">
                  <c:v>42447</c:v>
                </c:pt>
                <c:pt idx="1563">
                  <c:v>42450</c:v>
                </c:pt>
                <c:pt idx="1564">
                  <c:v>42451</c:v>
                </c:pt>
                <c:pt idx="1565">
                  <c:v>42452</c:v>
                </c:pt>
                <c:pt idx="1566">
                  <c:v>42453</c:v>
                </c:pt>
                <c:pt idx="1567">
                  <c:v>42457</c:v>
                </c:pt>
                <c:pt idx="1568">
                  <c:v>42458</c:v>
                </c:pt>
                <c:pt idx="1569">
                  <c:v>42459</c:v>
                </c:pt>
                <c:pt idx="1570">
                  <c:v>42460</c:v>
                </c:pt>
                <c:pt idx="1571">
                  <c:v>42461</c:v>
                </c:pt>
                <c:pt idx="1572">
                  <c:v>42464</c:v>
                </c:pt>
                <c:pt idx="1573">
                  <c:v>42465</c:v>
                </c:pt>
                <c:pt idx="1574">
                  <c:v>42466</c:v>
                </c:pt>
                <c:pt idx="1575">
                  <c:v>42467</c:v>
                </c:pt>
                <c:pt idx="1576">
                  <c:v>42468</c:v>
                </c:pt>
                <c:pt idx="1577">
                  <c:v>42471</c:v>
                </c:pt>
                <c:pt idx="1578">
                  <c:v>42472</c:v>
                </c:pt>
                <c:pt idx="1579">
                  <c:v>42473</c:v>
                </c:pt>
                <c:pt idx="1580">
                  <c:v>42474</c:v>
                </c:pt>
                <c:pt idx="1581">
                  <c:v>42475</c:v>
                </c:pt>
                <c:pt idx="1582">
                  <c:v>42478</c:v>
                </c:pt>
                <c:pt idx="1583">
                  <c:v>42479</c:v>
                </c:pt>
                <c:pt idx="1584">
                  <c:v>42480</c:v>
                </c:pt>
                <c:pt idx="1585">
                  <c:v>42481</c:v>
                </c:pt>
                <c:pt idx="1586">
                  <c:v>42482</c:v>
                </c:pt>
                <c:pt idx="1587">
                  <c:v>42485</c:v>
                </c:pt>
                <c:pt idx="1588">
                  <c:v>42486</c:v>
                </c:pt>
                <c:pt idx="1589">
                  <c:v>42487</c:v>
                </c:pt>
                <c:pt idx="1590">
                  <c:v>42488</c:v>
                </c:pt>
                <c:pt idx="1591">
                  <c:v>42489</c:v>
                </c:pt>
                <c:pt idx="1592">
                  <c:v>42492</c:v>
                </c:pt>
                <c:pt idx="1593">
                  <c:v>42493</c:v>
                </c:pt>
                <c:pt idx="1594">
                  <c:v>42494</c:v>
                </c:pt>
                <c:pt idx="1595">
                  <c:v>42495</c:v>
                </c:pt>
                <c:pt idx="1596">
                  <c:v>42496</c:v>
                </c:pt>
                <c:pt idx="1597">
                  <c:v>42499</c:v>
                </c:pt>
                <c:pt idx="1598">
                  <c:v>42500</c:v>
                </c:pt>
                <c:pt idx="1599">
                  <c:v>42501</c:v>
                </c:pt>
                <c:pt idx="1600">
                  <c:v>42502</c:v>
                </c:pt>
                <c:pt idx="1601">
                  <c:v>42503</c:v>
                </c:pt>
                <c:pt idx="1602">
                  <c:v>42506</c:v>
                </c:pt>
                <c:pt idx="1603">
                  <c:v>42507</c:v>
                </c:pt>
                <c:pt idx="1604">
                  <c:v>42508</c:v>
                </c:pt>
                <c:pt idx="1605">
                  <c:v>42509</c:v>
                </c:pt>
                <c:pt idx="1606">
                  <c:v>42510</c:v>
                </c:pt>
                <c:pt idx="1607">
                  <c:v>42513</c:v>
                </c:pt>
                <c:pt idx="1608">
                  <c:v>42514</c:v>
                </c:pt>
                <c:pt idx="1609">
                  <c:v>42515</c:v>
                </c:pt>
                <c:pt idx="1610">
                  <c:v>42516</c:v>
                </c:pt>
                <c:pt idx="1611">
                  <c:v>42517</c:v>
                </c:pt>
                <c:pt idx="1612">
                  <c:v>42521</c:v>
                </c:pt>
                <c:pt idx="1613">
                  <c:v>42522</c:v>
                </c:pt>
                <c:pt idx="1614">
                  <c:v>42523</c:v>
                </c:pt>
                <c:pt idx="1615">
                  <c:v>42524</c:v>
                </c:pt>
                <c:pt idx="1616">
                  <c:v>42527</c:v>
                </c:pt>
                <c:pt idx="1617">
                  <c:v>42528</c:v>
                </c:pt>
                <c:pt idx="1618">
                  <c:v>42529</c:v>
                </c:pt>
                <c:pt idx="1619">
                  <c:v>42530</c:v>
                </c:pt>
                <c:pt idx="1620">
                  <c:v>42531</c:v>
                </c:pt>
                <c:pt idx="1621">
                  <c:v>42534</c:v>
                </c:pt>
                <c:pt idx="1622">
                  <c:v>42535</c:v>
                </c:pt>
                <c:pt idx="1623">
                  <c:v>42536</c:v>
                </c:pt>
                <c:pt idx="1624">
                  <c:v>42537</c:v>
                </c:pt>
                <c:pt idx="1625">
                  <c:v>42538</c:v>
                </c:pt>
                <c:pt idx="1626">
                  <c:v>42541</c:v>
                </c:pt>
                <c:pt idx="1627">
                  <c:v>42542</c:v>
                </c:pt>
                <c:pt idx="1628">
                  <c:v>42543</c:v>
                </c:pt>
                <c:pt idx="1629">
                  <c:v>42544</c:v>
                </c:pt>
                <c:pt idx="1630">
                  <c:v>42545</c:v>
                </c:pt>
                <c:pt idx="1631">
                  <c:v>42548</c:v>
                </c:pt>
                <c:pt idx="1632">
                  <c:v>42549</c:v>
                </c:pt>
                <c:pt idx="1633">
                  <c:v>42550</c:v>
                </c:pt>
                <c:pt idx="1634">
                  <c:v>42551</c:v>
                </c:pt>
                <c:pt idx="1635">
                  <c:v>42552</c:v>
                </c:pt>
                <c:pt idx="1636">
                  <c:v>42556</c:v>
                </c:pt>
                <c:pt idx="1637">
                  <c:v>42557</c:v>
                </c:pt>
                <c:pt idx="1638">
                  <c:v>42558</c:v>
                </c:pt>
                <c:pt idx="1639">
                  <c:v>42559</c:v>
                </c:pt>
                <c:pt idx="1640">
                  <c:v>42562</c:v>
                </c:pt>
                <c:pt idx="1641">
                  <c:v>42563</c:v>
                </c:pt>
                <c:pt idx="1642">
                  <c:v>42564</c:v>
                </c:pt>
                <c:pt idx="1643">
                  <c:v>42565</c:v>
                </c:pt>
                <c:pt idx="1644">
                  <c:v>42566</c:v>
                </c:pt>
                <c:pt idx="1645">
                  <c:v>42569</c:v>
                </c:pt>
                <c:pt idx="1646">
                  <c:v>42570</c:v>
                </c:pt>
                <c:pt idx="1647">
                  <c:v>42571</c:v>
                </c:pt>
                <c:pt idx="1648">
                  <c:v>42572</c:v>
                </c:pt>
                <c:pt idx="1649">
                  <c:v>42573</c:v>
                </c:pt>
                <c:pt idx="1650">
                  <c:v>42576</c:v>
                </c:pt>
                <c:pt idx="1651">
                  <c:v>42577</c:v>
                </c:pt>
                <c:pt idx="1652">
                  <c:v>42578</c:v>
                </c:pt>
                <c:pt idx="1653">
                  <c:v>42579</c:v>
                </c:pt>
                <c:pt idx="1654">
                  <c:v>42580</c:v>
                </c:pt>
                <c:pt idx="1655">
                  <c:v>42583</c:v>
                </c:pt>
                <c:pt idx="1656">
                  <c:v>42584</c:v>
                </c:pt>
                <c:pt idx="1657">
                  <c:v>42585</c:v>
                </c:pt>
                <c:pt idx="1658">
                  <c:v>42586</c:v>
                </c:pt>
                <c:pt idx="1659">
                  <c:v>42587</c:v>
                </c:pt>
                <c:pt idx="1660">
                  <c:v>42590</c:v>
                </c:pt>
                <c:pt idx="1661">
                  <c:v>42591</c:v>
                </c:pt>
                <c:pt idx="1662">
                  <c:v>42592</c:v>
                </c:pt>
                <c:pt idx="1663">
                  <c:v>42593</c:v>
                </c:pt>
                <c:pt idx="1664">
                  <c:v>42594</c:v>
                </c:pt>
                <c:pt idx="1665">
                  <c:v>42597</c:v>
                </c:pt>
                <c:pt idx="1666">
                  <c:v>42598</c:v>
                </c:pt>
                <c:pt idx="1667">
                  <c:v>42599</c:v>
                </c:pt>
                <c:pt idx="1668">
                  <c:v>42600</c:v>
                </c:pt>
                <c:pt idx="1669">
                  <c:v>42601</c:v>
                </c:pt>
                <c:pt idx="1670">
                  <c:v>42604</c:v>
                </c:pt>
                <c:pt idx="1671">
                  <c:v>42605</c:v>
                </c:pt>
                <c:pt idx="1672">
                  <c:v>42606</c:v>
                </c:pt>
                <c:pt idx="1673">
                  <c:v>42607</c:v>
                </c:pt>
                <c:pt idx="1674">
                  <c:v>42608</c:v>
                </c:pt>
                <c:pt idx="1675">
                  <c:v>42611</c:v>
                </c:pt>
                <c:pt idx="1676">
                  <c:v>42612</c:v>
                </c:pt>
                <c:pt idx="1677">
                  <c:v>42613</c:v>
                </c:pt>
                <c:pt idx="1678">
                  <c:v>42614</c:v>
                </c:pt>
                <c:pt idx="1679">
                  <c:v>42615</c:v>
                </c:pt>
                <c:pt idx="1680">
                  <c:v>42619</c:v>
                </c:pt>
                <c:pt idx="1681">
                  <c:v>42620</c:v>
                </c:pt>
                <c:pt idx="1682">
                  <c:v>42621</c:v>
                </c:pt>
                <c:pt idx="1683">
                  <c:v>42622</c:v>
                </c:pt>
                <c:pt idx="1684">
                  <c:v>42625</c:v>
                </c:pt>
                <c:pt idx="1685">
                  <c:v>42626</c:v>
                </c:pt>
                <c:pt idx="1686">
                  <c:v>42627</c:v>
                </c:pt>
                <c:pt idx="1687">
                  <c:v>42628</c:v>
                </c:pt>
                <c:pt idx="1688">
                  <c:v>42629</c:v>
                </c:pt>
                <c:pt idx="1689">
                  <c:v>42632</c:v>
                </c:pt>
                <c:pt idx="1690">
                  <c:v>42633</c:v>
                </c:pt>
                <c:pt idx="1691">
                  <c:v>42634</c:v>
                </c:pt>
                <c:pt idx="1692">
                  <c:v>42635</c:v>
                </c:pt>
                <c:pt idx="1693">
                  <c:v>42636</c:v>
                </c:pt>
                <c:pt idx="1694">
                  <c:v>42639</c:v>
                </c:pt>
                <c:pt idx="1695">
                  <c:v>42640</c:v>
                </c:pt>
                <c:pt idx="1696">
                  <c:v>42641</c:v>
                </c:pt>
                <c:pt idx="1697">
                  <c:v>42642</c:v>
                </c:pt>
                <c:pt idx="1698">
                  <c:v>42643</c:v>
                </c:pt>
                <c:pt idx="1699">
                  <c:v>42646</c:v>
                </c:pt>
                <c:pt idx="1700">
                  <c:v>42647</c:v>
                </c:pt>
                <c:pt idx="1701">
                  <c:v>42648</c:v>
                </c:pt>
                <c:pt idx="1702">
                  <c:v>42649</c:v>
                </c:pt>
                <c:pt idx="1703">
                  <c:v>42650</c:v>
                </c:pt>
                <c:pt idx="1704">
                  <c:v>42653</c:v>
                </c:pt>
                <c:pt idx="1705">
                  <c:v>42654</c:v>
                </c:pt>
                <c:pt idx="1706">
                  <c:v>42655</c:v>
                </c:pt>
                <c:pt idx="1707">
                  <c:v>42656</c:v>
                </c:pt>
                <c:pt idx="1708">
                  <c:v>42657</c:v>
                </c:pt>
                <c:pt idx="1709">
                  <c:v>42660</c:v>
                </c:pt>
                <c:pt idx="1710">
                  <c:v>42661</c:v>
                </c:pt>
                <c:pt idx="1711">
                  <c:v>42662</c:v>
                </c:pt>
                <c:pt idx="1712">
                  <c:v>42663</c:v>
                </c:pt>
                <c:pt idx="1713">
                  <c:v>42664</c:v>
                </c:pt>
                <c:pt idx="1714">
                  <c:v>42667</c:v>
                </c:pt>
                <c:pt idx="1715">
                  <c:v>42668</c:v>
                </c:pt>
                <c:pt idx="1716">
                  <c:v>42669</c:v>
                </c:pt>
                <c:pt idx="1717">
                  <c:v>42670</c:v>
                </c:pt>
                <c:pt idx="1718">
                  <c:v>42671</c:v>
                </c:pt>
                <c:pt idx="1719">
                  <c:v>42674</c:v>
                </c:pt>
                <c:pt idx="1720">
                  <c:v>42675</c:v>
                </c:pt>
                <c:pt idx="1721">
                  <c:v>42676</c:v>
                </c:pt>
                <c:pt idx="1722">
                  <c:v>42677</c:v>
                </c:pt>
                <c:pt idx="1723">
                  <c:v>42678</c:v>
                </c:pt>
                <c:pt idx="1724">
                  <c:v>42681</c:v>
                </c:pt>
                <c:pt idx="1725">
                  <c:v>42682</c:v>
                </c:pt>
                <c:pt idx="1726">
                  <c:v>42683</c:v>
                </c:pt>
                <c:pt idx="1727">
                  <c:v>42684</c:v>
                </c:pt>
                <c:pt idx="1728">
                  <c:v>42685</c:v>
                </c:pt>
                <c:pt idx="1729">
                  <c:v>42688</c:v>
                </c:pt>
                <c:pt idx="1730">
                  <c:v>42689</c:v>
                </c:pt>
                <c:pt idx="1731">
                  <c:v>42690</c:v>
                </c:pt>
                <c:pt idx="1732">
                  <c:v>42691</c:v>
                </c:pt>
                <c:pt idx="1733">
                  <c:v>42692</c:v>
                </c:pt>
                <c:pt idx="1734">
                  <c:v>42695</c:v>
                </c:pt>
                <c:pt idx="1735">
                  <c:v>42696</c:v>
                </c:pt>
                <c:pt idx="1736">
                  <c:v>42697</c:v>
                </c:pt>
                <c:pt idx="1737">
                  <c:v>42699</c:v>
                </c:pt>
                <c:pt idx="1738">
                  <c:v>42702</c:v>
                </c:pt>
                <c:pt idx="1739">
                  <c:v>42703</c:v>
                </c:pt>
                <c:pt idx="1740">
                  <c:v>42704</c:v>
                </c:pt>
                <c:pt idx="1741">
                  <c:v>42705</c:v>
                </c:pt>
                <c:pt idx="1742">
                  <c:v>42706</c:v>
                </c:pt>
                <c:pt idx="1743">
                  <c:v>42709</c:v>
                </c:pt>
                <c:pt idx="1744">
                  <c:v>42710</c:v>
                </c:pt>
                <c:pt idx="1745">
                  <c:v>42711</c:v>
                </c:pt>
                <c:pt idx="1746">
                  <c:v>42712</c:v>
                </c:pt>
                <c:pt idx="1747">
                  <c:v>42713</c:v>
                </c:pt>
                <c:pt idx="1748">
                  <c:v>42716</c:v>
                </c:pt>
                <c:pt idx="1749">
                  <c:v>42717</c:v>
                </c:pt>
                <c:pt idx="1750">
                  <c:v>42718</c:v>
                </c:pt>
                <c:pt idx="1751">
                  <c:v>42719</c:v>
                </c:pt>
                <c:pt idx="1752">
                  <c:v>42720</c:v>
                </c:pt>
                <c:pt idx="1753">
                  <c:v>42723</c:v>
                </c:pt>
                <c:pt idx="1754">
                  <c:v>42724</c:v>
                </c:pt>
                <c:pt idx="1755">
                  <c:v>42725</c:v>
                </c:pt>
                <c:pt idx="1756">
                  <c:v>42726</c:v>
                </c:pt>
                <c:pt idx="1757">
                  <c:v>42727</c:v>
                </c:pt>
                <c:pt idx="1758">
                  <c:v>42731</c:v>
                </c:pt>
                <c:pt idx="1759">
                  <c:v>42732</c:v>
                </c:pt>
                <c:pt idx="1760">
                  <c:v>42733</c:v>
                </c:pt>
                <c:pt idx="1761">
                  <c:v>42734</c:v>
                </c:pt>
              </c:numCache>
            </c:numRef>
          </c:xVal>
          <c:yVal>
            <c:numRef>
              <c:f>'[1]AR GARCH Manuel'!$F$5:$F$1766</c:f>
              <c:numCache>
                <c:formatCode>General</c:formatCode>
                <c:ptCount val="1762"/>
                <c:pt idx="3">
                  <c:v>5.0111330740536288E-3</c:v>
                </c:pt>
                <c:pt idx="4">
                  <c:v>1.7392520056478691E-2</c:v>
                </c:pt>
                <c:pt idx="5">
                  <c:v>1.2367277683248816E-2</c:v>
                </c:pt>
                <c:pt idx="6">
                  <c:v>-3.4024824603083051E-2</c:v>
                </c:pt>
                <c:pt idx="7">
                  <c:v>3.5837190397616542E-2</c:v>
                </c:pt>
                <c:pt idx="8">
                  <c:v>-1.7848613906613978E-2</c:v>
                </c:pt>
                <c:pt idx="9">
                  <c:v>-2.300508154720704E-2</c:v>
                </c:pt>
                <c:pt idx="10">
                  <c:v>9.5381098603622809E-3</c:v>
                </c:pt>
                <c:pt idx="11">
                  <c:v>-6.4252525750924105E-3</c:v>
                </c:pt>
                <c:pt idx="12">
                  <c:v>3.9860683376169784E-4</c:v>
                </c:pt>
                <c:pt idx="13">
                  <c:v>-5.0035916727928474E-2</c:v>
                </c:pt>
                <c:pt idx="14">
                  <c:v>-8.0905207049305969E-3</c:v>
                </c:pt>
                <c:pt idx="15">
                  <c:v>-7.6105635938593834E-3</c:v>
                </c:pt>
                <c:pt idx="16">
                  <c:v>9.6906013032615843E-3</c:v>
                </c:pt>
                <c:pt idx="17">
                  <c:v>-2.0062787856823791E-2</c:v>
                </c:pt>
                <c:pt idx="18">
                  <c:v>-1.2413966857955615E-2</c:v>
                </c:pt>
                <c:pt idx="19">
                  <c:v>4.5826987184474123E-4</c:v>
                </c:pt>
                <c:pt idx="20">
                  <c:v>5.1256566806882464E-3</c:v>
                </c:pt>
                <c:pt idx="21">
                  <c:v>2.5711599910658408E-2</c:v>
                </c:pt>
                <c:pt idx="22">
                  <c:v>-5.2397123855905947E-2</c:v>
                </c:pt>
                <c:pt idx="23">
                  <c:v>-1.3619693343251036E-2</c:v>
                </c:pt>
                <c:pt idx="24">
                  <c:v>1.5564902329291055E-2</c:v>
                </c:pt>
                <c:pt idx="25">
                  <c:v>-4.7798126035325343E-5</c:v>
                </c:pt>
                <c:pt idx="26">
                  <c:v>-1.9444938526138676E-3</c:v>
                </c:pt>
                <c:pt idx="27">
                  <c:v>1.1848468520534493E-2</c:v>
                </c:pt>
                <c:pt idx="28">
                  <c:v>-3.0021710411178248E-2</c:v>
                </c:pt>
                <c:pt idx="29">
                  <c:v>4.8704698531034339E-2</c:v>
                </c:pt>
                <c:pt idx="30">
                  <c:v>1.3565979054947958E-2</c:v>
                </c:pt>
                <c:pt idx="31">
                  <c:v>-6.3995840208646553E-3</c:v>
                </c:pt>
                <c:pt idx="32">
                  <c:v>6.1027022112779359E-4</c:v>
                </c:pt>
                <c:pt idx="33">
                  <c:v>5.6900562902512976E-4</c:v>
                </c:pt>
                <c:pt idx="34">
                  <c:v>-1.5829040541900791E-2</c:v>
                </c:pt>
                <c:pt idx="35">
                  <c:v>-1.7148411838157449E-2</c:v>
                </c:pt>
                <c:pt idx="36">
                  <c:v>-3.9737911996309975E-3</c:v>
                </c:pt>
                <c:pt idx="37">
                  <c:v>2.8937867127826495E-3</c:v>
                </c:pt>
                <c:pt idx="38">
                  <c:v>-1.7756741360168901E-3</c:v>
                </c:pt>
                <c:pt idx="39">
                  <c:v>4.6436679632786755E-2</c:v>
                </c:pt>
                <c:pt idx="40">
                  <c:v>5.6029906930310834E-3</c:v>
                </c:pt>
                <c:pt idx="41">
                  <c:v>1.3410554341943982E-2</c:v>
                </c:pt>
                <c:pt idx="42">
                  <c:v>-4.6404549853562328E-3</c:v>
                </c:pt>
                <c:pt idx="43">
                  <c:v>4.6955836992278691E-2</c:v>
                </c:pt>
                <c:pt idx="44">
                  <c:v>1.0716933240409792E-3</c:v>
                </c:pt>
                <c:pt idx="45">
                  <c:v>3.7922534841558518E-2</c:v>
                </c:pt>
                <c:pt idx="46">
                  <c:v>1.964362173752119E-2</c:v>
                </c:pt>
                <c:pt idx="47">
                  <c:v>2.0345540615327791E-2</c:v>
                </c:pt>
                <c:pt idx="48">
                  <c:v>2.3043851054424178E-3</c:v>
                </c:pt>
                <c:pt idx="49">
                  <c:v>-7.8444572242287632E-3</c:v>
                </c:pt>
                <c:pt idx="50">
                  <c:v>1.1481218424433197E-2</c:v>
                </c:pt>
                <c:pt idx="51">
                  <c:v>1.6392182648966391E-3</c:v>
                </c:pt>
                <c:pt idx="52">
                  <c:v>-3.9250847534860397E-4</c:v>
                </c:pt>
                <c:pt idx="53">
                  <c:v>-1.5006516361831179E-3</c:v>
                </c:pt>
                <c:pt idx="54">
                  <c:v>6.5442626942704193E-3</c:v>
                </c:pt>
                <c:pt idx="55">
                  <c:v>8.0839040107195167E-3</c:v>
                </c:pt>
                <c:pt idx="56">
                  <c:v>3.0458529187872681E-2</c:v>
                </c:pt>
                <c:pt idx="57">
                  <c:v>-3.6950586707106499E-2</c:v>
                </c:pt>
                <c:pt idx="58">
                  <c:v>2.5329751703678797E-2</c:v>
                </c:pt>
                <c:pt idx="59">
                  <c:v>1.7479510367945719E-2</c:v>
                </c:pt>
                <c:pt idx="60">
                  <c:v>-2.9276125474380983E-3</c:v>
                </c:pt>
                <c:pt idx="61">
                  <c:v>-5.0127529924123386E-3</c:v>
                </c:pt>
                <c:pt idx="62">
                  <c:v>1.5013737389373196E-3</c:v>
                </c:pt>
                <c:pt idx="63">
                  <c:v>-8.5854985429250456E-3</c:v>
                </c:pt>
                <c:pt idx="64">
                  <c:v>-1.5140121360198879E-2</c:v>
                </c:pt>
                <c:pt idx="65">
                  <c:v>1.6580304617234694E-2</c:v>
                </c:pt>
                <c:pt idx="66">
                  <c:v>9.6258255117888623E-3</c:v>
                </c:pt>
                <c:pt idx="67">
                  <c:v>9.4186567052226555E-3</c:v>
                </c:pt>
                <c:pt idx="68">
                  <c:v>2.1141940829659991E-2</c:v>
                </c:pt>
                <c:pt idx="69">
                  <c:v>-1.7175539907638912E-3</c:v>
                </c:pt>
                <c:pt idx="70">
                  <c:v>5.141176717585438E-3</c:v>
                </c:pt>
                <c:pt idx="71">
                  <c:v>-4.5358161245695014E-2</c:v>
                </c:pt>
                <c:pt idx="72">
                  <c:v>4.2188163700225207E-3</c:v>
                </c:pt>
                <c:pt idx="73">
                  <c:v>3.2044305306564012E-2</c:v>
                </c:pt>
                <c:pt idx="74">
                  <c:v>-2.2428159326932626E-2</c:v>
                </c:pt>
                <c:pt idx="75">
                  <c:v>-4.741701494572325E-4</c:v>
                </c:pt>
                <c:pt idx="76">
                  <c:v>2.3008598506928444E-3</c:v>
                </c:pt>
                <c:pt idx="77">
                  <c:v>-2.9747186399540458E-2</c:v>
                </c:pt>
                <c:pt idx="78">
                  <c:v>-1.8481019066768464E-3</c:v>
                </c:pt>
                <c:pt idx="79">
                  <c:v>1.3038588522991695E-2</c:v>
                </c:pt>
                <c:pt idx="80">
                  <c:v>5.1360306148218633E-3</c:v>
                </c:pt>
                <c:pt idx="81">
                  <c:v>-3.6765240825452645E-3</c:v>
                </c:pt>
                <c:pt idx="82">
                  <c:v>1.2449975810422745E-3</c:v>
                </c:pt>
                <c:pt idx="83">
                  <c:v>-3.2241940146859258E-2</c:v>
                </c:pt>
                <c:pt idx="84">
                  <c:v>9.0505374587626745E-3</c:v>
                </c:pt>
                <c:pt idx="85">
                  <c:v>-7.6504672841230109E-4</c:v>
                </c:pt>
                <c:pt idx="86">
                  <c:v>-1.6397652633932672E-2</c:v>
                </c:pt>
                <c:pt idx="87">
                  <c:v>7.108062663901725E-2</c:v>
                </c:pt>
                <c:pt idx="88">
                  <c:v>-3.0624846640207017E-2</c:v>
                </c:pt>
                <c:pt idx="89">
                  <c:v>-2.0219281608943152E-2</c:v>
                </c:pt>
                <c:pt idx="90">
                  <c:v>2.6285075542824943E-2</c:v>
                </c:pt>
                <c:pt idx="91">
                  <c:v>-1.1706125780092379E-2</c:v>
                </c:pt>
                <c:pt idx="92">
                  <c:v>6.3046284991149226E-3</c:v>
                </c:pt>
                <c:pt idx="93">
                  <c:v>3.8405833381252967E-3</c:v>
                </c:pt>
                <c:pt idx="94">
                  <c:v>2.24720701030688E-2</c:v>
                </c:pt>
                <c:pt idx="95">
                  <c:v>-4.3684632569742317E-2</c:v>
                </c:pt>
                <c:pt idx="96">
                  <c:v>-1.453888425218609E-2</c:v>
                </c:pt>
                <c:pt idx="97">
                  <c:v>2.6276728052333644E-2</c:v>
                </c:pt>
                <c:pt idx="98">
                  <c:v>2.8594449811288926E-3</c:v>
                </c:pt>
                <c:pt idx="99">
                  <c:v>-9.933039124743406E-3</c:v>
                </c:pt>
                <c:pt idx="100">
                  <c:v>3.5736775776260783E-2</c:v>
                </c:pt>
                <c:pt idx="101">
                  <c:v>-9.8640448549002866E-3</c:v>
                </c:pt>
                <c:pt idx="102">
                  <c:v>-2.2071217126548394E-2</c:v>
                </c:pt>
                <c:pt idx="103">
                  <c:v>3.4116162303175143E-2</c:v>
                </c:pt>
                <c:pt idx="104">
                  <c:v>-6.9512544904485885E-3</c:v>
                </c:pt>
                <c:pt idx="105">
                  <c:v>-2.0338076328227789E-2</c:v>
                </c:pt>
                <c:pt idx="106">
                  <c:v>-4.0214286063711968E-2</c:v>
                </c:pt>
                <c:pt idx="107">
                  <c:v>1.1186201698857007E-2</c:v>
                </c:pt>
                <c:pt idx="108">
                  <c:v>-4.4220007778586097E-3</c:v>
                </c:pt>
                <c:pt idx="109">
                  <c:v>2.8863215602214824E-2</c:v>
                </c:pt>
                <c:pt idx="110">
                  <c:v>6.2691978090026858E-3</c:v>
                </c:pt>
                <c:pt idx="111">
                  <c:v>1.6870474428235773E-2</c:v>
                </c:pt>
                <c:pt idx="112">
                  <c:v>2.6759254037223599E-2</c:v>
                </c:pt>
                <c:pt idx="113">
                  <c:v>2.3482213780121157E-2</c:v>
                </c:pt>
                <c:pt idx="114">
                  <c:v>-5.8679795439290777E-2</c:v>
                </c:pt>
                <c:pt idx="115">
                  <c:v>-3.745766176329832E-3</c:v>
                </c:pt>
                <c:pt idx="116">
                  <c:v>-1.0482802486076005E-2</c:v>
                </c:pt>
                <c:pt idx="117">
                  <c:v>-8.7465785871904157E-3</c:v>
                </c:pt>
                <c:pt idx="118">
                  <c:v>1.1530626258736661E-2</c:v>
                </c:pt>
                <c:pt idx="119">
                  <c:v>-1.3150983572223413E-2</c:v>
                </c:pt>
                <c:pt idx="120">
                  <c:v>-4.9732058900716246E-3</c:v>
                </c:pt>
                <c:pt idx="121">
                  <c:v>-9.5151345494353962E-4</c:v>
                </c:pt>
                <c:pt idx="122">
                  <c:v>-3.9382846082240831E-2</c:v>
                </c:pt>
                <c:pt idx="123">
                  <c:v>-2.7207385627851726E-2</c:v>
                </c:pt>
                <c:pt idx="124">
                  <c:v>-2.0902378043791699E-2</c:v>
                </c:pt>
                <c:pt idx="125">
                  <c:v>2.527073088105198E-2</c:v>
                </c:pt>
                <c:pt idx="126">
                  <c:v>-2.4382119871171623E-3</c:v>
                </c:pt>
                <c:pt idx="127">
                  <c:v>2.1493989186369987E-2</c:v>
                </c:pt>
                <c:pt idx="128">
                  <c:v>1.2792134936264453E-2</c:v>
                </c:pt>
                <c:pt idx="129">
                  <c:v>6.4923901878036344E-3</c:v>
                </c:pt>
                <c:pt idx="130">
                  <c:v>1.9526997613508769E-2</c:v>
                </c:pt>
                <c:pt idx="131">
                  <c:v>1.8897216129521097E-3</c:v>
                </c:pt>
                <c:pt idx="132">
                  <c:v>-2.2541392893641793E-2</c:v>
                </c:pt>
                <c:pt idx="133">
                  <c:v>-2.9631059098618032E-2</c:v>
                </c:pt>
                <c:pt idx="134">
                  <c:v>-0.10240205090864715</c:v>
                </c:pt>
                <c:pt idx="135">
                  <c:v>-1.5712568015902248E-2</c:v>
                </c:pt>
                <c:pt idx="136">
                  <c:v>8.0433228781328386E-2</c:v>
                </c:pt>
                <c:pt idx="137">
                  <c:v>-2.0340122292706295E-2</c:v>
                </c:pt>
                <c:pt idx="138">
                  <c:v>-7.282535529542486E-3</c:v>
                </c:pt>
                <c:pt idx="139">
                  <c:v>6.6205348038091388E-2</c:v>
                </c:pt>
                <c:pt idx="140">
                  <c:v>-0.11528916694263133</c:v>
                </c:pt>
                <c:pt idx="141">
                  <c:v>-3.2929577677341684E-2</c:v>
                </c:pt>
                <c:pt idx="142">
                  <c:v>-2.5993590925206183E-2</c:v>
                </c:pt>
                <c:pt idx="143">
                  <c:v>1.3477198803899757E-2</c:v>
                </c:pt>
                <c:pt idx="144">
                  <c:v>5.5312930692963027E-3</c:v>
                </c:pt>
                <c:pt idx="145">
                  <c:v>1.4646480711387454E-2</c:v>
                </c:pt>
                <c:pt idx="146">
                  <c:v>5.3959023837434907E-4</c:v>
                </c:pt>
                <c:pt idx="147">
                  <c:v>2.5655179024872729E-2</c:v>
                </c:pt>
                <c:pt idx="148">
                  <c:v>-5.8822523058284174E-3</c:v>
                </c:pt>
                <c:pt idx="149">
                  <c:v>7.3591030236665241E-3</c:v>
                </c:pt>
                <c:pt idx="150">
                  <c:v>3.1546136354866181E-2</c:v>
                </c:pt>
                <c:pt idx="151">
                  <c:v>6.8328751242653068E-3</c:v>
                </c:pt>
                <c:pt idx="152">
                  <c:v>-3.1720677248895067E-2</c:v>
                </c:pt>
                <c:pt idx="153">
                  <c:v>1.5687744814266106E-3</c:v>
                </c:pt>
                <c:pt idx="154">
                  <c:v>-4.9498867285477852E-3</c:v>
                </c:pt>
                <c:pt idx="155">
                  <c:v>-3.3805095206067629E-4</c:v>
                </c:pt>
                <c:pt idx="156">
                  <c:v>1.8153568789259104E-2</c:v>
                </c:pt>
                <c:pt idx="157">
                  <c:v>-1.5296965257455875E-2</c:v>
                </c:pt>
                <c:pt idx="158">
                  <c:v>-3.6675832678526407E-2</c:v>
                </c:pt>
                <c:pt idx="159">
                  <c:v>-1.8073767452592839E-2</c:v>
                </c:pt>
                <c:pt idx="160">
                  <c:v>3.4011399482046317E-2</c:v>
                </c:pt>
                <c:pt idx="161">
                  <c:v>-1.8411334216787416E-2</c:v>
                </c:pt>
                <c:pt idx="162">
                  <c:v>-5.2480586792400053E-3</c:v>
                </c:pt>
                <c:pt idx="163">
                  <c:v>5.6460771367739387E-2</c:v>
                </c:pt>
                <c:pt idx="164">
                  <c:v>5.0396459488601622E-2</c:v>
                </c:pt>
                <c:pt idx="165">
                  <c:v>-3.6871263215253032E-2</c:v>
                </c:pt>
                <c:pt idx="166">
                  <c:v>6.4610186679685318E-3</c:v>
                </c:pt>
                <c:pt idx="167">
                  <c:v>2.9877671247706405E-2</c:v>
                </c:pt>
                <c:pt idx="168">
                  <c:v>1.2224011450909556E-2</c:v>
                </c:pt>
                <c:pt idx="169">
                  <c:v>1.1158836860901482E-2</c:v>
                </c:pt>
                <c:pt idx="170">
                  <c:v>-2.1927700205640312E-2</c:v>
                </c:pt>
                <c:pt idx="171">
                  <c:v>1.0205902951163703E-2</c:v>
                </c:pt>
                <c:pt idx="172">
                  <c:v>6.1560298967369958E-3</c:v>
                </c:pt>
                <c:pt idx="173">
                  <c:v>-1.9319645681068857E-2</c:v>
                </c:pt>
                <c:pt idx="174">
                  <c:v>1.1134004956408299E-2</c:v>
                </c:pt>
                <c:pt idx="175">
                  <c:v>5.3093396619824417E-4</c:v>
                </c:pt>
                <c:pt idx="176">
                  <c:v>-2.157110485453374E-4</c:v>
                </c:pt>
                <c:pt idx="177">
                  <c:v>2.7559821271538878E-3</c:v>
                </c:pt>
                <c:pt idx="178">
                  <c:v>2.3933428293886259E-2</c:v>
                </c:pt>
                <c:pt idx="179">
                  <c:v>2.9542927690212443E-2</c:v>
                </c:pt>
                <c:pt idx="180">
                  <c:v>-2.8249608509816476E-3</c:v>
                </c:pt>
                <c:pt idx="181">
                  <c:v>-2.5525521687033453E-2</c:v>
                </c:pt>
                <c:pt idx="182">
                  <c:v>2.1633717597574417E-2</c:v>
                </c:pt>
                <c:pt idx="183">
                  <c:v>2.9665817740437916E-2</c:v>
                </c:pt>
                <c:pt idx="184">
                  <c:v>-6.6707863287482636E-3</c:v>
                </c:pt>
                <c:pt idx="185">
                  <c:v>-3.981203276080391E-2</c:v>
                </c:pt>
                <c:pt idx="186">
                  <c:v>5.5128802174265346E-3</c:v>
                </c:pt>
                <c:pt idx="187">
                  <c:v>1.1571743273692762E-3</c:v>
                </c:pt>
                <c:pt idx="188">
                  <c:v>-9.969660561983994E-3</c:v>
                </c:pt>
                <c:pt idx="189">
                  <c:v>2.6208354347804136E-2</c:v>
                </c:pt>
                <c:pt idx="190">
                  <c:v>4.8837426369296964E-2</c:v>
                </c:pt>
                <c:pt idx="191">
                  <c:v>5.3576224125212301E-3</c:v>
                </c:pt>
                <c:pt idx="192">
                  <c:v>-2.3813951003390954E-2</c:v>
                </c:pt>
                <c:pt idx="193">
                  <c:v>8.9063647530159308E-3</c:v>
                </c:pt>
                <c:pt idx="194">
                  <c:v>2.6090899294266917E-2</c:v>
                </c:pt>
                <c:pt idx="195">
                  <c:v>2.1964117155339975E-2</c:v>
                </c:pt>
                <c:pt idx="196">
                  <c:v>-1.5471345757795057E-2</c:v>
                </c:pt>
                <c:pt idx="197">
                  <c:v>-2.3318805335851768E-2</c:v>
                </c:pt>
                <c:pt idx="198">
                  <c:v>0.11111683166882988</c:v>
                </c:pt>
                <c:pt idx="199">
                  <c:v>2.6889901462023941E-2</c:v>
                </c:pt>
                <c:pt idx="200">
                  <c:v>-7.2937453670990471E-2</c:v>
                </c:pt>
                <c:pt idx="201">
                  <c:v>-5.2583318087142325E-3</c:v>
                </c:pt>
                <c:pt idx="202">
                  <c:v>1.7901551459330315E-2</c:v>
                </c:pt>
                <c:pt idx="203">
                  <c:v>7.1952126161263699E-3</c:v>
                </c:pt>
                <c:pt idx="204">
                  <c:v>2.6832489000102148E-2</c:v>
                </c:pt>
                <c:pt idx="205">
                  <c:v>2.3590708583861118E-2</c:v>
                </c:pt>
                <c:pt idx="206">
                  <c:v>6.0024871351707166E-3</c:v>
                </c:pt>
                <c:pt idx="207">
                  <c:v>-1.591793798380192E-3</c:v>
                </c:pt>
                <c:pt idx="208">
                  <c:v>-1.5212298154924586E-2</c:v>
                </c:pt>
                <c:pt idx="209">
                  <c:v>-7.9199462261162236E-3</c:v>
                </c:pt>
                <c:pt idx="210">
                  <c:v>-2.2707213186917946E-5</c:v>
                </c:pt>
                <c:pt idx="211">
                  <c:v>3.3047805000036828E-3</c:v>
                </c:pt>
                <c:pt idx="212">
                  <c:v>2.2447097773458817E-2</c:v>
                </c:pt>
                <c:pt idx="213">
                  <c:v>-6.771792288063172E-2</c:v>
                </c:pt>
                <c:pt idx="214">
                  <c:v>1.1342557702357625E-2</c:v>
                </c:pt>
                <c:pt idx="215">
                  <c:v>-6.6005941142643952E-4</c:v>
                </c:pt>
                <c:pt idx="216">
                  <c:v>-2.7458131167552033E-4</c:v>
                </c:pt>
                <c:pt idx="217">
                  <c:v>-3.5499218885490392E-3</c:v>
                </c:pt>
                <c:pt idx="218">
                  <c:v>-2.3088215687705065E-2</c:v>
                </c:pt>
                <c:pt idx="219">
                  <c:v>-1.4696694757090088E-2</c:v>
                </c:pt>
                <c:pt idx="220">
                  <c:v>-3.3657550067073716E-2</c:v>
                </c:pt>
                <c:pt idx="221">
                  <c:v>5.0276513223342686E-2</c:v>
                </c:pt>
                <c:pt idx="222">
                  <c:v>7.651389714888121E-2</c:v>
                </c:pt>
                <c:pt idx="223">
                  <c:v>-1.3894352282403538E-2</c:v>
                </c:pt>
                <c:pt idx="224">
                  <c:v>-9.770334835114209E-3</c:v>
                </c:pt>
                <c:pt idx="225">
                  <c:v>-1.2343809823083418E-2</c:v>
                </c:pt>
                <c:pt idx="226">
                  <c:v>5.4974429009901925E-2</c:v>
                </c:pt>
                <c:pt idx="227">
                  <c:v>6.7149523407693222E-3</c:v>
                </c:pt>
                <c:pt idx="228">
                  <c:v>-1.628447885863616E-2</c:v>
                </c:pt>
                <c:pt idx="229">
                  <c:v>-3.6674831314175829E-2</c:v>
                </c:pt>
                <c:pt idx="230">
                  <c:v>2.2071298624863931E-2</c:v>
                </c:pt>
                <c:pt idx="231">
                  <c:v>3.2334690381671256E-2</c:v>
                </c:pt>
                <c:pt idx="232">
                  <c:v>-5.4276576934980175E-3</c:v>
                </c:pt>
                <c:pt idx="233">
                  <c:v>1.1990381810620622E-2</c:v>
                </c:pt>
                <c:pt idx="234">
                  <c:v>7.5992013145077158E-3</c:v>
                </c:pt>
                <c:pt idx="235">
                  <c:v>-5.3818092734681166E-3</c:v>
                </c:pt>
                <c:pt idx="236">
                  <c:v>-1.3624107444185019E-2</c:v>
                </c:pt>
                <c:pt idx="237">
                  <c:v>1.162799255734473E-2</c:v>
                </c:pt>
                <c:pt idx="238">
                  <c:v>1.8995587065751145E-2</c:v>
                </c:pt>
                <c:pt idx="239">
                  <c:v>-9.7179602930866846E-3</c:v>
                </c:pt>
                <c:pt idx="240">
                  <c:v>-2.7084491501381654E-2</c:v>
                </c:pt>
                <c:pt idx="241">
                  <c:v>1.6393689603032228E-2</c:v>
                </c:pt>
                <c:pt idx="242">
                  <c:v>1.3972929519261702E-2</c:v>
                </c:pt>
                <c:pt idx="243">
                  <c:v>-8.1894475985001911E-3</c:v>
                </c:pt>
                <c:pt idx="244">
                  <c:v>2.2273025764742382E-2</c:v>
                </c:pt>
                <c:pt idx="245">
                  <c:v>8.4842727648409659E-4</c:v>
                </c:pt>
                <c:pt idx="246">
                  <c:v>-9.4238863294356465E-3</c:v>
                </c:pt>
                <c:pt idx="247">
                  <c:v>-5.6687010994610704E-3</c:v>
                </c:pt>
                <c:pt idx="248">
                  <c:v>-1.2301957877944898E-2</c:v>
                </c:pt>
                <c:pt idx="249">
                  <c:v>-5.1550458196701343E-2</c:v>
                </c:pt>
                <c:pt idx="250">
                  <c:v>-3.9659612661784131E-2</c:v>
                </c:pt>
                <c:pt idx="251">
                  <c:v>3.8114378108874608E-2</c:v>
                </c:pt>
                <c:pt idx="252">
                  <c:v>-6.2772538568144562E-2</c:v>
                </c:pt>
                <c:pt idx="253">
                  <c:v>1.1271041560713272E-3</c:v>
                </c:pt>
                <c:pt idx="254">
                  <c:v>8.1226014049781588E-3</c:v>
                </c:pt>
                <c:pt idx="255">
                  <c:v>1.5899424389950109E-2</c:v>
                </c:pt>
                <c:pt idx="256">
                  <c:v>-7.2021053209354001E-3</c:v>
                </c:pt>
                <c:pt idx="257">
                  <c:v>1.4964955434085473E-2</c:v>
                </c:pt>
                <c:pt idx="258">
                  <c:v>-6.402370963210062E-2</c:v>
                </c:pt>
                <c:pt idx="259">
                  <c:v>6.3539382029230212E-4</c:v>
                </c:pt>
                <c:pt idx="260">
                  <c:v>-1.0036491401170669E-2</c:v>
                </c:pt>
                <c:pt idx="261">
                  <c:v>-1.6970045003029521E-3</c:v>
                </c:pt>
                <c:pt idx="262">
                  <c:v>2.1328385339493799E-2</c:v>
                </c:pt>
                <c:pt idx="263">
                  <c:v>-2.7845417180823919E-2</c:v>
                </c:pt>
                <c:pt idx="264">
                  <c:v>-6.2765054534424408E-2</c:v>
                </c:pt>
                <c:pt idx="265">
                  <c:v>-6.3056430453159479E-2</c:v>
                </c:pt>
                <c:pt idx="266">
                  <c:v>3.3080979646690607E-2</c:v>
                </c:pt>
                <c:pt idx="267">
                  <c:v>3.3759770376492276E-2</c:v>
                </c:pt>
                <c:pt idx="268">
                  <c:v>7.2843173553981903E-3</c:v>
                </c:pt>
                <c:pt idx="269">
                  <c:v>9.8780930701703722E-3</c:v>
                </c:pt>
                <c:pt idx="270">
                  <c:v>-1.817619832417481E-2</c:v>
                </c:pt>
                <c:pt idx="271">
                  <c:v>-6.1371845258307387E-3</c:v>
                </c:pt>
                <c:pt idx="272">
                  <c:v>6.0766208073539246E-4</c:v>
                </c:pt>
                <c:pt idx="273">
                  <c:v>4.8533822088237241E-2</c:v>
                </c:pt>
                <c:pt idx="274">
                  <c:v>-7.3618525261120352E-2</c:v>
                </c:pt>
                <c:pt idx="275">
                  <c:v>1.420903467405161E-2</c:v>
                </c:pt>
                <c:pt idx="276">
                  <c:v>-3.0017298276178491E-3</c:v>
                </c:pt>
                <c:pt idx="277">
                  <c:v>-4.7133806829503201E-3</c:v>
                </c:pt>
                <c:pt idx="278">
                  <c:v>5.6923978774183533E-3</c:v>
                </c:pt>
                <c:pt idx="279">
                  <c:v>-8.1021216786284107E-3</c:v>
                </c:pt>
                <c:pt idx="280">
                  <c:v>1.2696020383965187E-2</c:v>
                </c:pt>
                <c:pt idx="281">
                  <c:v>2.3887289972497668E-3</c:v>
                </c:pt>
                <c:pt idx="282">
                  <c:v>-6.0490072876086178E-4</c:v>
                </c:pt>
                <c:pt idx="283">
                  <c:v>1.5776955975942676E-2</c:v>
                </c:pt>
                <c:pt idx="284">
                  <c:v>3.6556960385792925E-2</c:v>
                </c:pt>
                <c:pt idx="285">
                  <c:v>4.0282982881164144E-2</c:v>
                </c:pt>
                <c:pt idx="286">
                  <c:v>6.7798925900399362E-3</c:v>
                </c:pt>
                <c:pt idx="287">
                  <c:v>-5.1973360355402502E-2</c:v>
                </c:pt>
                <c:pt idx="288">
                  <c:v>6.3541626538043154E-3</c:v>
                </c:pt>
                <c:pt idx="289">
                  <c:v>7.8037571908941249E-3</c:v>
                </c:pt>
                <c:pt idx="290">
                  <c:v>-2.2826913398333488E-3</c:v>
                </c:pt>
                <c:pt idx="291">
                  <c:v>-7.9181858565952716E-3</c:v>
                </c:pt>
                <c:pt idx="292">
                  <c:v>-1.7332358035258993E-2</c:v>
                </c:pt>
                <c:pt idx="293">
                  <c:v>1.6031748325011745E-2</c:v>
                </c:pt>
                <c:pt idx="294">
                  <c:v>-1.3211058570276392E-2</c:v>
                </c:pt>
                <c:pt idx="295">
                  <c:v>-2.6204518343848768E-2</c:v>
                </c:pt>
                <c:pt idx="296">
                  <c:v>1.565191764550555E-2</c:v>
                </c:pt>
                <c:pt idx="297">
                  <c:v>8.7641398189026842E-3</c:v>
                </c:pt>
                <c:pt idx="298">
                  <c:v>-2.7385827829737218E-2</c:v>
                </c:pt>
                <c:pt idx="299">
                  <c:v>5.5627338446727409E-3</c:v>
                </c:pt>
                <c:pt idx="300">
                  <c:v>9.0687054734364028E-3</c:v>
                </c:pt>
                <c:pt idx="301">
                  <c:v>-3.8930646185765705E-3</c:v>
                </c:pt>
                <c:pt idx="302">
                  <c:v>-2.8957363968116316E-3</c:v>
                </c:pt>
                <c:pt idx="303">
                  <c:v>4.4665014089511443E-2</c:v>
                </c:pt>
                <c:pt idx="304">
                  <c:v>-1.0506657709941311E-2</c:v>
                </c:pt>
                <c:pt idx="305">
                  <c:v>-2.9399047301952724E-3</c:v>
                </c:pt>
                <c:pt idx="306">
                  <c:v>-2.8169738472890904E-3</c:v>
                </c:pt>
                <c:pt idx="307">
                  <c:v>5.0095715711632235E-3</c:v>
                </c:pt>
                <c:pt idx="308">
                  <c:v>2.0752329248210508E-2</c:v>
                </c:pt>
                <c:pt idx="309">
                  <c:v>-1.3436234216560507E-3</c:v>
                </c:pt>
                <c:pt idx="310">
                  <c:v>-8.9934387006256351E-3</c:v>
                </c:pt>
                <c:pt idx="311">
                  <c:v>2.1010438763902909E-2</c:v>
                </c:pt>
                <c:pt idx="312">
                  <c:v>4.2310437403187866E-3</c:v>
                </c:pt>
                <c:pt idx="313">
                  <c:v>-2.3537353016938947E-3</c:v>
                </c:pt>
                <c:pt idx="314">
                  <c:v>-3.001963249971578E-2</c:v>
                </c:pt>
                <c:pt idx="315">
                  <c:v>-3.9815368274286819E-2</c:v>
                </c:pt>
                <c:pt idx="316">
                  <c:v>-1.6666650374418793E-2</c:v>
                </c:pt>
                <c:pt idx="317">
                  <c:v>2.9758801317241373E-2</c:v>
                </c:pt>
                <c:pt idx="318">
                  <c:v>-1.7845020915122217E-2</c:v>
                </c:pt>
                <c:pt idx="319">
                  <c:v>-5.5620715672590304E-2</c:v>
                </c:pt>
                <c:pt idx="320">
                  <c:v>8.0466839143664929E-3</c:v>
                </c:pt>
                <c:pt idx="321">
                  <c:v>-1.3662979339389363E-2</c:v>
                </c:pt>
                <c:pt idx="322">
                  <c:v>8.451527292161096E-3</c:v>
                </c:pt>
                <c:pt idx="323">
                  <c:v>7.761112687313429E-3</c:v>
                </c:pt>
                <c:pt idx="324">
                  <c:v>-9.3120254936024313E-2</c:v>
                </c:pt>
                <c:pt idx="325">
                  <c:v>-9.0994026741630391E-3</c:v>
                </c:pt>
                <c:pt idx="326">
                  <c:v>3.71952348293439E-2</c:v>
                </c:pt>
                <c:pt idx="327">
                  <c:v>1.4337881106427312E-2</c:v>
                </c:pt>
                <c:pt idx="328">
                  <c:v>-1.8408560196687979E-3</c:v>
                </c:pt>
                <c:pt idx="329">
                  <c:v>-1.8132686668245402E-2</c:v>
                </c:pt>
                <c:pt idx="330">
                  <c:v>6.1273183911060743E-2</c:v>
                </c:pt>
                <c:pt idx="331">
                  <c:v>4.3822719928244283E-2</c:v>
                </c:pt>
                <c:pt idx="332">
                  <c:v>-1.9691014975139903E-2</c:v>
                </c:pt>
                <c:pt idx="333">
                  <c:v>8.754585762086509E-3</c:v>
                </c:pt>
                <c:pt idx="334">
                  <c:v>-7.7994550584476073E-3</c:v>
                </c:pt>
                <c:pt idx="335">
                  <c:v>-1.7674344540099189E-2</c:v>
                </c:pt>
                <c:pt idx="336">
                  <c:v>7.0091455626119965E-3</c:v>
                </c:pt>
                <c:pt idx="337">
                  <c:v>5.2941075868734536E-3</c:v>
                </c:pt>
                <c:pt idx="338">
                  <c:v>-3.6335234811060539E-3</c:v>
                </c:pt>
                <c:pt idx="339">
                  <c:v>-2.6148959516165962E-3</c:v>
                </c:pt>
                <c:pt idx="340">
                  <c:v>2.2349690823695652E-2</c:v>
                </c:pt>
                <c:pt idx="341">
                  <c:v>-1.5886815730926894E-2</c:v>
                </c:pt>
                <c:pt idx="342">
                  <c:v>-6.653633620377658E-3</c:v>
                </c:pt>
                <c:pt idx="343">
                  <c:v>-3.7712837594474002E-3</c:v>
                </c:pt>
                <c:pt idx="344">
                  <c:v>-2.8419100346146954E-2</c:v>
                </c:pt>
                <c:pt idx="345">
                  <c:v>1.0555832163172961E-2</c:v>
                </c:pt>
                <c:pt idx="346">
                  <c:v>5.7984730080088923E-3</c:v>
                </c:pt>
                <c:pt idx="347">
                  <c:v>-2.5065601800693155E-3</c:v>
                </c:pt>
                <c:pt idx="348">
                  <c:v>-3.2418991755873872E-2</c:v>
                </c:pt>
                <c:pt idx="349">
                  <c:v>-2.6715458242130945E-3</c:v>
                </c:pt>
                <c:pt idx="350">
                  <c:v>6.0548354637536654E-3</c:v>
                </c:pt>
                <c:pt idx="351">
                  <c:v>7.0355333653105553E-3</c:v>
                </c:pt>
                <c:pt idx="352">
                  <c:v>-6.1115162018438888E-3</c:v>
                </c:pt>
                <c:pt idx="353">
                  <c:v>2.7687192255978876E-2</c:v>
                </c:pt>
                <c:pt idx="354">
                  <c:v>7.3584822568051045E-2</c:v>
                </c:pt>
                <c:pt idx="355">
                  <c:v>-4.5328583715162955E-2</c:v>
                </c:pt>
                <c:pt idx="356">
                  <c:v>1.2792089531274585E-2</c:v>
                </c:pt>
                <c:pt idx="357">
                  <c:v>-1.1902894611288913E-2</c:v>
                </c:pt>
                <c:pt idx="358">
                  <c:v>3.9019093808578846E-3</c:v>
                </c:pt>
                <c:pt idx="359">
                  <c:v>1.2602584294467966E-2</c:v>
                </c:pt>
                <c:pt idx="360">
                  <c:v>4.4418515232258768E-3</c:v>
                </c:pt>
                <c:pt idx="361">
                  <c:v>1.4251655877646936E-3</c:v>
                </c:pt>
                <c:pt idx="362">
                  <c:v>-1.2184903897199204E-2</c:v>
                </c:pt>
                <c:pt idx="363">
                  <c:v>-7.5923258002305845E-3</c:v>
                </c:pt>
                <c:pt idx="364">
                  <c:v>1.3495548539263186E-2</c:v>
                </c:pt>
                <c:pt idx="365">
                  <c:v>-1.1942650698971515E-2</c:v>
                </c:pt>
                <c:pt idx="366">
                  <c:v>1.4184645023181121E-2</c:v>
                </c:pt>
                <c:pt idx="367">
                  <c:v>-2.6858587259178859E-2</c:v>
                </c:pt>
                <c:pt idx="368">
                  <c:v>1.0293125082730708E-2</c:v>
                </c:pt>
                <c:pt idx="369">
                  <c:v>3.960369888592373E-2</c:v>
                </c:pt>
                <c:pt idx="370">
                  <c:v>-1.1601323255968844E-2</c:v>
                </c:pt>
                <c:pt idx="371">
                  <c:v>-1.9249065130472864E-2</c:v>
                </c:pt>
                <c:pt idx="372">
                  <c:v>-1.5581288549831727E-2</c:v>
                </c:pt>
                <c:pt idx="373">
                  <c:v>1.2775693711909959E-2</c:v>
                </c:pt>
                <c:pt idx="374">
                  <c:v>3.0652939090158926E-2</c:v>
                </c:pt>
                <c:pt idx="375">
                  <c:v>-2.5645551466901839E-3</c:v>
                </c:pt>
                <c:pt idx="376">
                  <c:v>-6.5202786479309424E-4</c:v>
                </c:pt>
                <c:pt idx="377">
                  <c:v>3.3485769200175125E-2</c:v>
                </c:pt>
                <c:pt idx="378">
                  <c:v>-3.6622951694272772E-3</c:v>
                </c:pt>
                <c:pt idx="379">
                  <c:v>-1.8118315618912917E-2</c:v>
                </c:pt>
                <c:pt idx="380">
                  <c:v>2.325114843351276E-2</c:v>
                </c:pt>
                <c:pt idx="381">
                  <c:v>-4.091101569327462E-2</c:v>
                </c:pt>
                <c:pt idx="382">
                  <c:v>-3.5521925844441814E-3</c:v>
                </c:pt>
                <c:pt idx="383">
                  <c:v>-1.2323273996726012E-2</c:v>
                </c:pt>
                <c:pt idx="384">
                  <c:v>-5.5727520802170326E-2</c:v>
                </c:pt>
                <c:pt idx="385">
                  <c:v>-8.2215310861536689E-2</c:v>
                </c:pt>
                <c:pt idx="386">
                  <c:v>0.15618898812877374</c:v>
                </c:pt>
                <c:pt idx="387">
                  <c:v>5.1538178803499812E-2</c:v>
                </c:pt>
                <c:pt idx="388">
                  <c:v>-3.8942018130404474E-2</c:v>
                </c:pt>
                <c:pt idx="389">
                  <c:v>-9.2507667670440018E-3</c:v>
                </c:pt>
                <c:pt idx="390">
                  <c:v>1.0314863648506411E-2</c:v>
                </c:pt>
                <c:pt idx="391">
                  <c:v>3.8058880909586382E-2</c:v>
                </c:pt>
                <c:pt idx="392">
                  <c:v>4.5441487576821094E-3</c:v>
                </c:pt>
                <c:pt idx="393">
                  <c:v>1.538925834121764E-2</c:v>
                </c:pt>
                <c:pt idx="394">
                  <c:v>-5.4194392597533635E-2</c:v>
                </c:pt>
                <c:pt idx="395">
                  <c:v>-7.6538600629897273E-3</c:v>
                </c:pt>
                <c:pt idx="396">
                  <c:v>1.4116571698501078E-2</c:v>
                </c:pt>
                <c:pt idx="397">
                  <c:v>1.8571240192614257E-2</c:v>
                </c:pt>
                <c:pt idx="398">
                  <c:v>-3.368072398907028E-2</c:v>
                </c:pt>
                <c:pt idx="399">
                  <c:v>-2.2248772407741542E-2</c:v>
                </c:pt>
                <c:pt idx="400">
                  <c:v>-1.1074645349968236E-2</c:v>
                </c:pt>
                <c:pt idx="401">
                  <c:v>-3.6303152445663421E-2</c:v>
                </c:pt>
                <c:pt idx="402">
                  <c:v>-5.7832643751382841E-2</c:v>
                </c:pt>
                <c:pt idx="403">
                  <c:v>2.7077497895008677E-2</c:v>
                </c:pt>
                <c:pt idx="404">
                  <c:v>-2.8513584313312572E-2</c:v>
                </c:pt>
                <c:pt idx="405">
                  <c:v>-6.004859808361046E-3</c:v>
                </c:pt>
                <c:pt idx="406">
                  <c:v>3.7403122383854313E-2</c:v>
                </c:pt>
                <c:pt idx="407">
                  <c:v>-1.1303958863365597E-2</c:v>
                </c:pt>
                <c:pt idx="408">
                  <c:v>-3.4375590409337145E-2</c:v>
                </c:pt>
                <c:pt idx="409">
                  <c:v>-6.4783794022823986E-3</c:v>
                </c:pt>
                <c:pt idx="410">
                  <c:v>-3.7608984689870895E-2</c:v>
                </c:pt>
                <c:pt idx="411">
                  <c:v>-2.1795309253202375E-2</c:v>
                </c:pt>
                <c:pt idx="412">
                  <c:v>4.7562999853606215E-2</c:v>
                </c:pt>
                <c:pt idx="413">
                  <c:v>6.9510584194939884E-2</c:v>
                </c:pt>
                <c:pt idx="414">
                  <c:v>-1.4066502771974024E-2</c:v>
                </c:pt>
                <c:pt idx="415">
                  <c:v>-4.9497595436478824E-2</c:v>
                </c:pt>
                <c:pt idx="416">
                  <c:v>2.887116346173392E-2</c:v>
                </c:pt>
                <c:pt idx="417">
                  <c:v>4.0883748658800415E-2</c:v>
                </c:pt>
                <c:pt idx="418">
                  <c:v>2.132387083342141E-2</c:v>
                </c:pt>
                <c:pt idx="419">
                  <c:v>-2.7189311642027991E-2</c:v>
                </c:pt>
                <c:pt idx="420">
                  <c:v>-4.0266090305258698E-2</c:v>
                </c:pt>
                <c:pt idx="421">
                  <c:v>2.0387595647474405E-2</c:v>
                </c:pt>
                <c:pt idx="422">
                  <c:v>1.7959148355194847E-2</c:v>
                </c:pt>
                <c:pt idx="423">
                  <c:v>5.5682895596227452E-2</c:v>
                </c:pt>
                <c:pt idx="424">
                  <c:v>6.3130276126732832E-2</c:v>
                </c:pt>
                <c:pt idx="425">
                  <c:v>-2.5365078482178227E-2</c:v>
                </c:pt>
                <c:pt idx="426">
                  <c:v>-4.9490419760782976E-3</c:v>
                </c:pt>
                <c:pt idx="427">
                  <c:v>2.9299780618963858E-3</c:v>
                </c:pt>
                <c:pt idx="428">
                  <c:v>9.7590468315662052E-3</c:v>
                </c:pt>
                <c:pt idx="429">
                  <c:v>1.103569767328016E-2</c:v>
                </c:pt>
                <c:pt idx="430">
                  <c:v>-2.8411334084371817E-3</c:v>
                </c:pt>
                <c:pt idx="431">
                  <c:v>3.185284326891896E-3</c:v>
                </c:pt>
                <c:pt idx="432">
                  <c:v>1.4149693831215822E-2</c:v>
                </c:pt>
                <c:pt idx="433">
                  <c:v>-2.1156325152365898E-2</c:v>
                </c:pt>
                <c:pt idx="434">
                  <c:v>-5.1877578116687174E-2</c:v>
                </c:pt>
                <c:pt idx="435">
                  <c:v>-1.9861591263392923E-2</c:v>
                </c:pt>
                <c:pt idx="436">
                  <c:v>5.6979754327216702E-3</c:v>
                </c:pt>
                <c:pt idx="437">
                  <c:v>-2.5466166516049788E-2</c:v>
                </c:pt>
                <c:pt idx="438">
                  <c:v>-4.0438966402425398E-2</c:v>
                </c:pt>
                <c:pt idx="439">
                  <c:v>-7.1044854704042865E-3</c:v>
                </c:pt>
                <c:pt idx="440">
                  <c:v>-1.9985459457064612E-2</c:v>
                </c:pt>
                <c:pt idx="441">
                  <c:v>-6.6821273951113092E-2</c:v>
                </c:pt>
                <c:pt idx="442">
                  <c:v>-1.3614002083472606E-2</c:v>
                </c:pt>
                <c:pt idx="443">
                  <c:v>-3.200683720220477E-2</c:v>
                </c:pt>
                <c:pt idx="444">
                  <c:v>-4.5366295165106749E-2</c:v>
                </c:pt>
                <c:pt idx="445">
                  <c:v>9.5419420853767763E-3</c:v>
                </c:pt>
                <c:pt idx="446">
                  <c:v>1.7374049026922293E-2</c:v>
                </c:pt>
                <c:pt idx="447">
                  <c:v>4.5145247868935187E-2</c:v>
                </c:pt>
                <c:pt idx="448">
                  <c:v>1.1149762782931189E-2</c:v>
                </c:pt>
                <c:pt idx="449">
                  <c:v>4.7290690211728284E-2</c:v>
                </c:pt>
                <c:pt idx="450">
                  <c:v>6.6989336259904358E-2</c:v>
                </c:pt>
                <c:pt idx="451">
                  <c:v>1.4630605742329442E-2</c:v>
                </c:pt>
                <c:pt idx="452">
                  <c:v>-0.10795669827924784</c:v>
                </c:pt>
                <c:pt idx="453">
                  <c:v>3.1993512069158937E-2</c:v>
                </c:pt>
                <c:pt idx="454">
                  <c:v>7.1851735412272383E-2</c:v>
                </c:pt>
                <c:pt idx="455">
                  <c:v>1.9525943849498018E-2</c:v>
                </c:pt>
                <c:pt idx="456">
                  <c:v>-7.5886502076535477E-3</c:v>
                </c:pt>
                <c:pt idx="457">
                  <c:v>-2.4170199584897918E-2</c:v>
                </c:pt>
                <c:pt idx="458">
                  <c:v>-7.707004046076881E-3</c:v>
                </c:pt>
                <c:pt idx="459">
                  <c:v>2.1026336839525248E-2</c:v>
                </c:pt>
                <c:pt idx="460">
                  <c:v>1.4386673803499322E-2</c:v>
                </c:pt>
                <c:pt idx="461">
                  <c:v>-3.9759967165732636E-2</c:v>
                </c:pt>
                <c:pt idx="462">
                  <c:v>-3.7953382186521258E-2</c:v>
                </c:pt>
                <c:pt idx="463">
                  <c:v>1.0650872875996883E-2</c:v>
                </c:pt>
                <c:pt idx="464">
                  <c:v>2.3695712630665555E-2</c:v>
                </c:pt>
                <c:pt idx="465">
                  <c:v>-1.4640149604452417E-2</c:v>
                </c:pt>
                <c:pt idx="466">
                  <c:v>7.0789847524274866E-3</c:v>
                </c:pt>
                <c:pt idx="467">
                  <c:v>6.6660778743677391E-3</c:v>
                </c:pt>
                <c:pt idx="468">
                  <c:v>-3.3045043095137373E-2</c:v>
                </c:pt>
                <c:pt idx="469">
                  <c:v>8.2688637802739873E-3</c:v>
                </c:pt>
                <c:pt idx="470">
                  <c:v>3.856043805197526E-2</c:v>
                </c:pt>
                <c:pt idx="471">
                  <c:v>7.6099932934278669E-3</c:v>
                </c:pt>
                <c:pt idx="472">
                  <c:v>1.9087371483203905E-3</c:v>
                </c:pt>
                <c:pt idx="473">
                  <c:v>-1.1919473015018256E-2</c:v>
                </c:pt>
                <c:pt idx="474">
                  <c:v>-2.3106932445636871E-2</c:v>
                </c:pt>
                <c:pt idx="475">
                  <c:v>-1.6074829549080526E-2</c:v>
                </c:pt>
                <c:pt idx="476">
                  <c:v>-1.9729872613323415E-2</c:v>
                </c:pt>
                <c:pt idx="477">
                  <c:v>-8.6044701274596647E-4</c:v>
                </c:pt>
                <c:pt idx="478">
                  <c:v>-2.6763695260674722E-3</c:v>
                </c:pt>
                <c:pt idx="479">
                  <c:v>-4.7537370811817055E-3</c:v>
                </c:pt>
                <c:pt idx="480">
                  <c:v>4.8827069289220586E-2</c:v>
                </c:pt>
                <c:pt idx="481">
                  <c:v>-8.3626508218601972E-3</c:v>
                </c:pt>
                <c:pt idx="482">
                  <c:v>1.5000331762001497E-2</c:v>
                </c:pt>
                <c:pt idx="483">
                  <c:v>3.0446633471104084E-2</c:v>
                </c:pt>
                <c:pt idx="484">
                  <c:v>6.5066512412665124E-3</c:v>
                </c:pt>
                <c:pt idx="485">
                  <c:v>2.2677742344651995E-2</c:v>
                </c:pt>
                <c:pt idx="486">
                  <c:v>1.268959243046283E-2</c:v>
                </c:pt>
                <c:pt idx="487">
                  <c:v>-7.8873203476201824E-3</c:v>
                </c:pt>
                <c:pt idx="488">
                  <c:v>-1.2323777205468248E-2</c:v>
                </c:pt>
                <c:pt idx="489">
                  <c:v>2.2648238749066726E-2</c:v>
                </c:pt>
                <c:pt idx="490">
                  <c:v>1.5110361779155593E-2</c:v>
                </c:pt>
                <c:pt idx="491">
                  <c:v>-3.1105758458350081E-2</c:v>
                </c:pt>
                <c:pt idx="492">
                  <c:v>-3.3826203137523173E-2</c:v>
                </c:pt>
                <c:pt idx="493">
                  <c:v>1.834642759236086E-2</c:v>
                </c:pt>
                <c:pt idx="494">
                  <c:v>1.1841181987973525E-2</c:v>
                </c:pt>
                <c:pt idx="495">
                  <c:v>6.3193712276838048E-4</c:v>
                </c:pt>
                <c:pt idx="496">
                  <c:v>3.8469069054871304E-3</c:v>
                </c:pt>
                <c:pt idx="497">
                  <c:v>-2.2410774170572141E-2</c:v>
                </c:pt>
                <c:pt idx="498">
                  <c:v>-1.6309138702178139E-2</c:v>
                </c:pt>
                <c:pt idx="499">
                  <c:v>2.2484016256428072E-2</c:v>
                </c:pt>
                <c:pt idx="500">
                  <c:v>-2.7442760305619596E-5</c:v>
                </c:pt>
                <c:pt idx="501">
                  <c:v>6.9784882571572913E-4</c:v>
                </c:pt>
                <c:pt idx="502">
                  <c:v>1.4797044395659484E-3</c:v>
                </c:pt>
                <c:pt idx="503">
                  <c:v>6.6922063711747836E-3</c:v>
                </c:pt>
                <c:pt idx="504">
                  <c:v>3.2938888536859459E-2</c:v>
                </c:pt>
                <c:pt idx="505">
                  <c:v>-1.8421628992527188E-2</c:v>
                </c:pt>
                <c:pt idx="506">
                  <c:v>-3.3686117730722845E-2</c:v>
                </c:pt>
                <c:pt idx="507">
                  <c:v>-1.597736398800605E-2</c:v>
                </c:pt>
                <c:pt idx="508">
                  <c:v>-3.4567451706664212E-2</c:v>
                </c:pt>
                <c:pt idx="509">
                  <c:v>2.170069496062244E-3</c:v>
                </c:pt>
                <c:pt idx="510">
                  <c:v>3.1370576980551006E-2</c:v>
                </c:pt>
                <c:pt idx="511">
                  <c:v>2.223491486507247E-2</c:v>
                </c:pt>
                <c:pt idx="512">
                  <c:v>-1.1438251904112667E-2</c:v>
                </c:pt>
                <c:pt idx="513">
                  <c:v>-1.3954386554321015E-3</c:v>
                </c:pt>
                <c:pt idx="514">
                  <c:v>2.5951450471123176E-2</c:v>
                </c:pt>
                <c:pt idx="515">
                  <c:v>-1.2881930299641735E-2</c:v>
                </c:pt>
                <c:pt idx="516">
                  <c:v>-9.2677402301844805E-2</c:v>
                </c:pt>
                <c:pt idx="517">
                  <c:v>-5.4987886680428226E-3</c:v>
                </c:pt>
                <c:pt idx="518">
                  <c:v>3.051045210619887E-2</c:v>
                </c:pt>
                <c:pt idx="519">
                  <c:v>-1.1816531458786549E-2</c:v>
                </c:pt>
                <c:pt idx="520">
                  <c:v>5.5490388843278303E-2</c:v>
                </c:pt>
                <c:pt idx="521">
                  <c:v>1.8295458085965964E-2</c:v>
                </c:pt>
                <c:pt idx="522">
                  <c:v>1.8415179985746743E-3</c:v>
                </c:pt>
                <c:pt idx="523">
                  <c:v>3.9857411724766451E-3</c:v>
                </c:pt>
                <c:pt idx="524">
                  <c:v>-1.7178040030775669E-2</c:v>
                </c:pt>
                <c:pt idx="525">
                  <c:v>-7.9060362749831629E-4</c:v>
                </c:pt>
                <c:pt idx="526">
                  <c:v>2.3434197865854333E-2</c:v>
                </c:pt>
                <c:pt idx="527">
                  <c:v>2.2907150671411362E-2</c:v>
                </c:pt>
                <c:pt idx="528">
                  <c:v>-1.7810939375398994E-2</c:v>
                </c:pt>
                <c:pt idx="529">
                  <c:v>-7.9439789049344321E-3</c:v>
                </c:pt>
                <c:pt idx="530">
                  <c:v>1.3145136122659006E-2</c:v>
                </c:pt>
                <c:pt idx="531">
                  <c:v>-1.7991876438054145E-2</c:v>
                </c:pt>
                <c:pt idx="532">
                  <c:v>7.6272759384044802E-3</c:v>
                </c:pt>
                <c:pt idx="533">
                  <c:v>3.0884512946505634E-3</c:v>
                </c:pt>
                <c:pt idx="534">
                  <c:v>-1.126333618873292E-2</c:v>
                </c:pt>
                <c:pt idx="535">
                  <c:v>4.8965512778056247E-3</c:v>
                </c:pt>
                <c:pt idx="536">
                  <c:v>5.1864814619584955E-3</c:v>
                </c:pt>
                <c:pt idx="537">
                  <c:v>4.5365218127909869E-2</c:v>
                </c:pt>
                <c:pt idx="538">
                  <c:v>8.7238003111031304E-2</c:v>
                </c:pt>
                <c:pt idx="539">
                  <c:v>4.2142474263198476E-2</c:v>
                </c:pt>
                <c:pt idx="540">
                  <c:v>7.6574953626068632E-3</c:v>
                </c:pt>
                <c:pt idx="541">
                  <c:v>1.2044726754179896E-2</c:v>
                </c:pt>
                <c:pt idx="542">
                  <c:v>5.2199263119540068E-2</c:v>
                </c:pt>
                <c:pt idx="543">
                  <c:v>1.5506426315393581E-2</c:v>
                </c:pt>
                <c:pt idx="544">
                  <c:v>4.4566637838657202E-3</c:v>
                </c:pt>
                <c:pt idx="545">
                  <c:v>-3.4399089838755854E-3</c:v>
                </c:pt>
                <c:pt idx="546">
                  <c:v>-1.2021891512817708E-2</c:v>
                </c:pt>
                <c:pt idx="547">
                  <c:v>-8.5002608881458788E-4</c:v>
                </c:pt>
                <c:pt idx="548">
                  <c:v>-4.4199235952352658E-2</c:v>
                </c:pt>
                <c:pt idx="549">
                  <c:v>4.202697305944967E-2</c:v>
                </c:pt>
                <c:pt idx="550">
                  <c:v>-4.5881626238325349E-3</c:v>
                </c:pt>
                <c:pt idx="551">
                  <c:v>7.3073367521234688E-4</c:v>
                </c:pt>
                <c:pt idx="552">
                  <c:v>2.8336727150088014E-2</c:v>
                </c:pt>
                <c:pt idx="553">
                  <c:v>-1.2343781311959316E-2</c:v>
                </c:pt>
                <c:pt idx="554">
                  <c:v>-1.1451321437553149E-2</c:v>
                </c:pt>
                <c:pt idx="555">
                  <c:v>1.2900494291372702E-2</c:v>
                </c:pt>
                <c:pt idx="556">
                  <c:v>1.6142225370616541E-2</c:v>
                </c:pt>
                <c:pt idx="557">
                  <c:v>-1.1853298546586616E-2</c:v>
                </c:pt>
                <c:pt idx="558">
                  <c:v>8.1813699132935527E-3</c:v>
                </c:pt>
                <c:pt idx="559">
                  <c:v>1.8874239776770106E-3</c:v>
                </c:pt>
                <c:pt idx="560">
                  <c:v>1.806435338913864E-2</c:v>
                </c:pt>
                <c:pt idx="561">
                  <c:v>4.6010634087954458E-2</c:v>
                </c:pt>
                <c:pt idx="562">
                  <c:v>1.401090188892167E-2</c:v>
                </c:pt>
                <c:pt idx="563">
                  <c:v>-1.0149762868584889E-2</c:v>
                </c:pt>
                <c:pt idx="564">
                  <c:v>-3.5370876909475782E-3</c:v>
                </c:pt>
                <c:pt idx="565">
                  <c:v>-2.678472121808459E-2</c:v>
                </c:pt>
                <c:pt idx="566">
                  <c:v>3.5063073529521795E-2</c:v>
                </c:pt>
                <c:pt idx="567">
                  <c:v>-7.120089703968757E-3</c:v>
                </c:pt>
                <c:pt idx="568">
                  <c:v>-7.4017601009566383E-3</c:v>
                </c:pt>
                <c:pt idx="569">
                  <c:v>-2.7447800011652396E-2</c:v>
                </c:pt>
                <c:pt idx="570">
                  <c:v>1.6961962693235612E-2</c:v>
                </c:pt>
                <c:pt idx="571">
                  <c:v>-9.0469264355839685E-3</c:v>
                </c:pt>
                <c:pt idx="572">
                  <c:v>1.3766754072061507E-2</c:v>
                </c:pt>
                <c:pt idx="573">
                  <c:v>3.053907206065952E-2</c:v>
                </c:pt>
                <c:pt idx="574">
                  <c:v>-5.7513857120386674E-2</c:v>
                </c:pt>
                <c:pt idx="575">
                  <c:v>-3.0040595108908635E-2</c:v>
                </c:pt>
                <c:pt idx="576">
                  <c:v>2.3468385079670907E-2</c:v>
                </c:pt>
                <c:pt idx="577">
                  <c:v>2.8109423533281721E-3</c:v>
                </c:pt>
                <c:pt idx="578">
                  <c:v>3.6988101525960507E-2</c:v>
                </c:pt>
                <c:pt idx="579">
                  <c:v>-8.0734346866099496E-2</c:v>
                </c:pt>
                <c:pt idx="580">
                  <c:v>8.8230703236731444E-3</c:v>
                </c:pt>
                <c:pt idx="581">
                  <c:v>7.3089470300853375E-3</c:v>
                </c:pt>
                <c:pt idx="582">
                  <c:v>9.9945062407968237E-3</c:v>
                </c:pt>
                <c:pt idx="583">
                  <c:v>-4.6508108155628326E-3</c:v>
                </c:pt>
                <c:pt idx="584">
                  <c:v>-4.3294517235383375E-3</c:v>
                </c:pt>
                <c:pt idx="585">
                  <c:v>-8.2670224324778892E-3</c:v>
                </c:pt>
                <c:pt idx="586">
                  <c:v>-1.2881947856122841E-2</c:v>
                </c:pt>
                <c:pt idx="587">
                  <c:v>1.1751775374147622E-2</c:v>
                </c:pt>
                <c:pt idx="588">
                  <c:v>7.670584551909292E-3</c:v>
                </c:pt>
                <c:pt idx="589">
                  <c:v>-2.9323361979214941E-2</c:v>
                </c:pt>
                <c:pt idx="590">
                  <c:v>4.4073978718287922E-2</c:v>
                </c:pt>
                <c:pt idx="591">
                  <c:v>5.5978879738717E-2</c:v>
                </c:pt>
                <c:pt idx="592">
                  <c:v>-1.5595857236790713E-2</c:v>
                </c:pt>
                <c:pt idx="593">
                  <c:v>-1.0723352295009788E-3</c:v>
                </c:pt>
                <c:pt idx="594">
                  <c:v>-1.2632206245594644E-2</c:v>
                </c:pt>
                <c:pt idx="595">
                  <c:v>-4.5399997707532246E-3</c:v>
                </c:pt>
                <c:pt idx="596">
                  <c:v>1.9432712964685891E-2</c:v>
                </c:pt>
                <c:pt idx="597">
                  <c:v>2.380930811789421E-2</c:v>
                </c:pt>
                <c:pt idx="598">
                  <c:v>5.5845641609874146E-3</c:v>
                </c:pt>
                <c:pt idx="599">
                  <c:v>-7.8544912089248076E-2</c:v>
                </c:pt>
                <c:pt idx="600">
                  <c:v>6.1697893774310952E-2</c:v>
                </c:pt>
                <c:pt idx="601">
                  <c:v>1.2785292726544748E-2</c:v>
                </c:pt>
                <c:pt idx="602">
                  <c:v>-2.6678779833625502E-3</c:v>
                </c:pt>
                <c:pt idx="603">
                  <c:v>3.6519596647596689E-3</c:v>
                </c:pt>
                <c:pt idx="604">
                  <c:v>-3.7677097952698829E-2</c:v>
                </c:pt>
                <c:pt idx="605">
                  <c:v>2.1667737709083458E-2</c:v>
                </c:pt>
                <c:pt idx="606">
                  <c:v>-9.0682783187322411E-3</c:v>
                </c:pt>
                <c:pt idx="607">
                  <c:v>-9.831046811112059E-3</c:v>
                </c:pt>
                <c:pt idx="608">
                  <c:v>-1.6768023983183285E-2</c:v>
                </c:pt>
                <c:pt idx="609">
                  <c:v>7.2211342688221171E-3</c:v>
                </c:pt>
                <c:pt idx="610">
                  <c:v>-2.0525485500268607E-2</c:v>
                </c:pt>
                <c:pt idx="611">
                  <c:v>3.3716953940742894E-2</c:v>
                </c:pt>
                <c:pt idx="612">
                  <c:v>-5.9522543398369179E-3</c:v>
                </c:pt>
                <c:pt idx="613">
                  <c:v>-6.5024283968604501E-3</c:v>
                </c:pt>
                <c:pt idx="614">
                  <c:v>-1.7893091816968153E-2</c:v>
                </c:pt>
                <c:pt idx="615">
                  <c:v>-1.2680106379523697E-3</c:v>
                </c:pt>
                <c:pt idx="616">
                  <c:v>7.4727506590675091E-2</c:v>
                </c:pt>
                <c:pt idx="617">
                  <c:v>-1.0202495148522437E-3</c:v>
                </c:pt>
                <c:pt idx="618">
                  <c:v>1.7140716818042762E-2</c:v>
                </c:pt>
                <c:pt idx="619">
                  <c:v>3.919313145640051E-3</c:v>
                </c:pt>
                <c:pt idx="620">
                  <c:v>2.8086549360901748E-2</c:v>
                </c:pt>
                <c:pt idx="621">
                  <c:v>1.2306506402970367E-2</c:v>
                </c:pt>
                <c:pt idx="622">
                  <c:v>-3.9906525511128957E-2</c:v>
                </c:pt>
                <c:pt idx="623">
                  <c:v>1.38263748245641E-2</c:v>
                </c:pt>
                <c:pt idx="624">
                  <c:v>-2.0298895324783982E-3</c:v>
                </c:pt>
                <c:pt idx="625">
                  <c:v>-5.2964831678444624E-2</c:v>
                </c:pt>
                <c:pt idx="626">
                  <c:v>-9.5851761022214699E-3</c:v>
                </c:pt>
                <c:pt idx="627">
                  <c:v>5.6574031575588168E-3</c:v>
                </c:pt>
                <c:pt idx="628">
                  <c:v>-7.817561097610691E-3</c:v>
                </c:pt>
                <c:pt idx="629">
                  <c:v>8.9767166842227471E-3</c:v>
                </c:pt>
                <c:pt idx="630">
                  <c:v>-6.7829632958925912E-3</c:v>
                </c:pt>
                <c:pt idx="631">
                  <c:v>5.9497911768510593E-3</c:v>
                </c:pt>
                <c:pt idx="632">
                  <c:v>-1.8249209405055949E-2</c:v>
                </c:pt>
                <c:pt idx="633">
                  <c:v>5.7566867942577555E-3</c:v>
                </c:pt>
                <c:pt idx="634">
                  <c:v>1.0175104736778389E-2</c:v>
                </c:pt>
                <c:pt idx="635">
                  <c:v>-2.6944339756162457E-2</c:v>
                </c:pt>
                <c:pt idx="636">
                  <c:v>-1.5282382129082405E-2</c:v>
                </c:pt>
                <c:pt idx="637">
                  <c:v>-1.2936507681948504E-2</c:v>
                </c:pt>
                <c:pt idx="638">
                  <c:v>4.8699034476839986E-2</c:v>
                </c:pt>
                <c:pt idx="639">
                  <c:v>-3.6794039749118213E-2</c:v>
                </c:pt>
                <c:pt idx="640">
                  <c:v>3.7027530193354932E-2</c:v>
                </c:pt>
                <c:pt idx="641">
                  <c:v>-1.5467584785668516E-2</c:v>
                </c:pt>
                <c:pt idx="642">
                  <c:v>-1.4134896223207787E-3</c:v>
                </c:pt>
                <c:pt idx="643">
                  <c:v>2.2963825087137651E-2</c:v>
                </c:pt>
                <c:pt idx="644">
                  <c:v>-4.4334726900915028E-2</c:v>
                </c:pt>
                <c:pt idx="645">
                  <c:v>-2.7255927813776928E-3</c:v>
                </c:pt>
                <c:pt idx="646">
                  <c:v>1.4702769063556585E-2</c:v>
                </c:pt>
                <c:pt idx="647">
                  <c:v>3.6917439227750516E-2</c:v>
                </c:pt>
                <c:pt idx="648">
                  <c:v>1.9489259491870005E-3</c:v>
                </c:pt>
                <c:pt idx="649">
                  <c:v>-8.2676634425052232E-3</c:v>
                </c:pt>
                <c:pt idx="650">
                  <c:v>6.6579159042230492E-3</c:v>
                </c:pt>
                <c:pt idx="651">
                  <c:v>2.5268944530761738E-3</c:v>
                </c:pt>
                <c:pt idx="652">
                  <c:v>4.61972344131302E-2</c:v>
                </c:pt>
                <c:pt idx="653">
                  <c:v>5.3607682834590255E-2</c:v>
                </c:pt>
                <c:pt idx="654">
                  <c:v>1.1200032196919188E-2</c:v>
                </c:pt>
                <c:pt idx="655">
                  <c:v>5.8883828160210235E-3</c:v>
                </c:pt>
                <c:pt idx="656">
                  <c:v>7.7961063902599092E-3</c:v>
                </c:pt>
                <c:pt idx="657">
                  <c:v>8.6953607432567262E-3</c:v>
                </c:pt>
                <c:pt idx="658">
                  <c:v>1.9839316142326646E-2</c:v>
                </c:pt>
                <c:pt idx="659">
                  <c:v>2.0641121636282504E-2</c:v>
                </c:pt>
                <c:pt idx="660">
                  <c:v>-8.6835934636780836E-3</c:v>
                </c:pt>
                <c:pt idx="661">
                  <c:v>-8.9792143346175031E-4</c:v>
                </c:pt>
                <c:pt idx="662">
                  <c:v>1.5033167063600085E-2</c:v>
                </c:pt>
                <c:pt idx="663">
                  <c:v>-2.4226014666309841E-2</c:v>
                </c:pt>
                <c:pt idx="664">
                  <c:v>-2.4822314786058383E-2</c:v>
                </c:pt>
                <c:pt idx="665">
                  <c:v>2.8628655673225804E-2</c:v>
                </c:pt>
                <c:pt idx="666">
                  <c:v>1.0408522083750904E-2</c:v>
                </c:pt>
                <c:pt idx="667">
                  <c:v>5.1740617979195106E-3</c:v>
                </c:pt>
                <c:pt idx="668">
                  <c:v>-5.9837716688853765E-3</c:v>
                </c:pt>
                <c:pt idx="669">
                  <c:v>1.1673691264396484E-4</c:v>
                </c:pt>
                <c:pt idx="670">
                  <c:v>2.7411540961835137E-2</c:v>
                </c:pt>
                <c:pt idx="671">
                  <c:v>-1.2399025015312641E-2</c:v>
                </c:pt>
                <c:pt idx="672">
                  <c:v>-4.1190655860410957E-3</c:v>
                </c:pt>
                <c:pt idx="673">
                  <c:v>3.720821846108037E-3</c:v>
                </c:pt>
                <c:pt idx="674">
                  <c:v>1.0733128575246241E-2</c:v>
                </c:pt>
                <c:pt idx="675">
                  <c:v>-1.3952398671420303E-2</c:v>
                </c:pt>
                <c:pt idx="676">
                  <c:v>3.8234415019180082E-2</c:v>
                </c:pt>
                <c:pt idx="677">
                  <c:v>-3.0315126297699252E-2</c:v>
                </c:pt>
                <c:pt idx="678">
                  <c:v>-1.1550961257993191E-2</c:v>
                </c:pt>
                <c:pt idx="679">
                  <c:v>3.2594037724368481E-3</c:v>
                </c:pt>
                <c:pt idx="680">
                  <c:v>3.2608715597179525E-2</c:v>
                </c:pt>
                <c:pt idx="681">
                  <c:v>-1.1998460348665516E-2</c:v>
                </c:pt>
                <c:pt idx="682">
                  <c:v>-1.6872533074505765E-2</c:v>
                </c:pt>
                <c:pt idx="683">
                  <c:v>8.1917677110099618E-3</c:v>
                </c:pt>
                <c:pt idx="684">
                  <c:v>1.7070954676785228E-2</c:v>
                </c:pt>
                <c:pt idx="685">
                  <c:v>-3.4956746542911541E-3</c:v>
                </c:pt>
                <c:pt idx="686">
                  <c:v>-2.0944310493938249E-3</c:v>
                </c:pt>
                <c:pt idx="687">
                  <c:v>2.6855879015052733E-2</c:v>
                </c:pt>
                <c:pt idx="688">
                  <c:v>5.1332670184424398E-3</c:v>
                </c:pt>
                <c:pt idx="689">
                  <c:v>-2.5464589020759709E-2</c:v>
                </c:pt>
                <c:pt idx="690">
                  <c:v>1.5996801486414542E-4</c:v>
                </c:pt>
                <c:pt idx="691">
                  <c:v>1.8833157926768786E-3</c:v>
                </c:pt>
                <c:pt idx="692">
                  <c:v>1.8067313061204186E-2</c:v>
                </c:pt>
                <c:pt idx="693">
                  <c:v>-2.1380735116118446E-2</c:v>
                </c:pt>
                <c:pt idx="694">
                  <c:v>-4.3276639877103899E-4</c:v>
                </c:pt>
                <c:pt idx="695">
                  <c:v>2.0344439975473676E-2</c:v>
                </c:pt>
                <c:pt idx="696">
                  <c:v>4.3436722360509508E-2</c:v>
                </c:pt>
                <c:pt idx="697">
                  <c:v>-4.0856460406584749E-2</c:v>
                </c:pt>
                <c:pt idx="698">
                  <c:v>-1.5040916530821721E-2</c:v>
                </c:pt>
                <c:pt idx="699">
                  <c:v>4.6287631449975263E-3</c:v>
                </c:pt>
                <c:pt idx="700">
                  <c:v>2.6260155295371897E-2</c:v>
                </c:pt>
                <c:pt idx="701">
                  <c:v>-5.7156355996502844E-3</c:v>
                </c:pt>
                <c:pt idx="702">
                  <c:v>-1.2759900197057115E-2</c:v>
                </c:pt>
                <c:pt idx="703">
                  <c:v>2.7529496190756543E-2</c:v>
                </c:pt>
                <c:pt idx="704">
                  <c:v>2.4412020064960401E-2</c:v>
                </c:pt>
                <c:pt idx="705">
                  <c:v>-9.0800363832409053E-2</c:v>
                </c:pt>
                <c:pt idx="706">
                  <c:v>-3.5710444869640937E-2</c:v>
                </c:pt>
                <c:pt idx="707">
                  <c:v>3.8433080525198643E-2</c:v>
                </c:pt>
                <c:pt idx="708">
                  <c:v>7.8099534131932536E-3</c:v>
                </c:pt>
                <c:pt idx="709">
                  <c:v>2.307665318707075E-3</c:v>
                </c:pt>
                <c:pt idx="710">
                  <c:v>-3.8128111367040029E-3</c:v>
                </c:pt>
                <c:pt idx="711">
                  <c:v>-6.7479866865313137E-3</c:v>
                </c:pt>
                <c:pt idx="712">
                  <c:v>7.2111705452680011E-3</c:v>
                </c:pt>
                <c:pt idx="713">
                  <c:v>9.9836142638277565E-3</c:v>
                </c:pt>
                <c:pt idx="714">
                  <c:v>7.3638278577612326E-4</c:v>
                </c:pt>
                <c:pt idx="715">
                  <c:v>1.8226065296419198E-3</c:v>
                </c:pt>
                <c:pt idx="716">
                  <c:v>-3.4624272880967063E-3</c:v>
                </c:pt>
                <c:pt idx="717">
                  <c:v>-2.0259092591813788E-2</c:v>
                </c:pt>
                <c:pt idx="718">
                  <c:v>-2.3069645812317945E-2</c:v>
                </c:pt>
                <c:pt idx="719">
                  <c:v>2.9778980981775449E-2</c:v>
                </c:pt>
                <c:pt idx="720">
                  <c:v>1.3961350675152657E-2</c:v>
                </c:pt>
                <c:pt idx="721">
                  <c:v>-2.1199676473556403E-2</c:v>
                </c:pt>
                <c:pt idx="722">
                  <c:v>-2.0214984282296126E-2</c:v>
                </c:pt>
                <c:pt idx="723">
                  <c:v>-5.4990087419957701E-3</c:v>
                </c:pt>
                <c:pt idx="724">
                  <c:v>1.3513476782143027E-2</c:v>
                </c:pt>
                <c:pt idx="725">
                  <c:v>3.6346530763874507E-2</c:v>
                </c:pt>
                <c:pt idx="726">
                  <c:v>2.0246376279386344E-2</c:v>
                </c:pt>
                <c:pt idx="727">
                  <c:v>-7.9346235877427833E-3</c:v>
                </c:pt>
                <c:pt idx="728">
                  <c:v>1.6464248428427558E-2</c:v>
                </c:pt>
                <c:pt idx="729">
                  <c:v>2.1278364001191315E-3</c:v>
                </c:pt>
                <c:pt idx="730">
                  <c:v>-2.2224682322777647E-5</c:v>
                </c:pt>
                <c:pt idx="731">
                  <c:v>2.7735844522284957E-2</c:v>
                </c:pt>
                <c:pt idx="732">
                  <c:v>8.9871339806645717E-3</c:v>
                </c:pt>
                <c:pt idx="733">
                  <c:v>5.5889194060895347E-3</c:v>
                </c:pt>
                <c:pt idx="734">
                  <c:v>-1.3286824786947742E-2</c:v>
                </c:pt>
                <c:pt idx="735">
                  <c:v>-1.7534370605744025E-2</c:v>
                </c:pt>
                <c:pt idx="736">
                  <c:v>3.9678102778484312E-2</c:v>
                </c:pt>
                <c:pt idx="737">
                  <c:v>3.0750659436169364E-2</c:v>
                </c:pt>
                <c:pt idx="738">
                  <c:v>-8.8624854687966818E-3</c:v>
                </c:pt>
                <c:pt idx="739">
                  <c:v>2.7532443984947495E-3</c:v>
                </c:pt>
                <c:pt idx="740">
                  <c:v>4.0051501024389702E-2</c:v>
                </c:pt>
                <c:pt idx="741">
                  <c:v>-4.733431861438985E-3</c:v>
                </c:pt>
                <c:pt idx="742">
                  <c:v>-1.9389657546880264E-3</c:v>
                </c:pt>
                <c:pt idx="743">
                  <c:v>3.6782166195843597E-3</c:v>
                </c:pt>
                <c:pt idx="744">
                  <c:v>-4.3518211265052009E-3</c:v>
                </c:pt>
                <c:pt idx="745">
                  <c:v>-8.0228780064140071E-3</c:v>
                </c:pt>
                <c:pt idx="746">
                  <c:v>-2.6507439499087661E-2</c:v>
                </c:pt>
                <c:pt idx="747">
                  <c:v>2.1087588368775768E-2</c:v>
                </c:pt>
                <c:pt idx="748">
                  <c:v>-2.4915715358247784E-2</c:v>
                </c:pt>
                <c:pt idx="749">
                  <c:v>-3.6066885619400815E-2</c:v>
                </c:pt>
                <c:pt idx="750">
                  <c:v>8.1357530568217486E-4</c:v>
                </c:pt>
                <c:pt idx="751">
                  <c:v>1.2110119879012237E-2</c:v>
                </c:pt>
                <c:pt idx="752">
                  <c:v>1.5008244203553182E-2</c:v>
                </c:pt>
                <c:pt idx="753">
                  <c:v>1.3492895421031326E-2</c:v>
                </c:pt>
                <c:pt idx="754">
                  <c:v>2.9700867064572031E-2</c:v>
                </c:pt>
                <c:pt idx="755">
                  <c:v>4.7136566707242913E-3</c:v>
                </c:pt>
                <c:pt idx="756">
                  <c:v>2.5542804999787554E-3</c:v>
                </c:pt>
                <c:pt idx="757">
                  <c:v>-1.0064256361062309E-2</c:v>
                </c:pt>
                <c:pt idx="758">
                  <c:v>-1.8643352806503352E-2</c:v>
                </c:pt>
                <c:pt idx="759">
                  <c:v>4.4257814446309156E-3</c:v>
                </c:pt>
                <c:pt idx="760">
                  <c:v>9.6814674407417253E-3</c:v>
                </c:pt>
                <c:pt idx="761">
                  <c:v>6.5814776357450717E-3</c:v>
                </c:pt>
                <c:pt idx="762">
                  <c:v>-4.683947893402686E-3</c:v>
                </c:pt>
                <c:pt idx="763">
                  <c:v>-1.5020432780310155E-2</c:v>
                </c:pt>
                <c:pt idx="764">
                  <c:v>2.1234210280736007E-2</c:v>
                </c:pt>
                <c:pt idx="765">
                  <c:v>-5.9111586814583009E-3</c:v>
                </c:pt>
                <c:pt idx="766">
                  <c:v>7.328598292483314E-3</c:v>
                </c:pt>
                <c:pt idx="767">
                  <c:v>9.5704591054128763E-3</c:v>
                </c:pt>
                <c:pt idx="768">
                  <c:v>7.1010335110827355E-2</c:v>
                </c:pt>
                <c:pt idx="769">
                  <c:v>4.0659144211388581E-2</c:v>
                </c:pt>
                <c:pt idx="770">
                  <c:v>-2.7188469080124525E-2</c:v>
                </c:pt>
                <c:pt idx="771">
                  <c:v>-1.1183439535126198E-2</c:v>
                </c:pt>
                <c:pt idx="772">
                  <c:v>4.5767155588495381E-3</c:v>
                </c:pt>
                <c:pt idx="773">
                  <c:v>6.2761610345387448E-3</c:v>
                </c:pt>
                <c:pt idx="774">
                  <c:v>1.498577265511318E-2</c:v>
                </c:pt>
                <c:pt idx="775">
                  <c:v>4.7910160916929768E-2</c:v>
                </c:pt>
                <c:pt idx="776">
                  <c:v>-3.173657883753133E-3</c:v>
                </c:pt>
                <c:pt idx="777">
                  <c:v>-1.1774192460747379E-2</c:v>
                </c:pt>
                <c:pt idx="778">
                  <c:v>1.3231864827599488E-2</c:v>
                </c:pt>
                <c:pt idx="779">
                  <c:v>-2.5531421472529264E-6</c:v>
                </c:pt>
                <c:pt idx="780">
                  <c:v>1.5421551793027509E-2</c:v>
                </c:pt>
                <c:pt idx="781">
                  <c:v>-2.1239681046527153E-2</c:v>
                </c:pt>
                <c:pt idx="782">
                  <c:v>-2.2986712532068947E-2</c:v>
                </c:pt>
                <c:pt idx="783">
                  <c:v>2.1799496607555886E-2</c:v>
                </c:pt>
                <c:pt idx="784">
                  <c:v>-2.2811360494005156E-2</c:v>
                </c:pt>
                <c:pt idx="785">
                  <c:v>1.8921700384184878E-2</c:v>
                </c:pt>
                <c:pt idx="786">
                  <c:v>1.0429160328373219E-2</c:v>
                </c:pt>
                <c:pt idx="787">
                  <c:v>-2.7612246216616114E-2</c:v>
                </c:pt>
                <c:pt idx="788">
                  <c:v>-2.2009882379978234E-2</c:v>
                </c:pt>
                <c:pt idx="789">
                  <c:v>-2.6940227976598322E-3</c:v>
                </c:pt>
                <c:pt idx="790">
                  <c:v>-8.2328971236985127E-3</c:v>
                </c:pt>
                <c:pt idx="791">
                  <c:v>1.6082582556185723E-4</c:v>
                </c:pt>
                <c:pt idx="792">
                  <c:v>2.2317750439240572E-2</c:v>
                </c:pt>
                <c:pt idx="793">
                  <c:v>-1.1892044117747066E-2</c:v>
                </c:pt>
                <c:pt idx="794">
                  <c:v>-8.4091544304740161E-3</c:v>
                </c:pt>
                <c:pt idx="795">
                  <c:v>2.2899023462943577E-2</c:v>
                </c:pt>
                <c:pt idx="796">
                  <c:v>1.6643606105484605E-2</c:v>
                </c:pt>
                <c:pt idx="797">
                  <c:v>-2.2056255796667118E-2</c:v>
                </c:pt>
                <c:pt idx="798">
                  <c:v>-1.1771025693427225E-2</c:v>
                </c:pt>
                <c:pt idx="799">
                  <c:v>5.368180810615051E-3</c:v>
                </c:pt>
                <c:pt idx="800">
                  <c:v>5.0657271548464489E-4</c:v>
                </c:pt>
                <c:pt idx="801">
                  <c:v>-1.4794458779966681E-2</c:v>
                </c:pt>
                <c:pt idx="802">
                  <c:v>-7.3885790549229691E-3</c:v>
                </c:pt>
                <c:pt idx="803">
                  <c:v>-1.1915071879822017E-2</c:v>
                </c:pt>
                <c:pt idx="804">
                  <c:v>-1.9157365203961354E-2</c:v>
                </c:pt>
                <c:pt idx="805">
                  <c:v>1.3434720752999937E-3</c:v>
                </c:pt>
                <c:pt idx="806">
                  <c:v>2.8484234695805386E-3</c:v>
                </c:pt>
                <c:pt idx="807">
                  <c:v>1.4878037643091441E-2</c:v>
                </c:pt>
                <c:pt idx="808">
                  <c:v>2.0428740689250637E-3</c:v>
                </c:pt>
                <c:pt idx="809">
                  <c:v>-7.4032053226447464E-3</c:v>
                </c:pt>
                <c:pt idx="810">
                  <c:v>1.302630043315431E-2</c:v>
                </c:pt>
                <c:pt idx="811">
                  <c:v>3.8502681221190419E-4</c:v>
                </c:pt>
                <c:pt idx="812">
                  <c:v>-1.7101381245685728E-2</c:v>
                </c:pt>
                <c:pt idx="813">
                  <c:v>-6.7477833004614476E-3</c:v>
                </c:pt>
                <c:pt idx="814">
                  <c:v>2.6567189210308116E-2</c:v>
                </c:pt>
                <c:pt idx="815">
                  <c:v>2.7991004088022197E-2</c:v>
                </c:pt>
                <c:pt idx="816">
                  <c:v>-2.233501208402499E-4</c:v>
                </c:pt>
                <c:pt idx="817">
                  <c:v>-1.3739633936892127E-2</c:v>
                </c:pt>
                <c:pt idx="818">
                  <c:v>-2.5462355250733509E-2</c:v>
                </c:pt>
                <c:pt idx="819">
                  <c:v>3.8515117498141418E-2</c:v>
                </c:pt>
                <c:pt idx="820">
                  <c:v>1.2756679007778509E-2</c:v>
                </c:pt>
                <c:pt idx="821">
                  <c:v>8.2043807857447061E-3</c:v>
                </c:pt>
                <c:pt idx="822">
                  <c:v>-6.1944059050877145E-2</c:v>
                </c:pt>
                <c:pt idx="823">
                  <c:v>-4.0387897016510854E-2</c:v>
                </c:pt>
                <c:pt idx="824">
                  <c:v>7.9975798750636165E-3</c:v>
                </c:pt>
                <c:pt idx="825">
                  <c:v>3.793278461245872E-3</c:v>
                </c:pt>
                <c:pt idx="826">
                  <c:v>-2.2694469864234269E-3</c:v>
                </c:pt>
                <c:pt idx="827">
                  <c:v>-2.6252720311521937E-2</c:v>
                </c:pt>
                <c:pt idx="828">
                  <c:v>4.3547678715890208E-2</c:v>
                </c:pt>
                <c:pt idx="829">
                  <c:v>-9.7034191961030795E-3</c:v>
                </c:pt>
                <c:pt idx="830">
                  <c:v>-3.0061694616822076E-3</c:v>
                </c:pt>
                <c:pt idx="831">
                  <c:v>-3.5624089088146915E-4</c:v>
                </c:pt>
                <c:pt idx="832">
                  <c:v>-2.0548860281893563E-2</c:v>
                </c:pt>
                <c:pt idx="833">
                  <c:v>-1.6038771756220982E-2</c:v>
                </c:pt>
                <c:pt idx="834">
                  <c:v>2.961083561663749E-2</c:v>
                </c:pt>
                <c:pt idx="835">
                  <c:v>2.178165622610833E-2</c:v>
                </c:pt>
                <c:pt idx="836">
                  <c:v>-4.7904373297382313E-2</c:v>
                </c:pt>
                <c:pt idx="837">
                  <c:v>-2.1850729076123721E-2</c:v>
                </c:pt>
                <c:pt idx="838">
                  <c:v>2.6692156922501764E-4</c:v>
                </c:pt>
                <c:pt idx="839">
                  <c:v>2.5935417630199062E-2</c:v>
                </c:pt>
                <c:pt idx="840">
                  <c:v>-9.4909013625073119E-3</c:v>
                </c:pt>
                <c:pt idx="841">
                  <c:v>-5.3797719999149063E-4</c:v>
                </c:pt>
                <c:pt idx="842">
                  <c:v>-3.8440820321095109E-2</c:v>
                </c:pt>
                <c:pt idx="843">
                  <c:v>1.7961958802113376E-2</c:v>
                </c:pt>
                <c:pt idx="844">
                  <c:v>-4.02000320346393E-3</c:v>
                </c:pt>
                <c:pt idx="845">
                  <c:v>9.6011488663278761E-3</c:v>
                </c:pt>
                <c:pt idx="846">
                  <c:v>3.3167501647047751E-2</c:v>
                </c:pt>
                <c:pt idx="847">
                  <c:v>-1.8622962659819716E-2</c:v>
                </c:pt>
                <c:pt idx="848">
                  <c:v>-4.0424525400063029E-3</c:v>
                </c:pt>
                <c:pt idx="849">
                  <c:v>1.1744773674376124E-2</c:v>
                </c:pt>
                <c:pt idx="850">
                  <c:v>-8.8689601762633481E-3</c:v>
                </c:pt>
                <c:pt idx="851">
                  <c:v>-1.70791631219652E-2</c:v>
                </c:pt>
                <c:pt idx="852">
                  <c:v>-4.822024184388627E-3</c:v>
                </c:pt>
                <c:pt idx="853">
                  <c:v>-3.1047173499641426E-3</c:v>
                </c:pt>
                <c:pt idx="854">
                  <c:v>1.4611266609375402E-2</c:v>
                </c:pt>
                <c:pt idx="855">
                  <c:v>-8.7003636707040921E-3</c:v>
                </c:pt>
                <c:pt idx="856">
                  <c:v>-2.0140448220142657E-3</c:v>
                </c:pt>
                <c:pt idx="857">
                  <c:v>9.6483207825296419E-3</c:v>
                </c:pt>
                <c:pt idx="858">
                  <c:v>3.4942370971950106E-3</c:v>
                </c:pt>
                <c:pt idx="859">
                  <c:v>-6.11112630691606E-3</c:v>
                </c:pt>
                <c:pt idx="860">
                  <c:v>-5.1941689202031414E-4</c:v>
                </c:pt>
                <c:pt idx="861">
                  <c:v>1.2200182773173394E-2</c:v>
                </c:pt>
                <c:pt idx="862">
                  <c:v>1.7047313599767154E-2</c:v>
                </c:pt>
                <c:pt idx="863">
                  <c:v>4.1932518479635209E-3</c:v>
                </c:pt>
                <c:pt idx="864">
                  <c:v>-3.7450126710471526E-3</c:v>
                </c:pt>
                <c:pt idx="865">
                  <c:v>-2.1787015064070277E-2</c:v>
                </c:pt>
                <c:pt idx="866">
                  <c:v>1.8198718470474783E-2</c:v>
                </c:pt>
                <c:pt idx="867">
                  <c:v>-8.303980116564684E-3</c:v>
                </c:pt>
                <c:pt idx="868">
                  <c:v>2.6094360320997857E-2</c:v>
                </c:pt>
                <c:pt idx="869">
                  <c:v>3.4531402101898173E-3</c:v>
                </c:pt>
                <c:pt idx="870">
                  <c:v>-1.9650317680962807E-2</c:v>
                </c:pt>
                <c:pt idx="871">
                  <c:v>-1.7736018602516179E-2</c:v>
                </c:pt>
                <c:pt idx="872">
                  <c:v>8.7150487191680788E-3</c:v>
                </c:pt>
                <c:pt idx="873">
                  <c:v>-9.5669237672546051E-3</c:v>
                </c:pt>
                <c:pt idx="874">
                  <c:v>-7.4635228707959468E-3</c:v>
                </c:pt>
                <c:pt idx="875">
                  <c:v>1.6080756443454951E-2</c:v>
                </c:pt>
                <c:pt idx="876">
                  <c:v>1.8452702615146073E-3</c:v>
                </c:pt>
                <c:pt idx="877">
                  <c:v>-1.0689699708279489E-2</c:v>
                </c:pt>
                <c:pt idx="878">
                  <c:v>7.1429295731279445E-3</c:v>
                </c:pt>
                <c:pt idx="879">
                  <c:v>-1.2708492436913656E-2</c:v>
                </c:pt>
                <c:pt idx="880">
                  <c:v>8.0778201825668951E-3</c:v>
                </c:pt>
                <c:pt idx="881">
                  <c:v>1.7680679857366127E-2</c:v>
                </c:pt>
                <c:pt idx="882">
                  <c:v>2.8294181804138684E-2</c:v>
                </c:pt>
                <c:pt idx="883">
                  <c:v>-1.3839610585810111E-2</c:v>
                </c:pt>
                <c:pt idx="884">
                  <c:v>-6.1488079571224291E-3</c:v>
                </c:pt>
                <c:pt idx="885">
                  <c:v>1.1415484337843292E-2</c:v>
                </c:pt>
                <c:pt idx="886">
                  <c:v>-1.3698744534682582E-2</c:v>
                </c:pt>
                <c:pt idx="887">
                  <c:v>8.7721446832217248E-3</c:v>
                </c:pt>
                <c:pt idx="888">
                  <c:v>-6.8201564500302223E-3</c:v>
                </c:pt>
                <c:pt idx="889">
                  <c:v>4.8388527273835434E-4</c:v>
                </c:pt>
                <c:pt idx="890">
                  <c:v>-5.8564527798272174E-3</c:v>
                </c:pt>
                <c:pt idx="891">
                  <c:v>-1.2242196154087438E-2</c:v>
                </c:pt>
                <c:pt idx="892">
                  <c:v>1.9449371134597045E-2</c:v>
                </c:pt>
                <c:pt idx="893">
                  <c:v>8.3655644364930958E-4</c:v>
                </c:pt>
                <c:pt idx="894">
                  <c:v>-8.4647059557903456E-3</c:v>
                </c:pt>
                <c:pt idx="895">
                  <c:v>-1.7952028053322751E-2</c:v>
                </c:pt>
                <c:pt idx="896">
                  <c:v>-1.9042425848268943E-2</c:v>
                </c:pt>
                <c:pt idx="897">
                  <c:v>1.7109584161685846E-2</c:v>
                </c:pt>
                <c:pt idx="898">
                  <c:v>-1.799893773808767E-2</c:v>
                </c:pt>
                <c:pt idx="899">
                  <c:v>-2.3647978743836895E-2</c:v>
                </c:pt>
                <c:pt idx="900">
                  <c:v>2.3419241702774565E-2</c:v>
                </c:pt>
                <c:pt idx="901">
                  <c:v>-1.7010097809448732E-2</c:v>
                </c:pt>
                <c:pt idx="902">
                  <c:v>1.575657744578551E-2</c:v>
                </c:pt>
                <c:pt idx="903">
                  <c:v>1.6167275349468584E-2</c:v>
                </c:pt>
                <c:pt idx="904">
                  <c:v>-1.2321815777831761E-2</c:v>
                </c:pt>
                <c:pt idx="905">
                  <c:v>3.0306932292861986E-3</c:v>
                </c:pt>
                <c:pt idx="906">
                  <c:v>-1.6411306907042209E-2</c:v>
                </c:pt>
                <c:pt idx="907">
                  <c:v>-3.4455996491738493E-2</c:v>
                </c:pt>
                <c:pt idx="908">
                  <c:v>-1.4883602995739827E-2</c:v>
                </c:pt>
                <c:pt idx="909">
                  <c:v>1.8375853375243029E-5</c:v>
                </c:pt>
                <c:pt idx="910">
                  <c:v>-5.7101909061509533E-3</c:v>
                </c:pt>
                <c:pt idx="911">
                  <c:v>-6.0759831167344156E-3</c:v>
                </c:pt>
                <c:pt idx="912">
                  <c:v>1.8398748809413015E-2</c:v>
                </c:pt>
                <c:pt idx="913">
                  <c:v>5.8507747442573671E-3</c:v>
                </c:pt>
                <c:pt idx="914">
                  <c:v>6.9900864203487588E-3</c:v>
                </c:pt>
                <c:pt idx="915">
                  <c:v>1.0516924928181872E-3</c:v>
                </c:pt>
                <c:pt idx="916">
                  <c:v>-1.3943303202435413E-2</c:v>
                </c:pt>
                <c:pt idx="917">
                  <c:v>3.4963682167818335E-4</c:v>
                </c:pt>
                <c:pt idx="918">
                  <c:v>1.6397789381455939E-3</c:v>
                </c:pt>
                <c:pt idx="919">
                  <c:v>4.743578428279064E-2</c:v>
                </c:pt>
                <c:pt idx="920">
                  <c:v>-4.2756815627275312E-4</c:v>
                </c:pt>
                <c:pt idx="921">
                  <c:v>-1.3541095075132516E-2</c:v>
                </c:pt>
                <c:pt idx="922">
                  <c:v>1.3277926781235988E-2</c:v>
                </c:pt>
                <c:pt idx="923">
                  <c:v>2.2104361946609564E-2</c:v>
                </c:pt>
                <c:pt idx="924">
                  <c:v>1.1660404889185407E-2</c:v>
                </c:pt>
                <c:pt idx="925">
                  <c:v>3.3137172763201953E-3</c:v>
                </c:pt>
                <c:pt idx="926">
                  <c:v>-1.2283013093256823E-2</c:v>
                </c:pt>
                <c:pt idx="927">
                  <c:v>-1.7566223910218462E-2</c:v>
                </c:pt>
                <c:pt idx="928">
                  <c:v>1.7774067262244586E-3</c:v>
                </c:pt>
                <c:pt idx="929">
                  <c:v>4.1865748135290039E-3</c:v>
                </c:pt>
                <c:pt idx="930">
                  <c:v>-5.4348657913423151E-2</c:v>
                </c:pt>
                <c:pt idx="931">
                  <c:v>3.1947918868795104E-2</c:v>
                </c:pt>
                <c:pt idx="932">
                  <c:v>1.5694097928230795E-2</c:v>
                </c:pt>
                <c:pt idx="933">
                  <c:v>7.4046783303595726E-3</c:v>
                </c:pt>
                <c:pt idx="934">
                  <c:v>1.3497815538866764E-2</c:v>
                </c:pt>
                <c:pt idx="935">
                  <c:v>8.5062046492808234E-3</c:v>
                </c:pt>
                <c:pt idx="936">
                  <c:v>-1.4139132056021598E-2</c:v>
                </c:pt>
                <c:pt idx="937">
                  <c:v>-3.2265114044440373E-3</c:v>
                </c:pt>
                <c:pt idx="938">
                  <c:v>-2.313863597122592E-3</c:v>
                </c:pt>
                <c:pt idx="939">
                  <c:v>1.5908682038614369E-4</c:v>
                </c:pt>
                <c:pt idx="940">
                  <c:v>9.9303121109845828E-3</c:v>
                </c:pt>
                <c:pt idx="941">
                  <c:v>3.7472369393494277E-2</c:v>
                </c:pt>
                <c:pt idx="942">
                  <c:v>2.356275743253422E-3</c:v>
                </c:pt>
                <c:pt idx="943">
                  <c:v>1.2061856617081312E-3</c:v>
                </c:pt>
                <c:pt idx="944">
                  <c:v>-2.027656978238819E-2</c:v>
                </c:pt>
                <c:pt idx="945">
                  <c:v>-2.850513916626799E-3</c:v>
                </c:pt>
                <c:pt idx="946">
                  <c:v>1.2473656577767387E-3</c:v>
                </c:pt>
                <c:pt idx="947">
                  <c:v>-1.739869037779939E-2</c:v>
                </c:pt>
                <c:pt idx="948">
                  <c:v>1.6721466507079237E-2</c:v>
                </c:pt>
                <c:pt idx="949">
                  <c:v>6.9649509423263863E-3</c:v>
                </c:pt>
                <c:pt idx="950">
                  <c:v>-3.5102552506486749E-3</c:v>
                </c:pt>
                <c:pt idx="951">
                  <c:v>-3.6426238425058778E-3</c:v>
                </c:pt>
                <c:pt idx="952">
                  <c:v>8.8844859450163682E-3</c:v>
                </c:pt>
                <c:pt idx="953">
                  <c:v>2.4413808444752466E-3</c:v>
                </c:pt>
                <c:pt idx="954">
                  <c:v>-2.8970289734963947E-2</c:v>
                </c:pt>
                <c:pt idx="955">
                  <c:v>0.13289045379855477</c:v>
                </c:pt>
                <c:pt idx="956">
                  <c:v>-3.2207840460925135E-3</c:v>
                </c:pt>
                <c:pt idx="957">
                  <c:v>-5.7155062375201703E-2</c:v>
                </c:pt>
                <c:pt idx="958">
                  <c:v>3.7447430287332592E-2</c:v>
                </c:pt>
                <c:pt idx="959">
                  <c:v>1.4042662326188896E-2</c:v>
                </c:pt>
                <c:pt idx="960">
                  <c:v>-6.9136369172188971E-3</c:v>
                </c:pt>
                <c:pt idx="961">
                  <c:v>-4.525498821291064E-3</c:v>
                </c:pt>
                <c:pt idx="962">
                  <c:v>2.5027548120266807E-2</c:v>
                </c:pt>
                <c:pt idx="963">
                  <c:v>3.8543406581100538E-3</c:v>
                </c:pt>
                <c:pt idx="964">
                  <c:v>2.8643456757702798E-2</c:v>
                </c:pt>
                <c:pt idx="965">
                  <c:v>-5.8845205963392912E-3</c:v>
                </c:pt>
                <c:pt idx="966">
                  <c:v>-7.4643353874905326E-3</c:v>
                </c:pt>
                <c:pt idx="967">
                  <c:v>-2.0945978123212996E-2</c:v>
                </c:pt>
                <c:pt idx="968">
                  <c:v>1.3724838188892283E-2</c:v>
                </c:pt>
                <c:pt idx="969">
                  <c:v>-2.1817405578022728E-2</c:v>
                </c:pt>
                <c:pt idx="970">
                  <c:v>2.7237548872001881E-2</c:v>
                </c:pt>
                <c:pt idx="971">
                  <c:v>-1.5881492779520889E-2</c:v>
                </c:pt>
                <c:pt idx="972">
                  <c:v>-9.7694221450790597E-3</c:v>
                </c:pt>
                <c:pt idx="973">
                  <c:v>2.0548404839661055E-3</c:v>
                </c:pt>
                <c:pt idx="974">
                  <c:v>2.318308165203525E-2</c:v>
                </c:pt>
                <c:pt idx="975">
                  <c:v>-7.4821355281834917E-3</c:v>
                </c:pt>
                <c:pt idx="976">
                  <c:v>-9.7545933322692145E-3</c:v>
                </c:pt>
                <c:pt idx="977">
                  <c:v>-9.7840217197588172E-3</c:v>
                </c:pt>
                <c:pt idx="978">
                  <c:v>-5.5542457674413849E-3</c:v>
                </c:pt>
                <c:pt idx="979">
                  <c:v>1.398545861314323E-2</c:v>
                </c:pt>
                <c:pt idx="980">
                  <c:v>2.1876564889396063E-3</c:v>
                </c:pt>
                <c:pt idx="981">
                  <c:v>1.2025101692517959E-2</c:v>
                </c:pt>
                <c:pt idx="982">
                  <c:v>1.6649233602380527E-2</c:v>
                </c:pt>
                <c:pt idx="983">
                  <c:v>-6.9532481427661162E-3</c:v>
                </c:pt>
                <c:pt idx="984">
                  <c:v>-8.642040680125614E-3</c:v>
                </c:pt>
                <c:pt idx="985">
                  <c:v>-1.3047901459737318E-2</c:v>
                </c:pt>
                <c:pt idx="986">
                  <c:v>2.9777991504712418E-2</c:v>
                </c:pt>
                <c:pt idx="987">
                  <c:v>3.1292057192264799E-2</c:v>
                </c:pt>
                <c:pt idx="988">
                  <c:v>-2.4311613160085167E-2</c:v>
                </c:pt>
                <c:pt idx="989">
                  <c:v>2.889701935751034E-2</c:v>
                </c:pt>
                <c:pt idx="990">
                  <c:v>-1.7753036131964346E-2</c:v>
                </c:pt>
                <c:pt idx="991">
                  <c:v>2.7832875551784934E-2</c:v>
                </c:pt>
                <c:pt idx="992">
                  <c:v>3.0117069097287674E-3</c:v>
                </c:pt>
                <c:pt idx="993">
                  <c:v>-2.2831227257450862E-2</c:v>
                </c:pt>
                <c:pt idx="994">
                  <c:v>-3.1325526141834205E-3</c:v>
                </c:pt>
                <c:pt idx="995">
                  <c:v>1.331333696687882E-2</c:v>
                </c:pt>
                <c:pt idx="996">
                  <c:v>-2.3368188616498648E-3</c:v>
                </c:pt>
                <c:pt idx="997">
                  <c:v>1.3188980360586088E-2</c:v>
                </c:pt>
                <c:pt idx="998">
                  <c:v>4.0775991278157115E-3</c:v>
                </c:pt>
                <c:pt idx="999">
                  <c:v>7.8347015634611591E-3</c:v>
                </c:pt>
                <c:pt idx="1000">
                  <c:v>1.471104899311558E-2</c:v>
                </c:pt>
                <c:pt idx="1001">
                  <c:v>-5.880195584786611E-3</c:v>
                </c:pt>
                <c:pt idx="1002">
                  <c:v>-1.1910813048861678E-2</c:v>
                </c:pt>
                <c:pt idx="1003">
                  <c:v>4.0915027669528682E-2</c:v>
                </c:pt>
                <c:pt idx="1004">
                  <c:v>6.5001137864690764E-2</c:v>
                </c:pt>
                <c:pt idx="1005">
                  <c:v>-3.2588392826421175E-2</c:v>
                </c:pt>
                <c:pt idx="1006">
                  <c:v>-1.2291477195242533E-2</c:v>
                </c:pt>
                <c:pt idx="1007">
                  <c:v>-2.1501432508823557E-2</c:v>
                </c:pt>
                <c:pt idx="1008">
                  <c:v>6.507661525760218E-3</c:v>
                </c:pt>
                <c:pt idx="1009">
                  <c:v>1.3969995232603115E-2</c:v>
                </c:pt>
                <c:pt idx="1010">
                  <c:v>-1.8089606958701848E-2</c:v>
                </c:pt>
                <c:pt idx="1011">
                  <c:v>-5.4140004719791419E-3</c:v>
                </c:pt>
                <c:pt idx="1012">
                  <c:v>1.1456734148365406E-2</c:v>
                </c:pt>
                <c:pt idx="1013">
                  <c:v>-1.0500766069867516E-2</c:v>
                </c:pt>
                <c:pt idx="1014">
                  <c:v>2.9032436237252931E-2</c:v>
                </c:pt>
                <c:pt idx="1015">
                  <c:v>1.5171602566674509E-2</c:v>
                </c:pt>
                <c:pt idx="1016">
                  <c:v>2.2438963264565896E-2</c:v>
                </c:pt>
                <c:pt idx="1017">
                  <c:v>2.0464786756758885E-3</c:v>
                </c:pt>
                <c:pt idx="1018">
                  <c:v>8.9258082781524563E-4</c:v>
                </c:pt>
                <c:pt idx="1019">
                  <c:v>-1.8519206512560347E-3</c:v>
                </c:pt>
                <c:pt idx="1020">
                  <c:v>-5.3393425874427823E-3</c:v>
                </c:pt>
                <c:pt idx="1021">
                  <c:v>-2.8410321655493811E-2</c:v>
                </c:pt>
                <c:pt idx="1022">
                  <c:v>-2.6298540969726173E-2</c:v>
                </c:pt>
                <c:pt idx="1023">
                  <c:v>3.2873286042923042E-2</c:v>
                </c:pt>
                <c:pt idx="1024">
                  <c:v>-1.0284364618779664E-2</c:v>
                </c:pt>
                <c:pt idx="1025">
                  <c:v>4.9283776624963471E-2</c:v>
                </c:pt>
                <c:pt idx="1026">
                  <c:v>5.3905322853906007E-2</c:v>
                </c:pt>
                <c:pt idx="1027">
                  <c:v>-4.039197328044887E-2</c:v>
                </c:pt>
                <c:pt idx="1028">
                  <c:v>-7.2483800811885546E-3</c:v>
                </c:pt>
                <c:pt idx="1029">
                  <c:v>3.1727396063539734E-2</c:v>
                </c:pt>
                <c:pt idx="1030">
                  <c:v>-2.1782590193038697E-2</c:v>
                </c:pt>
                <c:pt idx="1031">
                  <c:v>4.1729931716859778E-3</c:v>
                </c:pt>
                <c:pt idx="1032">
                  <c:v>-1.6158967804672731E-2</c:v>
                </c:pt>
                <c:pt idx="1033">
                  <c:v>5.3760328375144269E-3</c:v>
                </c:pt>
                <c:pt idx="1034">
                  <c:v>2.917971246386728E-3</c:v>
                </c:pt>
                <c:pt idx="1035">
                  <c:v>1.9889568107093233E-2</c:v>
                </c:pt>
                <c:pt idx="1036">
                  <c:v>2.0734517398979264E-2</c:v>
                </c:pt>
                <c:pt idx="1037">
                  <c:v>2.3031538208634787E-2</c:v>
                </c:pt>
                <c:pt idx="1038">
                  <c:v>-2.45709048305797E-2</c:v>
                </c:pt>
                <c:pt idx="1039">
                  <c:v>1.8598039968896858E-3</c:v>
                </c:pt>
                <c:pt idx="1040">
                  <c:v>-7.3638290658728425E-4</c:v>
                </c:pt>
                <c:pt idx="1041">
                  <c:v>1.6469141739413181E-3</c:v>
                </c:pt>
                <c:pt idx="1042">
                  <c:v>1.1929723400562364E-2</c:v>
                </c:pt>
                <c:pt idx="1043">
                  <c:v>1.4793831844531443E-2</c:v>
                </c:pt>
                <c:pt idx="1044">
                  <c:v>1.7103325610654585E-2</c:v>
                </c:pt>
                <c:pt idx="1045">
                  <c:v>-4.2519376100839728E-3</c:v>
                </c:pt>
                <c:pt idx="1046">
                  <c:v>-9.7142873065557585E-3</c:v>
                </c:pt>
                <c:pt idx="1047">
                  <c:v>1.5624293213231845E-2</c:v>
                </c:pt>
                <c:pt idx="1048">
                  <c:v>-6.5108528793628813E-3</c:v>
                </c:pt>
                <c:pt idx="1049">
                  <c:v>-8.5167428698369671E-3</c:v>
                </c:pt>
                <c:pt idx="1050">
                  <c:v>-7.31530848465624E-3</c:v>
                </c:pt>
                <c:pt idx="1051">
                  <c:v>-2.7899015571913326E-3</c:v>
                </c:pt>
                <c:pt idx="1052">
                  <c:v>-7.6348712665112485E-3</c:v>
                </c:pt>
                <c:pt idx="1053">
                  <c:v>7.3530627492868596E-3</c:v>
                </c:pt>
                <c:pt idx="1054">
                  <c:v>-1.0713920544078165E-2</c:v>
                </c:pt>
                <c:pt idx="1055">
                  <c:v>-1.3459817442007322E-2</c:v>
                </c:pt>
                <c:pt idx="1056">
                  <c:v>4.5462108637441823E-3</c:v>
                </c:pt>
                <c:pt idx="1057">
                  <c:v>-1.6120828287767425E-2</c:v>
                </c:pt>
                <c:pt idx="1058">
                  <c:v>4.7799341100022118E-4</c:v>
                </c:pt>
                <c:pt idx="1059">
                  <c:v>3.2293951552775824E-3</c:v>
                </c:pt>
                <c:pt idx="1060">
                  <c:v>-1.530245990127535E-2</c:v>
                </c:pt>
                <c:pt idx="1061">
                  <c:v>-1.7254806308963384E-2</c:v>
                </c:pt>
                <c:pt idx="1062">
                  <c:v>2.5503078122196265E-3</c:v>
                </c:pt>
                <c:pt idx="1063">
                  <c:v>-3.2869056100569352E-2</c:v>
                </c:pt>
                <c:pt idx="1064">
                  <c:v>-5.5668996343912286E-2</c:v>
                </c:pt>
                <c:pt idx="1065">
                  <c:v>2.2289823811986686E-2</c:v>
                </c:pt>
                <c:pt idx="1066">
                  <c:v>1.8815554619259434E-2</c:v>
                </c:pt>
                <c:pt idx="1067">
                  <c:v>1.9861786921542907E-2</c:v>
                </c:pt>
                <c:pt idx="1068">
                  <c:v>9.1192552508508624E-3</c:v>
                </c:pt>
                <c:pt idx="1069">
                  <c:v>1.2352320374155379E-3</c:v>
                </c:pt>
                <c:pt idx="1070">
                  <c:v>-5.2625630963094187E-2</c:v>
                </c:pt>
                <c:pt idx="1071">
                  <c:v>7.7096625191876433E-3</c:v>
                </c:pt>
                <c:pt idx="1072">
                  <c:v>4.0981262421632504E-2</c:v>
                </c:pt>
                <c:pt idx="1073">
                  <c:v>3.2400817570316959E-2</c:v>
                </c:pt>
                <c:pt idx="1074">
                  <c:v>-4.4546924419634905E-2</c:v>
                </c:pt>
                <c:pt idx="1075">
                  <c:v>-4.5737832457510182E-2</c:v>
                </c:pt>
                <c:pt idx="1076">
                  <c:v>4.9942649904281267E-2</c:v>
                </c:pt>
                <c:pt idx="1077">
                  <c:v>3.7821808836222541E-2</c:v>
                </c:pt>
                <c:pt idx="1078">
                  <c:v>9.3250377027969816E-3</c:v>
                </c:pt>
                <c:pt idx="1079">
                  <c:v>-2.9432224880998416E-2</c:v>
                </c:pt>
                <c:pt idx="1080">
                  <c:v>-1.760187096706187E-2</c:v>
                </c:pt>
                <c:pt idx="1081">
                  <c:v>2.9146847051191541E-2</c:v>
                </c:pt>
                <c:pt idx="1082">
                  <c:v>-1.077296643380703E-2</c:v>
                </c:pt>
                <c:pt idx="1083">
                  <c:v>-1.479795146954904E-2</c:v>
                </c:pt>
                <c:pt idx="1084">
                  <c:v>-2.3251425872661817E-2</c:v>
                </c:pt>
                <c:pt idx="1085">
                  <c:v>3.9766086285936086E-2</c:v>
                </c:pt>
                <c:pt idx="1086">
                  <c:v>5.1187890804151648E-2</c:v>
                </c:pt>
                <c:pt idx="1087">
                  <c:v>1.6417828930171262E-2</c:v>
                </c:pt>
                <c:pt idx="1088">
                  <c:v>2.279246003889986E-3</c:v>
                </c:pt>
                <c:pt idx="1089">
                  <c:v>-6.2603644314089017E-3</c:v>
                </c:pt>
                <c:pt idx="1090">
                  <c:v>-7.4139091731668392E-3</c:v>
                </c:pt>
                <c:pt idx="1091">
                  <c:v>-1.4144581170664576E-3</c:v>
                </c:pt>
                <c:pt idx="1092">
                  <c:v>4.0899956877814933E-2</c:v>
                </c:pt>
                <c:pt idx="1093">
                  <c:v>-7.2299355594874617E-2</c:v>
                </c:pt>
                <c:pt idx="1094">
                  <c:v>6.4025205602727078E-2</c:v>
                </c:pt>
                <c:pt idx="1095">
                  <c:v>-3.2362997279120134E-3</c:v>
                </c:pt>
                <c:pt idx="1096">
                  <c:v>-1.7816709238849326E-2</c:v>
                </c:pt>
                <c:pt idx="1097">
                  <c:v>-3.3665857071461879E-2</c:v>
                </c:pt>
                <c:pt idx="1098">
                  <c:v>-4.908273231958981E-3</c:v>
                </c:pt>
                <c:pt idx="1099">
                  <c:v>-2.0042834087209659E-3</c:v>
                </c:pt>
                <c:pt idx="1100">
                  <c:v>4.255615835279275E-2</c:v>
                </c:pt>
                <c:pt idx="1101">
                  <c:v>-4.5194387165625169E-2</c:v>
                </c:pt>
                <c:pt idx="1102">
                  <c:v>-3.6936779072918799E-2</c:v>
                </c:pt>
                <c:pt idx="1103">
                  <c:v>-8.7762601581214093E-4</c:v>
                </c:pt>
                <c:pt idx="1104">
                  <c:v>1.3537158541354795E-2</c:v>
                </c:pt>
                <c:pt idx="1105">
                  <c:v>3.0515003870913184E-2</c:v>
                </c:pt>
                <c:pt idx="1106">
                  <c:v>1.1995944442217276E-2</c:v>
                </c:pt>
                <c:pt idx="1107">
                  <c:v>5.560679637625128E-2</c:v>
                </c:pt>
                <c:pt idx="1108">
                  <c:v>3.2520880232760089E-3</c:v>
                </c:pt>
                <c:pt idx="1109">
                  <c:v>-1.2219232837057836E-2</c:v>
                </c:pt>
                <c:pt idx="1110">
                  <c:v>-8.2472492781936503E-3</c:v>
                </c:pt>
                <c:pt idx="1111">
                  <c:v>8.7937803423384867E-3</c:v>
                </c:pt>
                <c:pt idx="1112">
                  <c:v>3.2778370432524975E-2</c:v>
                </c:pt>
                <c:pt idx="1113">
                  <c:v>-1.4771683251498819E-3</c:v>
                </c:pt>
                <c:pt idx="1114">
                  <c:v>2.1242029339451074E-3</c:v>
                </c:pt>
                <c:pt idx="1115">
                  <c:v>-5.5699037152577352E-3</c:v>
                </c:pt>
                <c:pt idx="1116">
                  <c:v>-5.6506192635012919E-3</c:v>
                </c:pt>
                <c:pt idx="1117">
                  <c:v>-4.8514537116361393E-3</c:v>
                </c:pt>
                <c:pt idx="1118">
                  <c:v>1.3766076991727232E-2</c:v>
                </c:pt>
                <c:pt idx="1119">
                  <c:v>-1.7109866401605896E-2</c:v>
                </c:pt>
                <c:pt idx="1120">
                  <c:v>-2.5821078945543617E-3</c:v>
                </c:pt>
                <c:pt idx="1121">
                  <c:v>2.4924960002623456E-2</c:v>
                </c:pt>
                <c:pt idx="1122">
                  <c:v>1.0735204432605712E-3</c:v>
                </c:pt>
                <c:pt idx="1123">
                  <c:v>-3.0630399168363525E-3</c:v>
                </c:pt>
                <c:pt idx="1124">
                  <c:v>1.0118105550519787E-2</c:v>
                </c:pt>
                <c:pt idx="1125">
                  <c:v>-2.3756626140917152E-2</c:v>
                </c:pt>
                <c:pt idx="1126">
                  <c:v>-1.2543155539355078E-2</c:v>
                </c:pt>
                <c:pt idx="1127">
                  <c:v>-4.1299270644112925E-3</c:v>
                </c:pt>
                <c:pt idx="1128">
                  <c:v>-8.957673816189126E-3</c:v>
                </c:pt>
                <c:pt idx="1129">
                  <c:v>5.6339795951992153E-3</c:v>
                </c:pt>
                <c:pt idx="1130">
                  <c:v>-2.3221297334044596E-3</c:v>
                </c:pt>
                <c:pt idx="1131">
                  <c:v>2.5964401342952644E-3</c:v>
                </c:pt>
                <c:pt idx="1132">
                  <c:v>1.3780244543646885E-3</c:v>
                </c:pt>
                <c:pt idx="1133">
                  <c:v>-1.016699242736255E-2</c:v>
                </c:pt>
                <c:pt idx="1134">
                  <c:v>-3.5084518755189857E-2</c:v>
                </c:pt>
                <c:pt idx="1135">
                  <c:v>1.4255481428267418E-2</c:v>
                </c:pt>
                <c:pt idx="1136">
                  <c:v>2.540264635073437E-3</c:v>
                </c:pt>
                <c:pt idx="1137">
                  <c:v>1.8469531547507828E-2</c:v>
                </c:pt>
                <c:pt idx="1138">
                  <c:v>2.8400221926867638E-2</c:v>
                </c:pt>
                <c:pt idx="1139">
                  <c:v>-5.8405753893745679E-3</c:v>
                </c:pt>
                <c:pt idx="1140">
                  <c:v>-6.5299899855786542E-3</c:v>
                </c:pt>
                <c:pt idx="1141">
                  <c:v>-7.8545201268000811E-3</c:v>
                </c:pt>
                <c:pt idx="1142">
                  <c:v>5.9380147648205997E-2</c:v>
                </c:pt>
                <c:pt idx="1143">
                  <c:v>-1.8897486673206877E-2</c:v>
                </c:pt>
                <c:pt idx="1144">
                  <c:v>-4.7097932651002528E-3</c:v>
                </c:pt>
                <c:pt idx="1145">
                  <c:v>1.0123793660582154E-2</c:v>
                </c:pt>
                <c:pt idx="1146">
                  <c:v>-1.3283066712456406E-2</c:v>
                </c:pt>
                <c:pt idx="1147">
                  <c:v>-7.6502053862887659E-3</c:v>
                </c:pt>
                <c:pt idx="1148">
                  <c:v>4.7114272437854664E-4</c:v>
                </c:pt>
                <c:pt idx="1149">
                  <c:v>1.3497500328665023E-2</c:v>
                </c:pt>
                <c:pt idx="1150">
                  <c:v>-2.31959906035549E-4</c:v>
                </c:pt>
                <c:pt idx="1151">
                  <c:v>-1.8544312382957721E-2</c:v>
                </c:pt>
                <c:pt idx="1152">
                  <c:v>-4.3162456411983408E-2</c:v>
                </c:pt>
                <c:pt idx="1153">
                  <c:v>1.3932652570028676E-2</c:v>
                </c:pt>
                <c:pt idx="1154">
                  <c:v>-1.1904982634740793E-2</c:v>
                </c:pt>
                <c:pt idx="1155">
                  <c:v>9.3524257171659223E-4</c:v>
                </c:pt>
                <c:pt idx="1156">
                  <c:v>-4.3988217938094737E-3</c:v>
                </c:pt>
                <c:pt idx="1157">
                  <c:v>1.0328654038856792E-3</c:v>
                </c:pt>
                <c:pt idx="1158">
                  <c:v>1.5721886117415836E-3</c:v>
                </c:pt>
                <c:pt idx="1159">
                  <c:v>-1.5201283728572618E-2</c:v>
                </c:pt>
                <c:pt idx="1160">
                  <c:v>2.7852239206919528E-2</c:v>
                </c:pt>
                <c:pt idx="1161">
                  <c:v>-1.7455768844954447E-2</c:v>
                </c:pt>
                <c:pt idx="1162">
                  <c:v>1.3173388037483087E-2</c:v>
                </c:pt>
                <c:pt idx="1163">
                  <c:v>2.0264125068545608E-2</c:v>
                </c:pt>
                <c:pt idx="1164">
                  <c:v>3.3400982481869941E-3</c:v>
                </c:pt>
                <c:pt idx="1165">
                  <c:v>-8.0412635959439434E-3</c:v>
                </c:pt>
                <c:pt idx="1166">
                  <c:v>-3.0014158741889993E-3</c:v>
                </c:pt>
                <c:pt idx="1167">
                  <c:v>-1.0358828040845598E-2</c:v>
                </c:pt>
                <c:pt idx="1168">
                  <c:v>-4.1515981827425399E-2</c:v>
                </c:pt>
                <c:pt idx="1169">
                  <c:v>9.5271548094372251E-3</c:v>
                </c:pt>
                <c:pt idx="1170">
                  <c:v>-2.4250274583060605E-2</c:v>
                </c:pt>
                <c:pt idx="1171">
                  <c:v>-6.1556974677306076E-3</c:v>
                </c:pt>
                <c:pt idx="1172">
                  <c:v>-6.4932460561311625E-3</c:v>
                </c:pt>
                <c:pt idx="1173">
                  <c:v>-1.1067367193731361E-2</c:v>
                </c:pt>
                <c:pt idx="1174">
                  <c:v>-2.8843481805194335E-2</c:v>
                </c:pt>
                <c:pt idx="1175">
                  <c:v>-1.1188362063787293E-2</c:v>
                </c:pt>
                <c:pt idx="1176">
                  <c:v>5.1896159090405666E-3</c:v>
                </c:pt>
                <c:pt idx="1177">
                  <c:v>4.0654822357692726E-3</c:v>
                </c:pt>
                <c:pt idx="1178">
                  <c:v>-2.1155267542923017E-2</c:v>
                </c:pt>
                <c:pt idx="1179">
                  <c:v>-5.1289168298543951E-3</c:v>
                </c:pt>
                <c:pt idx="1180">
                  <c:v>-1.5025699066490468E-2</c:v>
                </c:pt>
                <c:pt idx="1181">
                  <c:v>2.3367786912546207E-2</c:v>
                </c:pt>
                <c:pt idx="1182">
                  <c:v>8.3555332915739716E-3</c:v>
                </c:pt>
                <c:pt idx="1183">
                  <c:v>1.6085589853321494E-2</c:v>
                </c:pt>
                <c:pt idx="1184">
                  <c:v>1.2042954642607639E-2</c:v>
                </c:pt>
                <c:pt idx="1185">
                  <c:v>-4.2818894748612385E-3</c:v>
                </c:pt>
                <c:pt idx="1186">
                  <c:v>1.5999987401752652E-2</c:v>
                </c:pt>
                <c:pt idx="1187">
                  <c:v>-3.6151996235987631E-2</c:v>
                </c:pt>
                <c:pt idx="1188">
                  <c:v>-6.2659181348675333E-2</c:v>
                </c:pt>
                <c:pt idx="1189">
                  <c:v>1.5869207139566181E-2</c:v>
                </c:pt>
                <c:pt idx="1190">
                  <c:v>-9.7505968184138942E-3</c:v>
                </c:pt>
                <c:pt idx="1191">
                  <c:v>1.718273950192303E-2</c:v>
                </c:pt>
                <c:pt idx="1192">
                  <c:v>8.8372664932578823E-3</c:v>
                </c:pt>
                <c:pt idx="1193">
                  <c:v>1.07603869302151E-2</c:v>
                </c:pt>
                <c:pt idx="1194">
                  <c:v>-1.255121164882054E-2</c:v>
                </c:pt>
                <c:pt idx="1195">
                  <c:v>6.1214714263411966E-3</c:v>
                </c:pt>
                <c:pt idx="1196">
                  <c:v>1.6437157296602098E-2</c:v>
                </c:pt>
                <c:pt idx="1197">
                  <c:v>6.0638141634785665E-3</c:v>
                </c:pt>
                <c:pt idx="1198">
                  <c:v>-3.1879219531376748E-2</c:v>
                </c:pt>
                <c:pt idx="1199">
                  <c:v>1.9634546447242184E-2</c:v>
                </c:pt>
                <c:pt idx="1200">
                  <c:v>-1.0385448241628894E-2</c:v>
                </c:pt>
                <c:pt idx="1201">
                  <c:v>-4.4174492246523436E-2</c:v>
                </c:pt>
                <c:pt idx="1202">
                  <c:v>-2.0311251949772444E-3</c:v>
                </c:pt>
                <c:pt idx="1203">
                  <c:v>3.1373435721564619E-2</c:v>
                </c:pt>
                <c:pt idx="1204">
                  <c:v>3.9757748736073475E-3</c:v>
                </c:pt>
                <c:pt idx="1205">
                  <c:v>-1.5373024053528956E-2</c:v>
                </c:pt>
                <c:pt idx="1206">
                  <c:v>-1.9478433918368645E-2</c:v>
                </c:pt>
                <c:pt idx="1207">
                  <c:v>3.0044850642421315E-2</c:v>
                </c:pt>
                <c:pt idx="1208">
                  <c:v>6.2425365102959138E-2</c:v>
                </c:pt>
                <c:pt idx="1209">
                  <c:v>-8.3982026361397594E-4</c:v>
                </c:pt>
                <c:pt idx="1210">
                  <c:v>8.1860162575855995E-3</c:v>
                </c:pt>
                <c:pt idx="1211">
                  <c:v>-2.6886391869321416E-2</c:v>
                </c:pt>
                <c:pt idx="1212">
                  <c:v>2.6020367342017665E-3</c:v>
                </c:pt>
                <c:pt idx="1213">
                  <c:v>2.7132593873518157E-2</c:v>
                </c:pt>
                <c:pt idx="1214">
                  <c:v>1.3036676214382079E-2</c:v>
                </c:pt>
                <c:pt idx="1215">
                  <c:v>-1.5232516973838216E-2</c:v>
                </c:pt>
                <c:pt idx="1216">
                  <c:v>1.1535203544296019E-3</c:v>
                </c:pt>
                <c:pt idx="1217">
                  <c:v>-6.1233079947897243E-3</c:v>
                </c:pt>
                <c:pt idx="1218">
                  <c:v>-7.031053954572296E-3</c:v>
                </c:pt>
                <c:pt idx="1219">
                  <c:v>-9.6294722584795937E-3</c:v>
                </c:pt>
                <c:pt idx="1220">
                  <c:v>2.1915295753964035E-3</c:v>
                </c:pt>
                <c:pt idx="1221">
                  <c:v>8.9760882681593126E-3</c:v>
                </c:pt>
                <c:pt idx="1222">
                  <c:v>8.9530987607838609E-3</c:v>
                </c:pt>
                <c:pt idx="1223">
                  <c:v>8.8604834842333485E-3</c:v>
                </c:pt>
                <c:pt idx="1224">
                  <c:v>-1.4943648538436606E-2</c:v>
                </c:pt>
                <c:pt idx="1225">
                  <c:v>-2.4084644997631112E-2</c:v>
                </c:pt>
                <c:pt idx="1226">
                  <c:v>2.7908693596165976E-2</c:v>
                </c:pt>
                <c:pt idx="1227">
                  <c:v>-4.5482278373770463E-3</c:v>
                </c:pt>
                <c:pt idx="1228">
                  <c:v>5.1584253095267076E-3</c:v>
                </c:pt>
                <c:pt idx="1229">
                  <c:v>-6.0971767466612408E-3</c:v>
                </c:pt>
                <c:pt idx="1230">
                  <c:v>1.6770933016679274E-2</c:v>
                </c:pt>
                <c:pt idx="1231">
                  <c:v>1.2177068410546363E-2</c:v>
                </c:pt>
                <c:pt idx="1232">
                  <c:v>2.2282595993976424E-3</c:v>
                </c:pt>
                <c:pt idx="1233">
                  <c:v>2.5101534700451662E-3</c:v>
                </c:pt>
                <c:pt idx="1234">
                  <c:v>-7.977185310948506E-3</c:v>
                </c:pt>
                <c:pt idx="1235">
                  <c:v>3.0607305871912481E-2</c:v>
                </c:pt>
                <c:pt idx="1236">
                  <c:v>-6.6760291702386565E-3</c:v>
                </c:pt>
                <c:pt idx="1237">
                  <c:v>-3.3383414198875434E-3</c:v>
                </c:pt>
                <c:pt idx="1238">
                  <c:v>-8.1676278039821432E-4</c:v>
                </c:pt>
                <c:pt idx="1239">
                  <c:v>2.5262079459981792E-2</c:v>
                </c:pt>
                <c:pt idx="1240">
                  <c:v>-7.895691351609449E-2</c:v>
                </c:pt>
                <c:pt idx="1241">
                  <c:v>-6.6006824500152272E-2</c:v>
                </c:pt>
                <c:pt idx="1242">
                  <c:v>5.4194477979891839E-2</c:v>
                </c:pt>
                <c:pt idx="1243">
                  <c:v>1.667329966226045E-2</c:v>
                </c:pt>
                <c:pt idx="1244">
                  <c:v>4.1776355544411822E-2</c:v>
                </c:pt>
                <c:pt idx="1245">
                  <c:v>2.1502090800051655E-2</c:v>
                </c:pt>
                <c:pt idx="1246">
                  <c:v>1.2455314029214537E-2</c:v>
                </c:pt>
                <c:pt idx="1247">
                  <c:v>-1.5163746554223402E-2</c:v>
                </c:pt>
                <c:pt idx="1248">
                  <c:v>3.4112405260172861E-2</c:v>
                </c:pt>
                <c:pt idx="1249">
                  <c:v>2.5731827203821375E-2</c:v>
                </c:pt>
                <c:pt idx="1250">
                  <c:v>1.8017161337404563E-3</c:v>
                </c:pt>
                <c:pt idx="1251">
                  <c:v>6.2821319120001939E-3</c:v>
                </c:pt>
                <c:pt idx="1252">
                  <c:v>1.7090584582611226E-2</c:v>
                </c:pt>
                <c:pt idx="1253">
                  <c:v>-1.330629915830667E-2</c:v>
                </c:pt>
                <c:pt idx="1254">
                  <c:v>1.9978581266824381E-2</c:v>
                </c:pt>
                <c:pt idx="1255">
                  <c:v>5.6232409089875854E-2</c:v>
                </c:pt>
                <c:pt idx="1256">
                  <c:v>3.2611239856954341E-2</c:v>
                </c:pt>
                <c:pt idx="1257">
                  <c:v>-1.1829649601344092E-2</c:v>
                </c:pt>
                <c:pt idx="1258">
                  <c:v>5.8027935495045735E-3</c:v>
                </c:pt>
                <c:pt idx="1259">
                  <c:v>-1.8750564665660267E-2</c:v>
                </c:pt>
                <c:pt idx="1260">
                  <c:v>-3.0409419403227628E-2</c:v>
                </c:pt>
                <c:pt idx="1261">
                  <c:v>2.8269675980706556E-3</c:v>
                </c:pt>
                <c:pt idx="1262">
                  <c:v>7.4176813607512281E-3</c:v>
                </c:pt>
                <c:pt idx="1263">
                  <c:v>-1.6677829470115278E-2</c:v>
                </c:pt>
                <c:pt idx="1264">
                  <c:v>-4.9860583712773385E-3</c:v>
                </c:pt>
                <c:pt idx="1265">
                  <c:v>1.9423077774648523E-2</c:v>
                </c:pt>
                <c:pt idx="1266">
                  <c:v>1.6720018943852208E-2</c:v>
                </c:pt>
                <c:pt idx="1267">
                  <c:v>6.1165698918766607E-3</c:v>
                </c:pt>
                <c:pt idx="1268">
                  <c:v>-1.6897016759880545E-2</c:v>
                </c:pt>
                <c:pt idx="1269">
                  <c:v>-1.2801832754305366E-2</c:v>
                </c:pt>
                <c:pt idx="1270">
                  <c:v>2.2507159773118693E-2</c:v>
                </c:pt>
                <c:pt idx="1271">
                  <c:v>3.4288683209078491E-2</c:v>
                </c:pt>
                <c:pt idx="1272">
                  <c:v>1.2062624403363214E-2</c:v>
                </c:pt>
                <c:pt idx="1273">
                  <c:v>1.1476216079469524E-2</c:v>
                </c:pt>
                <c:pt idx="1274">
                  <c:v>-2.2081265694974497E-2</c:v>
                </c:pt>
                <c:pt idx="1275">
                  <c:v>-4.6176578981197453E-2</c:v>
                </c:pt>
                <c:pt idx="1276">
                  <c:v>-5.2865081002706302E-2</c:v>
                </c:pt>
                <c:pt idx="1277">
                  <c:v>5.8805446362824164E-2</c:v>
                </c:pt>
                <c:pt idx="1278">
                  <c:v>-3.0234744811578305E-3</c:v>
                </c:pt>
                <c:pt idx="1279">
                  <c:v>1.1790392848164126E-2</c:v>
                </c:pt>
                <c:pt idx="1280">
                  <c:v>4.0848149867589653E-2</c:v>
                </c:pt>
                <c:pt idx="1281">
                  <c:v>5.4492346783904029E-2</c:v>
                </c:pt>
                <c:pt idx="1282">
                  <c:v>-1.7651556531835692E-2</c:v>
                </c:pt>
                <c:pt idx="1283">
                  <c:v>-2.0035869424546975E-2</c:v>
                </c:pt>
                <c:pt idx="1284">
                  <c:v>1.522595319174383E-2</c:v>
                </c:pt>
                <c:pt idx="1285">
                  <c:v>3.9290304346897989E-3</c:v>
                </c:pt>
                <c:pt idx="1286">
                  <c:v>4.982289178088491E-3</c:v>
                </c:pt>
                <c:pt idx="1287">
                  <c:v>1.2028281182477308E-2</c:v>
                </c:pt>
                <c:pt idx="1288">
                  <c:v>-1.73774370278716E-2</c:v>
                </c:pt>
                <c:pt idx="1289">
                  <c:v>-1.0030001482748796E-2</c:v>
                </c:pt>
                <c:pt idx="1290">
                  <c:v>1.3762705531221558E-2</c:v>
                </c:pt>
                <c:pt idx="1291">
                  <c:v>-9.2170819194047297E-3</c:v>
                </c:pt>
                <c:pt idx="1292">
                  <c:v>-6.424727073763457E-3</c:v>
                </c:pt>
                <c:pt idx="1293">
                  <c:v>1.8717056805716694E-2</c:v>
                </c:pt>
                <c:pt idx="1294">
                  <c:v>1.1044247264765054E-2</c:v>
                </c:pt>
                <c:pt idx="1295">
                  <c:v>4.5536979967775677E-2</c:v>
                </c:pt>
                <c:pt idx="1296">
                  <c:v>-1.0344537879936756E-2</c:v>
                </c:pt>
                <c:pt idx="1297">
                  <c:v>7.8646099717925768E-3</c:v>
                </c:pt>
                <c:pt idx="1298">
                  <c:v>1.6185674185779462E-2</c:v>
                </c:pt>
                <c:pt idx="1299">
                  <c:v>-1.3692100403424522E-2</c:v>
                </c:pt>
                <c:pt idx="1300">
                  <c:v>1.5431607592819993E-2</c:v>
                </c:pt>
                <c:pt idx="1301">
                  <c:v>-3.803306347584752E-2</c:v>
                </c:pt>
                <c:pt idx="1302">
                  <c:v>1.0256456376640787E-2</c:v>
                </c:pt>
                <c:pt idx="1303">
                  <c:v>-4.0568983857874191E-3</c:v>
                </c:pt>
                <c:pt idx="1304">
                  <c:v>-1.3712831790359231E-2</c:v>
                </c:pt>
                <c:pt idx="1305">
                  <c:v>2.3559595025627073E-2</c:v>
                </c:pt>
                <c:pt idx="1306">
                  <c:v>-1.0009124836195047E-2</c:v>
                </c:pt>
                <c:pt idx="1307">
                  <c:v>8.7552410552569279E-3</c:v>
                </c:pt>
                <c:pt idx="1308">
                  <c:v>-7.7525318776029608E-4</c:v>
                </c:pt>
                <c:pt idx="1309">
                  <c:v>9.3650814391958714E-3</c:v>
                </c:pt>
                <c:pt idx="1310">
                  <c:v>1.9611720479499458E-3</c:v>
                </c:pt>
                <c:pt idx="1311">
                  <c:v>-1.2195173321953615E-2</c:v>
                </c:pt>
                <c:pt idx="1312">
                  <c:v>1.690793943701448E-2</c:v>
                </c:pt>
                <c:pt idx="1313">
                  <c:v>2.1693504725531262E-2</c:v>
                </c:pt>
                <c:pt idx="1314">
                  <c:v>-1.1790546602762686E-2</c:v>
                </c:pt>
                <c:pt idx="1315">
                  <c:v>-2.3440856060877566E-2</c:v>
                </c:pt>
                <c:pt idx="1316">
                  <c:v>-8.1598085586102459E-3</c:v>
                </c:pt>
                <c:pt idx="1317">
                  <c:v>1.1623875856736458E-2</c:v>
                </c:pt>
                <c:pt idx="1318">
                  <c:v>6.9435654682291044E-3</c:v>
                </c:pt>
                <c:pt idx="1319">
                  <c:v>3.9693931012216386E-3</c:v>
                </c:pt>
                <c:pt idx="1320">
                  <c:v>-1.7062343916357317E-2</c:v>
                </c:pt>
                <c:pt idx="1321">
                  <c:v>1.9747685021942699E-2</c:v>
                </c:pt>
                <c:pt idx="1322">
                  <c:v>-2.7912401517040252E-3</c:v>
                </c:pt>
                <c:pt idx="1323">
                  <c:v>-5.426524815719605E-4</c:v>
                </c:pt>
                <c:pt idx="1324">
                  <c:v>1.5819955310584562E-2</c:v>
                </c:pt>
                <c:pt idx="1325">
                  <c:v>-1.8159363434130861E-2</c:v>
                </c:pt>
                <c:pt idx="1326">
                  <c:v>-1.7072695563693577E-2</c:v>
                </c:pt>
                <c:pt idx="1327">
                  <c:v>-6.2272667181086497E-2</c:v>
                </c:pt>
                <c:pt idx="1328">
                  <c:v>-2.1449289944711868E-2</c:v>
                </c:pt>
                <c:pt idx="1329">
                  <c:v>8.175849769734166E-3</c:v>
                </c:pt>
                <c:pt idx="1330">
                  <c:v>-2.0083622674921555E-2</c:v>
                </c:pt>
                <c:pt idx="1331">
                  <c:v>1.7448739701254143E-2</c:v>
                </c:pt>
                <c:pt idx="1332">
                  <c:v>2.2879685754577089E-2</c:v>
                </c:pt>
                <c:pt idx="1333">
                  <c:v>-3.3428653229055562E-2</c:v>
                </c:pt>
                <c:pt idx="1334">
                  <c:v>2.6415448603893894E-2</c:v>
                </c:pt>
                <c:pt idx="1335">
                  <c:v>1.9377668531674892E-2</c:v>
                </c:pt>
                <c:pt idx="1336">
                  <c:v>-1.9652946399595E-2</c:v>
                </c:pt>
                <c:pt idx="1337">
                  <c:v>-1.7108529709908556E-2</c:v>
                </c:pt>
                <c:pt idx="1338">
                  <c:v>3.0995560163751563E-3</c:v>
                </c:pt>
                <c:pt idx="1339">
                  <c:v>-1.8156308983355164E-2</c:v>
                </c:pt>
                <c:pt idx="1340">
                  <c:v>-5.5976611564420367E-3</c:v>
                </c:pt>
                <c:pt idx="1341">
                  <c:v>6.5851481819021729E-2</c:v>
                </c:pt>
                <c:pt idx="1342">
                  <c:v>-3.974276110888704E-2</c:v>
                </c:pt>
                <c:pt idx="1343">
                  <c:v>-1.121385912319391E-2</c:v>
                </c:pt>
                <c:pt idx="1344">
                  <c:v>1.4055040558584544E-2</c:v>
                </c:pt>
                <c:pt idx="1345">
                  <c:v>1.3738889351384483E-2</c:v>
                </c:pt>
                <c:pt idx="1346">
                  <c:v>-2.0249669855604297E-2</c:v>
                </c:pt>
                <c:pt idx="1347">
                  <c:v>5.710216656826311E-3</c:v>
                </c:pt>
                <c:pt idx="1348">
                  <c:v>-7.826377138057377E-3</c:v>
                </c:pt>
                <c:pt idx="1349">
                  <c:v>2.903265050147532E-2</c:v>
                </c:pt>
                <c:pt idx="1350">
                  <c:v>-1.2892569833371526E-2</c:v>
                </c:pt>
                <c:pt idx="1351">
                  <c:v>-7.2982437504331456E-5</c:v>
                </c:pt>
                <c:pt idx="1352">
                  <c:v>2.3801671687574466E-2</c:v>
                </c:pt>
                <c:pt idx="1353">
                  <c:v>1.6748916554777799E-2</c:v>
                </c:pt>
                <c:pt idx="1354">
                  <c:v>2.5362893887304446E-2</c:v>
                </c:pt>
                <c:pt idx="1355">
                  <c:v>-1.3629948520809473E-2</c:v>
                </c:pt>
                <c:pt idx="1356">
                  <c:v>-2.3090990755716939E-2</c:v>
                </c:pt>
                <c:pt idx="1357">
                  <c:v>1.3426577055325409E-2</c:v>
                </c:pt>
                <c:pt idx="1358">
                  <c:v>5.4473698753759953E-3</c:v>
                </c:pt>
                <c:pt idx="1359">
                  <c:v>-2.5070996183539751E-2</c:v>
                </c:pt>
                <c:pt idx="1360">
                  <c:v>-2.3277791035148598E-2</c:v>
                </c:pt>
                <c:pt idx="1361">
                  <c:v>-4.1095922578266945E-3</c:v>
                </c:pt>
                <c:pt idx="1362">
                  <c:v>1.5635161621653675E-2</c:v>
                </c:pt>
                <c:pt idx="1363">
                  <c:v>-1.077392104432531E-2</c:v>
                </c:pt>
                <c:pt idx="1364">
                  <c:v>-9.127486526273175E-3</c:v>
                </c:pt>
                <c:pt idx="1365">
                  <c:v>-9.351646061612668E-3</c:v>
                </c:pt>
                <c:pt idx="1366">
                  <c:v>3.9350604515959488E-3</c:v>
                </c:pt>
                <c:pt idx="1367">
                  <c:v>1.9980001780472621E-2</c:v>
                </c:pt>
                <c:pt idx="1368">
                  <c:v>-5.6435035409117514E-4</c:v>
                </c:pt>
                <c:pt idx="1369">
                  <c:v>-2.1591798097083694E-2</c:v>
                </c:pt>
                <c:pt idx="1370">
                  <c:v>-5.6221286224293919E-2</c:v>
                </c:pt>
                <c:pt idx="1371">
                  <c:v>4.557587220173441E-2</c:v>
                </c:pt>
                <c:pt idx="1372">
                  <c:v>3.4987797592858937E-2</c:v>
                </c:pt>
                <c:pt idx="1373">
                  <c:v>-1.3317769941883268E-2</c:v>
                </c:pt>
                <c:pt idx="1374">
                  <c:v>-4.225356718409469E-2</c:v>
                </c:pt>
                <c:pt idx="1375">
                  <c:v>6.4729216252045682E-2</c:v>
                </c:pt>
                <c:pt idx="1376">
                  <c:v>-1.4800307443193512E-2</c:v>
                </c:pt>
                <c:pt idx="1377">
                  <c:v>-9.7281969368888683E-3</c:v>
                </c:pt>
                <c:pt idx="1378">
                  <c:v>-3.3144914177842305E-3</c:v>
                </c:pt>
                <c:pt idx="1379">
                  <c:v>-2.159036610519096E-2</c:v>
                </c:pt>
                <c:pt idx="1380">
                  <c:v>-8.9158162379641796E-3</c:v>
                </c:pt>
                <c:pt idx="1381">
                  <c:v>7.5391474901102193E-3</c:v>
                </c:pt>
                <c:pt idx="1382">
                  <c:v>-1.2563953226767049E-2</c:v>
                </c:pt>
                <c:pt idx="1383">
                  <c:v>3.4625212071522922E-2</c:v>
                </c:pt>
                <c:pt idx="1384">
                  <c:v>1.3749259995226949E-2</c:v>
                </c:pt>
                <c:pt idx="1385">
                  <c:v>9.3995944472337022E-3</c:v>
                </c:pt>
                <c:pt idx="1386">
                  <c:v>-1.1942252030715719E-3</c:v>
                </c:pt>
                <c:pt idx="1387">
                  <c:v>6.3114686028997429E-3</c:v>
                </c:pt>
                <c:pt idx="1388">
                  <c:v>2.885886024798074E-2</c:v>
                </c:pt>
                <c:pt idx="1389">
                  <c:v>2.8621440053795594E-2</c:v>
                </c:pt>
                <c:pt idx="1390">
                  <c:v>1.5781819957523233E-2</c:v>
                </c:pt>
                <c:pt idx="1391">
                  <c:v>6.5654026767914542E-3</c:v>
                </c:pt>
                <c:pt idx="1392">
                  <c:v>3.527103041941447E-3</c:v>
                </c:pt>
                <c:pt idx="1393">
                  <c:v>0.1612026518960864</c:v>
                </c:pt>
                <c:pt idx="1394">
                  <c:v>-3.0702879123763991E-2</c:v>
                </c:pt>
                <c:pt idx="1395">
                  <c:v>-7.1807755958957858E-2</c:v>
                </c:pt>
                <c:pt idx="1396">
                  <c:v>6.0992843864971199E-3</c:v>
                </c:pt>
                <c:pt idx="1397">
                  <c:v>-2.7795193721467829E-2</c:v>
                </c:pt>
                <c:pt idx="1398">
                  <c:v>-3.8607077496275913E-2</c:v>
                </c:pt>
                <c:pt idx="1399">
                  <c:v>8.8370327700982229E-3</c:v>
                </c:pt>
                <c:pt idx="1400">
                  <c:v>7.2448553584675834E-3</c:v>
                </c:pt>
                <c:pt idx="1401">
                  <c:v>1.7062323839148227E-2</c:v>
                </c:pt>
                <c:pt idx="1402">
                  <c:v>-8.4136280869566305E-3</c:v>
                </c:pt>
                <c:pt idx="1403">
                  <c:v>-1.0645685975170793E-2</c:v>
                </c:pt>
                <c:pt idx="1404">
                  <c:v>7.7760149328966136E-3</c:v>
                </c:pt>
                <c:pt idx="1405">
                  <c:v>6.789266159788543E-3</c:v>
                </c:pt>
                <c:pt idx="1406">
                  <c:v>8.4088111488671551E-3</c:v>
                </c:pt>
                <c:pt idx="1407">
                  <c:v>-1.1745300954070276E-3</c:v>
                </c:pt>
                <c:pt idx="1408">
                  <c:v>-2.3280407124124887E-2</c:v>
                </c:pt>
                <c:pt idx="1409">
                  <c:v>8.0943623595150574E-3</c:v>
                </c:pt>
                <c:pt idx="1410">
                  <c:v>5.1232336233849957E-2</c:v>
                </c:pt>
                <c:pt idx="1411">
                  <c:v>-2.7017072752754624E-3</c:v>
                </c:pt>
                <c:pt idx="1412">
                  <c:v>-2.3600875026749811E-2</c:v>
                </c:pt>
                <c:pt idx="1413">
                  <c:v>1.0182888155795032E-3</c:v>
                </c:pt>
                <c:pt idx="1414">
                  <c:v>3.8044946057473783E-3</c:v>
                </c:pt>
                <c:pt idx="1415">
                  <c:v>7.9096748276051964E-3</c:v>
                </c:pt>
                <c:pt idx="1416">
                  <c:v>-1.8398435990753081E-2</c:v>
                </c:pt>
                <c:pt idx="1417">
                  <c:v>-1.7853334119884393E-2</c:v>
                </c:pt>
                <c:pt idx="1418">
                  <c:v>-5.9539413153856455E-2</c:v>
                </c:pt>
                <c:pt idx="1419">
                  <c:v>-3.4577134265736192E-2</c:v>
                </c:pt>
                <c:pt idx="1420">
                  <c:v>2.2667618359347802E-2</c:v>
                </c:pt>
                <c:pt idx="1421">
                  <c:v>7.7928641251132136E-2</c:v>
                </c:pt>
                <c:pt idx="1422">
                  <c:v>1.662800193840484E-2</c:v>
                </c:pt>
                <c:pt idx="1423">
                  <c:v>-4.8221727254568719E-2</c:v>
                </c:pt>
                <c:pt idx="1424">
                  <c:v>-3.3408851251436625E-2</c:v>
                </c:pt>
                <c:pt idx="1425">
                  <c:v>-1.2179462750994928E-2</c:v>
                </c:pt>
                <c:pt idx="1426">
                  <c:v>1.7809090972934226E-2</c:v>
                </c:pt>
                <c:pt idx="1427">
                  <c:v>4.8990077124441853E-2</c:v>
                </c:pt>
                <c:pt idx="1428">
                  <c:v>-6.0630834636912379E-2</c:v>
                </c:pt>
                <c:pt idx="1429">
                  <c:v>7.3555034647426507E-2</c:v>
                </c:pt>
                <c:pt idx="1430">
                  <c:v>-5.5031025666593389E-2</c:v>
                </c:pt>
                <c:pt idx="1431">
                  <c:v>-3.2933941109732343E-2</c:v>
                </c:pt>
                <c:pt idx="1432">
                  <c:v>4.5592458494992494E-2</c:v>
                </c:pt>
                <c:pt idx="1433">
                  <c:v>4.4901782460746983E-2</c:v>
                </c:pt>
                <c:pt idx="1434">
                  <c:v>-1.0733304133387158E-2</c:v>
                </c:pt>
                <c:pt idx="1435">
                  <c:v>1.33244953396334E-2</c:v>
                </c:pt>
                <c:pt idx="1436">
                  <c:v>2.2623562700590745E-2</c:v>
                </c:pt>
                <c:pt idx="1437">
                  <c:v>-2.7983757245504993E-2</c:v>
                </c:pt>
                <c:pt idx="1438">
                  <c:v>-4.7613801810191606E-3</c:v>
                </c:pt>
                <c:pt idx="1439">
                  <c:v>2.8699666650042772E-2</c:v>
                </c:pt>
                <c:pt idx="1440">
                  <c:v>-6.5978730873499515E-4</c:v>
                </c:pt>
                <c:pt idx="1441">
                  <c:v>7.8776778145640981E-3</c:v>
                </c:pt>
                <c:pt idx="1442">
                  <c:v>2.1140702722419052E-3</c:v>
                </c:pt>
                <c:pt idx="1443">
                  <c:v>-4.5547304129821123E-2</c:v>
                </c:pt>
                <c:pt idx="1444">
                  <c:v>7.6309440075129483E-3</c:v>
                </c:pt>
                <c:pt idx="1445">
                  <c:v>3.1894015653278797E-2</c:v>
                </c:pt>
                <c:pt idx="1446">
                  <c:v>3.181040478953661E-4</c:v>
                </c:pt>
                <c:pt idx="1447">
                  <c:v>1.6180765177677553E-3</c:v>
                </c:pt>
                <c:pt idx="1448">
                  <c:v>1.4996690025713608E-2</c:v>
                </c:pt>
                <c:pt idx="1449">
                  <c:v>-1.6375838622106009E-2</c:v>
                </c:pt>
                <c:pt idx="1450">
                  <c:v>-1.1696035848840988E-2</c:v>
                </c:pt>
                <c:pt idx="1451">
                  <c:v>-6.1689475162686998E-3</c:v>
                </c:pt>
                <c:pt idx="1452">
                  <c:v>2.208986030949117E-3</c:v>
                </c:pt>
                <c:pt idx="1453">
                  <c:v>-1.6722302251254689E-2</c:v>
                </c:pt>
                <c:pt idx="1454">
                  <c:v>-4.2544234668530009E-4</c:v>
                </c:pt>
                <c:pt idx="1455">
                  <c:v>-2.9496694523586347E-3</c:v>
                </c:pt>
                <c:pt idx="1456">
                  <c:v>1.2124685588967107E-2</c:v>
                </c:pt>
                <c:pt idx="1457">
                  <c:v>-1.167600427771419E-3</c:v>
                </c:pt>
                <c:pt idx="1458">
                  <c:v>4.0061547569085094E-3</c:v>
                </c:pt>
                <c:pt idx="1459">
                  <c:v>-2.1993710135454102E-2</c:v>
                </c:pt>
                <c:pt idx="1460">
                  <c:v>-1.1756277080944864E-2</c:v>
                </c:pt>
                <c:pt idx="1461">
                  <c:v>2.9563348852316637E-2</c:v>
                </c:pt>
                <c:pt idx="1462">
                  <c:v>8.0358290912897284E-2</c:v>
                </c:pt>
                <c:pt idx="1463">
                  <c:v>1.2736468434174995E-2</c:v>
                </c:pt>
                <c:pt idx="1464">
                  <c:v>-5.8795701990769167E-2</c:v>
                </c:pt>
                <c:pt idx="1465">
                  <c:v>-8.4408870165540058E-3</c:v>
                </c:pt>
                <c:pt idx="1466">
                  <c:v>6.7663209640822126E-3</c:v>
                </c:pt>
                <c:pt idx="1467">
                  <c:v>-9.9551651479926097E-3</c:v>
                </c:pt>
                <c:pt idx="1468">
                  <c:v>1.559045388208978E-2</c:v>
                </c:pt>
                <c:pt idx="1469">
                  <c:v>1.9373786714881963E-2</c:v>
                </c:pt>
                <c:pt idx="1470">
                  <c:v>-1.7632079473345826E-2</c:v>
                </c:pt>
                <c:pt idx="1471">
                  <c:v>2.2117994488167026E-2</c:v>
                </c:pt>
                <c:pt idx="1472">
                  <c:v>9.9566000358182949E-4</c:v>
                </c:pt>
                <c:pt idx="1473">
                  <c:v>-6.4366209053941682E-3</c:v>
                </c:pt>
                <c:pt idx="1474">
                  <c:v>6.4356980994099092E-3</c:v>
                </c:pt>
                <c:pt idx="1475">
                  <c:v>1.3523008478120005E-2</c:v>
                </c:pt>
                <c:pt idx="1476">
                  <c:v>-8.7850401345179029E-3</c:v>
                </c:pt>
                <c:pt idx="1477">
                  <c:v>-2.5381189167353789E-2</c:v>
                </c:pt>
                <c:pt idx="1478">
                  <c:v>2.2864764116991981E-2</c:v>
                </c:pt>
                <c:pt idx="1479">
                  <c:v>-2.9415430062478161E-3</c:v>
                </c:pt>
                <c:pt idx="1480">
                  <c:v>5.8888626286575721E-4</c:v>
                </c:pt>
                <c:pt idx="1481">
                  <c:v>-4.7382019814799971E-3</c:v>
                </c:pt>
                <c:pt idx="1482">
                  <c:v>1.3878067794131914E-2</c:v>
                </c:pt>
                <c:pt idx="1483">
                  <c:v>6.6838227306346906E-3</c:v>
                </c:pt>
                <c:pt idx="1484">
                  <c:v>-7.6548526908940002E-3</c:v>
                </c:pt>
                <c:pt idx="1485">
                  <c:v>8.4417632176746506E-3</c:v>
                </c:pt>
                <c:pt idx="1486">
                  <c:v>1.847446411534745E-2</c:v>
                </c:pt>
                <c:pt idx="1487">
                  <c:v>-2.6913440660423789E-2</c:v>
                </c:pt>
                <c:pt idx="1488">
                  <c:v>6.7138589527049986E-2</c:v>
                </c:pt>
                <c:pt idx="1489">
                  <c:v>-5.9459819762657018E-2</c:v>
                </c:pt>
                <c:pt idx="1490">
                  <c:v>-2.7820673068251929E-2</c:v>
                </c:pt>
                <c:pt idx="1491">
                  <c:v>2.7119836417013578E-2</c:v>
                </c:pt>
                <c:pt idx="1492">
                  <c:v>4.3775168272799725E-3</c:v>
                </c:pt>
                <c:pt idx="1493">
                  <c:v>-1.163025738882011E-2</c:v>
                </c:pt>
                <c:pt idx="1494">
                  <c:v>-1.5611762900286119E-2</c:v>
                </c:pt>
                <c:pt idx="1495">
                  <c:v>-1.9345266360363402E-2</c:v>
                </c:pt>
                <c:pt idx="1496">
                  <c:v>-3.2365757829267955E-2</c:v>
                </c:pt>
                <c:pt idx="1497">
                  <c:v>3.6750988083145541E-3</c:v>
                </c:pt>
                <c:pt idx="1498">
                  <c:v>-7.8808610390937381E-3</c:v>
                </c:pt>
                <c:pt idx="1499">
                  <c:v>1.6875655769828427E-2</c:v>
                </c:pt>
                <c:pt idx="1500">
                  <c:v>-6.1956721574300041E-3</c:v>
                </c:pt>
                <c:pt idx="1501">
                  <c:v>-1.5925506301495945E-2</c:v>
                </c:pt>
                <c:pt idx="1502">
                  <c:v>2.9760727316463759E-2</c:v>
                </c:pt>
                <c:pt idx="1503">
                  <c:v>-2.0271227796839767E-2</c:v>
                </c:pt>
                <c:pt idx="1504">
                  <c:v>-2.9489270955908756E-2</c:v>
                </c:pt>
                <c:pt idx="1505">
                  <c:v>-4.0205783024067424E-3</c:v>
                </c:pt>
                <c:pt idx="1506">
                  <c:v>1.5145713448068088E-2</c:v>
                </c:pt>
                <c:pt idx="1507">
                  <c:v>3.475560357298807E-2</c:v>
                </c:pt>
                <c:pt idx="1508">
                  <c:v>-1.5599737357275982E-2</c:v>
                </c:pt>
                <c:pt idx="1509">
                  <c:v>-2.4500994497071864E-2</c:v>
                </c:pt>
                <c:pt idx="1510">
                  <c:v>-2.0832495022128601E-2</c:v>
                </c:pt>
                <c:pt idx="1511">
                  <c:v>-1.4084710983765703E-2</c:v>
                </c:pt>
                <c:pt idx="1512">
                  <c:v>1.9918802405286793E-2</c:v>
                </c:pt>
                <c:pt idx="1513">
                  <c:v>-2.6608551267446715E-2</c:v>
                </c:pt>
                <c:pt idx="1514">
                  <c:v>-2.6229061807225174E-2</c:v>
                </c:pt>
                <c:pt idx="1515">
                  <c:v>2.2972848765674767E-4</c:v>
                </c:pt>
                <c:pt idx="1516">
                  <c:v>1.8473689006549672E-2</c:v>
                </c:pt>
                <c:pt idx="1517">
                  <c:v>-2.9397226388000307E-2</c:v>
                </c:pt>
                <c:pt idx="1518">
                  <c:v>-2.6547441600528104E-2</c:v>
                </c:pt>
                <c:pt idx="1519">
                  <c:v>-4.4908993733987004E-2</c:v>
                </c:pt>
                <c:pt idx="1520">
                  <c:v>2.8179495918595138E-3</c:v>
                </c:pt>
                <c:pt idx="1521">
                  <c:v>1.1971490673533989E-2</c:v>
                </c:pt>
                <c:pt idx="1522">
                  <c:v>-3.4944582156334357E-2</c:v>
                </c:pt>
                <c:pt idx="1523">
                  <c:v>1.0985590469596502E-2</c:v>
                </c:pt>
                <c:pt idx="1524">
                  <c:v>-2.9463244046116319E-2</c:v>
                </c:pt>
                <c:pt idx="1525">
                  <c:v>-1.3132385799217701E-2</c:v>
                </c:pt>
                <c:pt idx="1526">
                  <c:v>-9.7014764625689993E-3</c:v>
                </c:pt>
                <c:pt idx="1527">
                  <c:v>4.6297211736962163E-2</c:v>
                </c:pt>
                <c:pt idx="1528">
                  <c:v>6.1796946177067203E-3</c:v>
                </c:pt>
                <c:pt idx="1529">
                  <c:v>-8.3469877869790168E-3</c:v>
                </c:pt>
                <c:pt idx="1530">
                  <c:v>9.7777569195157746E-3</c:v>
                </c:pt>
                <c:pt idx="1531">
                  <c:v>-5.7726764590167574E-2</c:v>
                </c:pt>
                <c:pt idx="1532">
                  <c:v>-3.2630593185353676E-2</c:v>
                </c:pt>
                <c:pt idx="1533">
                  <c:v>-1.290308007378695E-2</c:v>
                </c:pt>
                <c:pt idx="1534">
                  <c:v>1.8752381853193577E-2</c:v>
                </c:pt>
                <c:pt idx="1535">
                  <c:v>3.9889201562875447E-2</c:v>
                </c:pt>
                <c:pt idx="1536">
                  <c:v>-2.7621889958022325E-2</c:v>
                </c:pt>
                <c:pt idx="1537">
                  <c:v>-7.7495548448254601E-5</c:v>
                </c:pt>
                <c:pt idx="1538">
                  <c:v>-2.4248853064422586E-2</c:v>
                </c:pt>
                <c:pt idx="1539">
                  <c:v>8.0028537338763858E-3</c:v>
                </c:pt>
                <c:pt idx="1540">
                  <c:v>2.0715354988107167E-2</c:v>
                </c:pt>
                <c:pt idx="1541">
                  <c:v>-1.6047912763976512E-2</c:v>
                </c:pt>
                <c:pt idx="1542">
                  <c:v>5.0688764616261331E-3</c:v>
                </c:pt>
                <c:pt idx="1543">
                  <c:v>-9.3025742965434678E-3</c:v>
                </c:pt>
                <c:pt idx="1544">
                  <c:v>-2.7871698178547736E-2</c:v>
                </c:pt>
                <c:pt idx="1545">
                  <c:v>-5.3600293545472653E-5</c:v>
                </c:pt>
                <c:pt idx="1546">
                  <c:v>1.8543252231057759E-2</c:v>
                </c:pt>
                <c:pt idx="1547">
                  <c:v>-1.0443715722882194E-2</c:v>
                </c:pt>
                <c:pt idx="1548">
                  <c:v>-3.3226164364126856E-2</c:v>
                </c:pt>
                <c:pt idx="1549">
                  <c:v>6.3772644483850796E-3</c:v>
                </c:pt>
                <c:pt idx="1550">
                  <c:v>2.7766892189757912E-2</c:v>
                </c:pt>
                <c:pt idx="1551">
                  <c:v>-8.4287399860342518E-3</c:v>
                </c:pt>
                <c:pt idx="1552">
                  <c:v>-1.8350054710102825E-2</c:v>
                </c:pt>
                <c:pt idx="1553">
                  <c:v>-3.0175540891273351E-2</c:v>
                </c:pt>
                <c:pt idx="1554">
                  <c:v>-1.5287390337947149E-2</c:v>
                </c:pt>
                <c:pt idx="1555">
                  <c:v>6.6397083376094984E-2</c:v>
                </c:pt>
                <c:pt idx="1556">
                  <c:v>-8.9497739689030492E-3</c:v>
                </c:pt>
                <c:pt idx="1557">
                  <c:v>-4.356620668706377E-3</c:v>
                </c:pt>
                <c:pt idx="1558">
                  <c:v>-2.5106981431781417E-4</c:v>
                </c:pt>
                <c:pt idx="1559">
                  <c:v>-1.4551433146854337E-2</c:v>
                </c:pt>
                <c:pt idx="1560">
                  <c:v>6.8560108664524055E-4</c:v>
                </c:pt>
                <c:pt idx="1561">
                  <c:v>7.0903477805621187E-3</c:v>
                </c:pt>
                <c:pt idx="1562">
                  <c:v>-1.7306826388655962E-2</c:v>
                </c:pt>
                <c:pt idx="1563">
                  <c:v>1.8860312071585346E-2</c:v>
                </c:pt>
                <c:pt idx="1564">
                  <c:v>-4.0081295997146842E-3</c:v>
                </c:pt>
                <c:pt idx="1565">
                  <c:v>2.0013254339168321E-4</c:v>
                </c:pt>
                <c:pt idx="1566">
                  <c:v>2.1851249734986598E-3</c:v>
                </c:pt>
                <c:pt idx="1567">
                  <c:v>-3.0152585393960103E-3</c:v>
                </c:pt>
                <c:pt idx="1568">
                  <c:v>1.7726695891055293E-2</c:v>
                </c:pt>
                <c:pt idx="1569">
                  <c:v>1.5877421371945484E-2</c:v>
                </c:pt>
                <c:pt idx="1570">
                  <c:v>-4.9554440803837856E-2</c:v>
                </c:pt>
                <c:pt idx="1571">
                  <c:v>-1.5779021603084989E-2</c:v>
                </c:pt>
                <c:pt idx="1572">
                  <c:v>-2.1982771954900159E-3</c:v>
                </c:pt>
                <c:pt idx="1573">
                  <c:v>-1.9509626441215174E-2</c:v>
                </c:pt>
                <c:pt idx="1574">
                  <c:v>1.5490116745843087E-2</c:v>
                </c:pt>
                <c:pt idx="1575">
                  <c:v>-1.8333560216276645E-3</c:v>
                </c:pt>
                <c:pt idx="1576">
                  <c:v>-5.5618213744239144E-3</c:v>
                </c:pt>
                <c:pt idx="1577">
                  <c:v>-2.2780922785754923E-3</c:v>
                </c:pt>
                <c:pt idx="1578">
                  <c:v>6.4522659788836924E-3</c:v>
                </c:pt>
                <c:pt idx="1579">
                  <c:v>1.5632244003316993E-2</c:v>
                </c:pt>
                <c:pt idx="1580">
                  <c:v>-1.3578097770329898E-2</c:v>
                </c:pt>
                <c:pt idx="1581">
                  <c:v>2.3698626096479471E-2</c:v>
                </c:pt>
                <c:pt idx="1582">
                  <c:v>2.1730945891828054E-3</c:v>
                </c:pt>
                <c:pt idx="1583">
                  <c:v>-2.5213618535384962E-2</c:v>
                </c:pt>
                <c:pt idx="1584">
                  <c:v>-2.0843650809633674E-2</c:v>
                </c:pt>
                <c:pt idx="1585">
                  <c:v>1.892554127356226E-2</c:v>
                </c:pt>
                <c:pt idx="1586">
                  <c:v>-5.8384121040802421E-2</c:v>
                </c:pt>
                <c:pt idx="1587">
                  <c:v>4.2545172117840141E-3</c:v>
                </c:pt>
                <c:pt idx="1588">
                  <c:v>6.0313369232159707E-3</c:v>
                </c:pt>
                <c:pt idx="1589">
                  <c:v>-4.5915170892015843E-3</c:v>
                </c:pt>
                <c:pt idx="1590">
                  <c:v>-9.2797238238388757E-3</c:v>
                </c:pt>
                <c:pt idx="1591">
                  <c:v>-6.0907182794639071E-3</c:v>
                </c:pt>
                <c:pt idx="1592">
                  <c:v>7.0962286781167993E-3</c:v>
                </c:pt>
                <c:pt idx="1593">
                  <c:v>-6.0900959233632004E-3</c:v>
                </c:pt>
                <c:pt idx="1594">
                  <c:v>1.0869872646383496E-3</c:v>
                </c:pt>
                <c:pt idx="1595">
                  <c:v>1.4803600673158572E-2</c:v>
                </c:pt>
                <c:pt idx="1596">
                  <c:v>1.8408934973169783E-2</c:v>
                </c:pt>
                <c:pt idx="1597">
                  <c:v>-2.2432877836895161E-3</c:v>
                </c:pt>
                <c:pt idx="1598">
                  <c:v>1.2625828273190125E-2</c:v>
                </c:pt>
                <c:pt idx="1599">
                  <c:v>-3.6955362833617549E-2</c:v>
                </c:pt>
                <c:pt idx="1600">
                  <c:v>4.8927152877700306E-3</c:v>
                </c:pt>
                <c:pt idx="1601">
                  <c:v>2.1982009505646678E-2</c:v>
                </c:pt>
                <c:pt idx="1602">
                  <c:v>5.9834746522111938E-4</c:v>
                </c:pt>
                <c:pt idx="1603">
                  <c:v>-1.971415286499913E-2</c:v>
                </c:pt>
                <c:pt idx="1604">
                  <c:v>-4.0807457664349303E-2</c:v>
                </c:pt>
                <c:pt idx="1605">
                  <c:v>-3.2366364813095995E-2</c:v>
                </c:pt>
                <c:pt idx="1606">
                  <c:v>2.6397768314499616E-2</c:v>
                </c:pt>
                <c:pt idx="1607">
                  <c:v>-8.0026436351567937E-3</c:v>
                </c:pt>
                <c:pt idx="1608">
                  <c:v>1.310882235925306E-2</c:v>
                </c:pt>
                <c:pt idx="1609">
                  <c:v>8.0827699403096514E-3</c:v>
                </c:pt>
                <c:pt idx="1610">
                  <c:v>-7.1362944236879507E-3</c:v>
                </c:pt>
                <c:pt idx="1611">
                  <c:v>1.1576977617773803E-2</c:v>
                </c:pt>
                <c:pt idx="1612">
                  <c:v>4.7045199854097259E-3</c:v>
                </c:pt>
                <c:pt idx="1613">
                  <c:v>-7.1707562120198413E-3</c:v>
                </c:pt>
                <c:pt idx="1614">
                  <c:v>-1.0614554086221011E-2</c:v>
                </c:pt>
                <c:pt idx="1615">
                  <c:v>-6.6629604807747003E-3</c:v>
                </c:pt>
                <c:pt idx="1616">
                  <c:v>-7.0209269048639774E-3</c:v>
                </c:pt>
                <c:pt idx="1617">
                  <c:v>1.5935544465510403E-3</c:v>
                </c:pt>
                <c:pt idx="1618">
                  <c:v>2.488708652128796E-2</c:v>
                </c:pt>
                <c:pt idx="1619">
                  <c:v>1.7938736554277766E-3</c:v>
                </c:pt>
                <c:pt idx="1620">
                  <c:v>-2.3006491090056855E-2</c:v>
                </c:pt>
                <c:pt idx="1621">
                  <c:v>-5.4059975436564732E-3</c:v>
                </c:pt>
                <c:pt idx="1622">
                  <c:v>-6.2452609623072702E-3</c:v>
                </c:pt>
                <c:pt idx="1623">
                  <c:v>2.4330510391398419E-3</c:v>
                </c:pt>
                <c:pt idx="1624">
                  <c:v>-1.5390835096708841E-2</c:v>
                </c:pt>
                <c:pt idx="1625">
                  <c:v>-2.3210614727693181E-2</c:v>
                </c:pt>
                <c:pt idx="1626">
                  <c:v>-2.5329263118151709E-3</c:v>
                </c:pt>
                <c:pt idx="1627">
                  <c:v>-3.8337265498912228E-3</c:v>
                </c:pt>
                <c:pt idx="1628">
                  <c:v>1.1798652636582415E-2</c:v>
                </c:pt>
                <c:pt idx="1629">
                  <c:v>1.9900649710633676E-2</c:v>
                </c:pt>
                <c:pt idx="1630">
                  <c:v>-4.7042503386403811E-2</c:v>
                </c:pt>
                <c:pt idx="1631">
                  <c:v>-1.5261239970414829E-2</c:v>
                </c:pt>
                <c:pt idx="1632">
                  <c:v>3.1703021266068547E-2</c:v>
                </c:pt>
                <c:pt idx="1633">
                  <c:v>2.2737757514558411E-2</c:v>
                </c:pt>
                <c:pt idx="1634">
                  <c:v>3.3481443772409858E-3</c:v>
                </c:pt>
                <c:pt idx="1635">
                  <c:v>7.0295667676613296E-3</c:v>
                </c:pt>
                <c:pt idx="1636">
                  <c:v>-9.2247686714115526E-3</c:v>
                </c:pt>
                <c:pt idx="1637">
                  <c:v>9.4522579406789431E-3</c:v>
                </c:pt>
                <c:pt idx="1638">
                  <c:v>-7.2874766269888994E-3</c:v>
                </c:pt>
                <c:pt idx="1639">
                  <c:v>1.7062278331433752E-2</c:v>
                </c:pt>
                <c:pt idx="1640">
                  <c:v>4.3546336601848847E-2</c:v>
                </c:pt>
                <c:pt idx="1641">
                  <c:v>4.5176710604791365E-3</c:v>
                </c:pt>
                <c:pt idx="1642">
                  <c:v>-7.5898156690204499E-3</c:v>
                </c:pt>
                <c:pt idx="1643">
                  <c:v>-2.0568696439109526E-3</c:v>
                </c:pt>
                <c:pt idx="1644">
                  <c:v>7.7856055510086737E-3</c:v>
                </c:pt>
                <c:pt idx="1645">
                  <c:v>1.9310501474814872E-2</c:v>
                </c:pt>
                <c:pt idx="1646">
                  <c:v>2.1069690247970925E-3</c:v>
                </c:pt>
                <c:pt idx="1647">
                  <c:v>-1.9321146855768735E-3</c:v>
                </c:pt>
                <c:pt idx="1648">
                  <c:v>-5.4322782742108316E-3</c:v>
                </c:pt>
                <c:pt idx="1649">
                  <c:v>1.0104216072299157E-3</c:v>
                </c:pt>
                <c:pt idx="1650">
                  <c:v>-1.4611597801981999E-2</c:v>
                </c:pt>
                <c:pt idx="1651">
                  <c:v>2.1193243880843791E-2</c:v>
                </c:pt>
                <c:pt idx="1652">
                  <c:v>-9.5553259721226774E-4</c:v>
                </c:pt>
                <c:pt idx="1653">
                  <c:v>3.2611514894027478E-3</c:v>
                </c:pt>
                <c:pt idx="1654">
                  <c:v>3.7352590696640625E-2</c:v>
                </c:pt>
                <c:pt idx="1655">
                  <c:v>-2.6022469045204864E-2</c:v>
                </c:pt>
                <c:pt idx="1656">
                  <c:v>1.1270836347960752E-4</c:v>
                </c:pt>
                <c:pt idx="1657">
                  <c:v>7.8331053102260809E-3</c:v>
                </c:pt>
                <c:pt idx="1658">
                  <c:v>-4.0938865404389633E-3</c:v>
                </c:pt>
                <c:pt idx="1659">
                  <c:v>5.4622052372036468E-3</c:v>
                </c:pt>
                <c:pt idx="1660">
                  <c:v>3.2863325273264129E-3</c:v>
                </c:pt>
                <c:pt idx="1661">
                  <c:v>-7.823887452344299E-4</c:v>
                </c:pt>
                <c:pt idx="1662">
                  <c:v>7.5856202766014609E-3</c:v>
                </c:pt>
                <c:pt idx="1663">
                  <c:v>-2.0527743222112271E-2</c:v>
                </c:pt>
                <c:pt idx="1664">
                  <c:v>1.21839537840433E-2</c:v>
                </c:pt>
                <c:pt idx="1665">
                  <c:v>2.8441050634667651E-2</c:v>
                </c:pt>
                <c:pt idx="1666">
                  <c:v>-2.839931096958034E-3</c:v>
                </c:pt>
                <c:pt idx="1667">
                  <c:v>1.2737518556211372E-2</c:v>
                </c:pt>
                <c:pt idx="1668">
                  <c:v>-5.9203854255454168E-3</c:v>
                </c:pt>
                <c:pt idx="1669">
                  <c:v>1.4053736273975137E-2</c:v>
                </c:pt>
                <c:pt idx="1670">
                  <c:v>-1.6656990199709627E-2</c:v>
                </c:pt>
                <c:pt idx="1671">
                  <c:v>1.6331075906870288E-2</c:v>
                </c:pt>
                <c:pt idx="1672">
                  <c:v>-2.5789806290830136E-2</c:v>
                </c:pt>
                <c:pt idx="1673">
                  <c:v>9.0230609890922936E-3</c:v>
                </c:pt>
                <c:pt idx="1674">
                  <c:v>-1.2258650762589494E-2</c:v>
                </c:pt>
                <c:pt idx="1675">
                  <c:v>-7.3706686360142035E-3</c:v>
                </c:pt>
                <c:pt idx="1676">
                  <c:v>6.2964563111473212E-3</c:v>
                </c:pt>
                <c:pt idx="1677">
                  <c:v>-3.6449240105004582E-2</c:v>
                </c:pt>
                <c:pt idx="1678">
                  <c:v>2.7603123169700809E-2</c:v>
                </c:pt>
                <c:pt idx="1679">
                  <c:v>-1.496441001996609E-2</c:v>
                </c:pt>
                <c:pt idx="1680">
                  <c:v>2.1000972473883411E-2</c:v>
                </c:pt>
                <c:pt idx="1681">
                  <c:v>-3.9454348707637686E-3</c:v>
                </c:pt>
                <c:pt idx="1682">
                  <c:v>-7.6323908561890599E-3</c:v>
                </c:pt>
                <c:pt idx="1683">
                  <c:v>-2.6118896415541153E-2</c:v>
                </c:pt>
                <c:pt idx="1684">
                  <c:v>1.9951802610209048E-2</c:v>
                </c:pt>
                <c:pt idx="1685">
                  <c:v>-1.4977725995230548E-2</c:v>
                </c:pt>
                <c:pt idx="1686">
                  <c:v>-1.8944694350713364E-3</c:v>
                </c:pt>
                <c:pt idx="1687">
                  <c:v>2.1301536099932031E-2</c:v>
                </c:pt>
                <c:pt idx="1688">
                  <c:v>-1.7441253924015708E-2</c:v>
                </c:pt>
                <c:pt idx="1689">
                  <c:v>-1.6916051645805563E-2</c:v>
                </c:pt>
                <c:pt idx="1690">
                  <c:v>1.3263968706130499E-2</c:v>
                </c:pt>
                <c:pt idx="1691">
                  <c:v>1.3679259865453385E-2</c:v>
                </c:pt>
                <c:pt idx="1692">
                  <c:v>1.6817731764307654E-2</c:v>
                </c:pt>
                <c:pt idx="1693">
                  <c:v>9.2954769520129342E-3</c:v>
                </c:pt>
                <c:pt idx="1694">
                  <c:v>-4.9505205227051395E-3</c:v>
                </c:pt>
                <c:pt idx="1695">
                  <c:v>-5.1408667291386531E-3</c:v>
                </c:pt>
                <c:pt idx="1696">
                  <c:v>-9.2032628412873786E-3</c:v>
                </c:pt>
                <c:pt idx="1697">
                  <c:v>-1.2146599102424828E-2</c:v>
                </c:pt>
                <c:pt idx="1698">
                  <c:v>9.0362619451878866E-3</c:v>
                </c:pt>
                <c:pt idx="1699">
                  <c:v>-2.4502319150695766E-2</c:v>
                </c:pt>
                <c:pt idx="1700">
                  <c:v>2.1372767014038598E-2</c:v>
                </c:pt>
                <c:pt idx="1701">
                  <c:v>-7.5481715475973835E-3</c:v>
                </c:pt>
                <c:pt idx="1702">
                  <c:v>1.2442166310596079E-2</c:v>
                </c:pt>
                <c:pt idx="1703">
                  <c:v>7.5542125636897358E-3</c:v>
                </c:pt>
                <c:pt idx="1704">
                  <c:v>-4.2428962965868067E-3</c:v>
                </c:pt>
                <c:pt idx="1705">
                  <c:v>-1.6670838141789449E-2</c:v>
                </c:pt>
                <c:pt idx="1706">
                  <c:v>-2.0565868517137586E-3</c:v>
                </c:pt>
                <c:pt idx="1707">
                  <c:v>-8.6008679967578758E-3</c:v>
                </c:pt>
                <c:pt idx="1708">
                  <c:v>-1.7687068474716195E-4</c:v>
                </c:pt>
                <c:pt idx="1709">
                  <c:v>8.0692906150880046E-3</c:v>
                </c:pt>
                <c:pt idx="1710">
                  <c:v>2.0510637639540915E-2</c:v>
                </c:pt>
                <c:pt idx="1711">
                  <c:v>5.1834987488307057E-3</c:v>
                </c:pt>
                <c:pt idx="1712">
                  <c:v>-1.1133177033976937E-2</c:v>
                </c:pt>
                <c:pt idx="1713">
                  <c:v>-3.3356499348717161E-3</c:v>
                </c:pt>
                <c:pt idx="1714">
                  <c:v>1.0246168995595262E-2</c:v>
                </c:pt>
                <c:pt idx="1715">
                  <c:v>-8.5862820337368057E-3</c:v>
                </c:pt>
                <c:pt idx="1716">
                  <c:v>-1.9897820113983316E-2</c:v>
                </c:pt>
                <c:pt idx="1717">
                  <c:v>-1.2118143095544955E-2</c:v>
                </c:pt>
                <c:pt idx="1718">
                  <c:v>-1.0592958593776999E-2</c:v>
                </c:pt>
                <c:pt idx="1719">
                  <c:v>1.2131311291792238E-3</c:v>
                </c:pt>
                <c:pt idx="1720">
                  <c:v>1.7583512626417001E-2</c:v>
                </c:pt>
                <c:pt idx="1721">
                  <c:v>-1.4925084363268254E-3</c:v>
                </c:pt>
                <c:pt idx="1722">
                  <c:v>4.4204117120992398E-3</c:v>
                </c:pt>
                <c:pt idx="1723">
                  <c:v>6.7954001617614758E-3</c:v>
                </c:pt>
                <c:pt idx="1724">
                  <c:v>3.8320115666880594E-2</c:v>
                </c:pt>
                <c:pt idx="1725">
                  <c:v>2.1203706202380178E-2</c:v>
                </c:pt>
                <c:pt idx="1726">
                  <c:v>-3.1825195107239648E-4</c:v>
                </c:pt>
                <c:pt idx="1727">
                  <c:v>-5.5723862578612282E-2</c:v>
                </c:pt>
                <c:pt idx="1728">
                  <c:v>-7.651957869642104E-3</c:v>
                </c:pt>
                <c:pt idx="1729">
                  <c:v>-1.6772033459456118E-2</c:v>
                </c:pt>
                <c:pt idx="1730">
                  <c:v>5.5010710475700664E-2</c:v>
                </c:pt>
                <c:pt idx="1731">
                  <c:v>3.4870324996656987E-2</c:v>
                </c:pt>
                <c:pt idx="1732">
                  <c:v>1.5350391291035968E-2</c:v>
                </c:pt>
                <c:pt idx="1733">
                  <c:v>-2.9124575832295475E-2</c:v>
                </c:pt>
                <c:pt idx="1734">
                  <c:v>2.3053211783129669E-2</c:v>
                </c:pt>
                <c:pt idx="1735">
                  <c:v>-6.2980523391116035E-3</c:v>
                </c:pt>
                <c:pt idx="1736">
                  <c:v>-2.4745169827413871E-2</c:v>
                </c:pt>
                <c:pt idx="1737">
                  <c:v>1.028582345906208E-2</c:v>
                </c:pt>
                <c:pt idx="1738">
                  <c:v>8.6353374304884364E-3</c:v>
                </c:pt>
                <c:pt idx="1739">
                  <c:v>-9.0620746275721017E-4</c:v>
                </c:pt>
                <c:pt idx="1740">
                  <c:v>-2.1575656508906589E-2</c:v>
                </c:pt>
                <c:pt idx="1741">
                  <c:v>-9.980449400684056E-3</c:v>
                </c:pt>
                <c:pt idx="1742">
                  <c:v>2.7773918212922556E-2</c:v>
                </c:pt>
                <c:pt idx="1743">
                  <c:v>1.3611388590453535E-3</c:v>
                </c:pt>
                <c:pt idx="1744">
                  <c:v>-4.6695439067627298E-2</c:v>
                </c:pt>
                <c:pt idx="1745">
                  <c:v>7.5233811900796269E-2</c:v>
                </c:pt>
                <c:pt idx="1746">
                  <c:v>-6.6343044992437086E-3</c:v>
                </c:pt>
                <c:pt idx="1747">
                  <c:v>1.0937868755880202E-2</c:v>
                </c:pt>
                <c:pt idx="1748">
                  <c:v>-5.8038514354937247E-4</c:v>
                </c:pt>
                <c:pt idx="1749">
                  <c:v>-1.0126921536000293E-3</c:v>
                </c:pt>
                <c:pt idx="1750">
                  <c:v>-1.8960857171611807E-3</c:v>
                </c:pt>
                <c:pt idx="1751">
                  <c:v>-5.3223243989253752E-3</c:v>
                </c:pt>
                <c:pt idx="1752">
                  <c:v>-1.1849474457289193E-2</c:v>
                </c:pt>
                <c:pt idx="1753">
                  <c:v>6.3634561602126799E-3</c:v>
                </c:pt>
                <c:pt idx="1754">
                  <c:v>-3.4677114581091028E-5</c:v>
                </c:pt>
                <c:pt idx="1755">
                  <c:v>-1.233773962812248E-2</c:v>
                </c:pt>
                <c:pt idx="1756">
                  <c:v>2.9307956534102087E-3</c:v>
                </c:pt>
                <c:pt idx="1757">
                  <c:v>1.8849621200208035E-2</c:v>
                </c:pt>
                <c:pt idx="1758">
                  <c:v>1.2525443163183887E-2</c:v>
                </c:pt>
                <c:pt idx="1759">
                  <c:v>-4.5283424614768822E-5</c:v>
                </c:pt>
                <c:pt idx="1760">
                  <c:v>-3.6147203440693582E-3</c:v>
                </c:pt>
                <c:pt idx="1761">
                  <c:v>-9.3613514147417309E-3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3-4739-BAD6-F68E8E1CD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11496"/>
        <c:axId val="472411168"/>
      </c:scatterChart>
      <c:valAx>
        <c:axId val="472411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411168"/>
        <c:crosses val="autoZero"/>
        <c:crossBetween val="midCat"/>
      </c:valAx>
      <c:valAx>
        <c:axId val="47241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411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Cross Entropy Evolution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'[1]CE MLP'!$A$1:$A$200</c:f>
              <c:numCache>
                <c:formatCode>General</c:formatCode>
                <c:ptCount val="200"/>
                <c:pt idx="0">
                  <c:v>0.80710295850923053</c:v>
                </c:pt>
                <c:pt idx="1">
                  <c:v>0.80349753444113703</c:v>
                </c:pt>
                <c:pt idx="2">
                  <c:v>0.79982449989202831</c:v>
                </c:pt>
                <c:pt idx="3">
                  <c:v>0.79610140438116173</c:v>
                </c:pt>
                <c:pt idx="4">
                  <c:v>0.79234681382424221</c:v>
                </c:pt>
                <c:pt idx="5">
                  <c:v>0.78857987801340945</c:v>
                </c:pt>
                <c:pt idx="6">
                  <c:v>0.78481986938787485</c:v>
                </c:pt>
                <c:pt idx="7">
                  <c:v>0.78108571657585846</c:v>
                </c:pt>
                <c:pt idx="8">
                  <c:v>0.77739555800084825</c:v>
                </c:pt>
                <c:pt idx="9">
                  <c:v>0.77376634013163836</c:v>
                </c:pt>
                <c:pt idx="10">
                  <c:v>0.77021348121914635</c:v>
                </c:pt>
                <c:pt idx="11">
                  <c:v>0.76675061519984178</c:v>
                </c:pt>
                <c:pt idx="12">
                  <c:v>0.76338942306609603</c:v>
                </c:pt>
                <c:pt idx="13">
                  <c:v>0.7601395516552778</c:v>
                </c:pt>
                <c:pt idx="14">
                  <c:v>0.75700861344638581</c:v>
                </c:pt>
                <c:pt idx="15">
                  <c:v>0.75400225615300942</c:v>
                </c:pt>
                <c:pt idx="16">
                  <c:v>0.75112428790274799</c:v>
                </c:pt>
                <c:pt idx="17">
                  <c:v>0.74837684256134862</c:v>
                </c:pt>
                <c:pt idx="18">
                  <c:v>0.74576057006036012</c:v>
                </c:pt>
                <c:pt idx="19">
                  <c:v>0.74327483806217376</c:v>
                </c:pt>
                <c:pt idx="20">
                  <c:v>0.74091793354216329</c:v>
                </c:pt>
                <c:pt idx="21">
                  <c:v>0.73868725550083936</c:v>
                </c:pt>
                <c:pt idx="22">
                  <c:v>0.73657949271752765</c:v>
                </c:pt>
                <c:pt idx="23">
                  <c:v>0.73459078297430436</c:v>
                </c:pt>
                <c:pt idx="24">
                  <c:v>0.73271685233577899</c:v>
                </c:pt>
                <c:pt idx="25">
                  <c:v>0.73095313474438295</c:v>
                </c:pt>
                <c:pt idx="26">
                  <c:v>0.72929487331491261</c:v>
                </c:pt>
                <c:pt idx="27">
                  <c:v>0.72773720528666452</c:v>
                </c:pt>
                <c:pt idx="28">
                  <c:v>0.72627523269717453</c:v>
                </c:pt>
                <c:pt idx="29">
                  <c:v>0.72490408063115597</c:v>
                </c:pt>
                <c:pt idx="30">
                  <c:v>0.72361894455860165</c:v>
                </c:pt>
                <c:pt idx="31">
                  <c:v>0.72241512797116791</c:v>
                </c:pt>
                <c:pt idx="32">
                  <c:v>0.72128807134812922</c:v>
                </c:pt>
                <c:pt idx="33">
                  <c:v>0.72023337343991733</c:v>
                </c:pt>
                <c:pt idx="34">
                  <c:v>0.71924680589412582</c:v>
                </c:pt>
                <c:pt idx="35">
                  <c:v>0.71832432229431231</c:v>
                </c:pt>
                <c:pt idx="36">
                  <c:v>0.71746206268343304</c:v>
                </c:pt>
                <c:pt idx="37">
                  <c:v>0.71665635458354848</c:v>
                </c:pt>
                <c:pt idx="38">
                  <c:v>0.71590371141170961</c:v>
                </c:pt>
                <c:pt idx="39">
                  <c:v>0.71520082905202886</c:v>
                </c:pt>
                <c:pt idx="40">
                  <c:v>0.71454458119759023</c:v>
                </c:pt>
                <c:pt idx="41">
                  <c:v>0.71393201393688621</c:v>
                </c:pt>
                <c:pt idx="42">
                  <c:v>0.71336033993364623</c:v>
                </c:pt>
                <c:pt idx="43">
                  <c:v>0.71282693243643602</c:v>
                </c:pt>
                <c:pt idx="44">
                  <c:v>0.71232931925559984</c:v>
                </c:pt>
                <c:pt idx="45">
                  <c:v>0.7118651767606452</c:v>
                </c:pt>
                <c:pt idx="46">
                  <c:v>0.71143232388514965</c:v>
                </c:pt>
                <c:pt idx="47">
                  <c:v>0.71102871608300333</c:v>
                </c:pt>
                <c:pt idx="48">
                  <c:v>0.7106524391629202</c:v>
                </c:pt>
                <c:pt idx="49">
                  <c:v>0.71030170293737926</c:v>
                </c:pt>
                <c:pt idx="50">
                  <c:v>0.70997483465322042</c:v>
                </c:pt>
                <c:pt idx="51">
                  <c:v>0.70967027221550116</c:v>
                </c:pt>
                <c:pt idx="52">
                  <c:v>0.70938655726349331</c:v>
                </c:pt>
                <c:pt idx="53">
                  <c:v>0.70912232819840026</c:v>
                </c:pt>
                <c:pt idx="54">
                  <c:v>0.70887631328900991</c:v>
                </c:pt>
                <c:pt idx="55">
                  <c:v>0.70864732399135966</c:v>
                </c:pt>
                <c:pt idx="56">
                  <c:v>0.70843424861141058</c:v>
                </c:pt>
                <c:pt idx="57">
                  <c:v>0.70823604641913329</c:v>
                </c:pt>
                <c:pt idx="58">
                  <c:v>0.70805174229239942</c:v>
                </c:pt>
                <c:pt idx="59">
                  <c:v>0.70788042193436174</c:v>
                </c:pt>
                <c:pt idx="60">
                  <c:v>0.70772122767257772</c:v>
                </c:pt>
                <c:pt idx="61">
                  <c:v>0.70757335481541273</c:v>
                </c:pt>
                <c:pt idx="62">
                  <c:v>0.70743604851331099</c:v>
                </c:pt>
                <c:pt idx="63">
                  <c:v>0.70730860105135374</c:v>
                </c:pt>
                <c:pt idx="64">
                  <c:v>0.70719034948569925</c:v>
                </c:pt>
                <c:pt idx="65">
                  <c:v>0.70708067353069581</c:v>
                </c:pt>
                <c:pt idx="66">
                  <c:v>0.70697899360529826</c:v>
                </c:pt>
                <c:pt idx="67">
                  <c:v>0.70688476895631724</c:v>
                </c:pt>
                <c:pt idx="68">
                  <c:v>0.70679749579092532</c:v>
                </c:pt>
                <c:pt idx="69">
                  <c:v>0.70671670536970843</c:v>
                </c:pt>
                <c:pt idx="70">
                  <c:v>0.70664196203296004</c:v>
                </c:pt>
                <c:pt idx="71">
                  <c:v>0.70657286115419493</c:v>
                </c:pt>
                <c:pt idx="72">
                  <c:v>0.70650902703427854</c:v>
                </c:pt>
                <c:pt idx="73">
                  <c:v>0.70645011076522535</c:v>
                </c:pt>
                <c:pt idx="74">
                  <c:v>0.70639578810318693</c:v>
                </c:pt>
                <c:pt idx="75">
                  <c:v>0.70634575739504757</c:v>
                </c:pt>
                <c:pt idx="76">
                  <c:v>0.70629973760215525</c:v>
                </c:pt>
                <c:pt idx="77">
                  <c:v>0.70625746645904053</c:v>
                </c:pt>
                <c:pt idx="78">
                  <c:v>0.70621869879558841</c:v>
                </c:pt>
                <c:pt idx="79">
                  <c:v>0.70618320503971399</c:v>
                </c:pt>
                <c:pt idx="80">
                  <c:v>0.70615076990576142</c:v>
                </c:pt>
                <c:pt idx="81">
                  <c:v>0.70612119126301143</c:v>
                </c:pt>
                <c:pt idx="82">
                  <c:v>0.70609427916989542</c:v>
                </c:pt>
                <c:pt idx="83">
                  <c:v>0.70606985505345965</c:v>
                </c:pt>
                <c:pt idx="84">
                  <c:v>0.70604775101035311</c:v>
                </c:pt>
                <c:pt idx="85">
                  <c:v>0.70602780920493147</c:v>
                </c:pt>
                <c:pt idx="86">
                  <c:v>0.70600988134152254</c:v>
                </c:pt>
                <c:pt idx="87">
                  <c:v>0.70599382819062384</c:v>
                </c:pt>
                <c:pt idx="88">
                  <c:v>0.70597951915260404</c:v>
                </c:pt>
                <c:pt idx="89">
                  <c:v>0.70596683184618958</c:v>
                </c:pt>
                <c:pt idx="90">
                  <c:v>0.70595565171281216</c:v>
                </c:pt>
                <c:pt idx="91">
                  <c:v>0.70594587163106604</c:v>
                </c:pt>
                <c:pt idx="92">
                  <c:v>0.70593739153811053</c:v>
                </c:pt>
                <c:pt idx="93">
                  <c:v>0.70593011805685302</c:v>
                </c:pt>
                <c:pt idx="94">
                  <c:v>0.70592396412908642</c:v>
                </c:pt>
                <c:pt idx="95">
                  <c:v>0.70591884865553789</c:v>
                </c:pt>
                <c:pt idx="96">
                  <c:v>0.70591469614435443</c:v>
                </c:pt>
                <c:pt idx="97">
                  <c:v>0.70591143636950071</c:v>
                </c:pt>
                <c:pt idx="98">
                  <c:v>0.70590900404063495</c:v>
                </c:pt>
                <c:pt idx="99">
                  <c:v>0.70590733848570586</c:v>
                </c:pt>
                <c:pt idx="100">
                  <c:v>0.70590638334729017</c:v>
                </c:pt>
                <c:pt idx="101">
                  <c:v>0.705906086293421</c:v>
                </c:pt>
                <c:pt idx="102">
                  <c:v>0.70590639874330452</c:v>
                </c:pt>
                <c:pt idx="103">
                  <c:v>0.7059072756081437</c:v>
                </c:pt>
                <c:pt idx="104">
                  <c:v>0.7059086750469945</c:v>
                </c:pt>
                <c:pt idx="105">
                  <c:v>0.70591055823745419</c:v>
                </c:pt>
                <c:pt idx="106">
                  <c:v>0.70591288916078798</c:v>
                </c:pt>
                <c:pt idx="107">
                  <c:v>0.70591563440099281</c:v>
                </c:pt>
                <c:pt idx="108">
                  <c:v>0.70591876295729628</c:v>
                </c:pt>
                <c:pt idx="109">
                  <c:v>0.70592224606936715</c:v>
                </c:pt>
                <c:pt idx="110">
                  <c:v>0.70592605705468281</c:v>
                </c:pt>
                <c:pt idx="111">
                  <c:v>0.70593017115730494</c:v>
                </c:pt>
                <c:pt idx="112">
                  <c:v>0.70593456540745225</c:v>
                </c:pt>
                <c:pt idx="113">
                  <c:v>0.7059392184911486</c:v>
                </c:pt>
                <c:pt idx="114">
                  <c:v>0.70594411062934592</c:v>
                </c:pt>
                <c:pt idx="115">
                  <c:v>0.70594922346587652</c:v>
                </c:pt>
                <c:pt idx="116">
                  <c:v>0.705954539963632</c:v>
                </c:pt>
                <c:pt idx="117">
                  <c:v>0.70596004430840154</c:v>
                </c:pt>
                <c:pt idx="118">
                  <c:v>0.7059657218198403</c:v>
                </c:pt>
                <c:pt idx="119">
                  <c:v>0.7059715588690475</c:v>
                </c:pt>
                <c:pt idx="120">
                  <c:v>0.70597754280225977</c:v>
                </c:pt>
                <c:pt idx="121">
                  <c:v>0.70598366187025396</c:v>
                </c:pt>
                <c:pt idx="122">
                  <c:v>0.70598990516298599</c:v>
                </c:pt>
                <c:pt idx="123">
                  <c:v>0.70599626254912062</c:v>
                </c:pt>
                <c:pt idx="124">
                  <c:v>0.70600272462005054</c:v>
                </c:pt>
                <c:pt idx="125">
                  <c:v>0.70600928263809426</c:v>
                </c:pt>
                <c:pt idx="126">
                  <c:v>0.70601592848853889</c:v>
                </c:pt>
                <c:pt idx="127">
                  <c:v>0.70602265463525038</c:v>
                </c:pt>
                <c:pt idx="128">
                  <c:v>0.70602945407955153</c:v>
                </c:pt>
                <c:pt idx="129">
                  <c:v>0.70603632032216401</c:v>
                </c:pt>
                <c:pt idx="130">
                  <c:v>0.70604324732794788</c:v>
                </c:pt>
                <c:pt idx="131">
                  <c:v>0.70605022949322016</c:v>
                </c:pt>
                <c:pt idx="132">
                  <c:v>0.7060572616154871</c:v>
                </c:pt>
                <c:pt idx="133">
                  <c:v>0.70606433886537745</c:v>
                </c:pt>
                <c:pt idx="134">
                  <c:v>0.70607145676061778</c:v>
                </c:pt>
                <c:pt idx="135">
                  <c:v>0.70607861114190251</c:v>
                </c:pt>
                <c:pt idx="136">
                  <c:v>0.70608579815049233</c:v>
                </c:pt>
                <c:pt idx="137">
                  <c:v>0.70609301420745407</c:v>
                </c:pt>
                <c:pt idx="138">
                  <c:v>0.70610025599434589</c:v>
                </c:pt>
                <c:pt idx="139">
                  <c:v>0.70610752043531722</c:v>
                </c:pt>
                <c:pt idx="140">
                  <c:v>0.70611480468046339</c:v>
                </c:pt>
                <c:pt idx="141">
                  <c:v>0.70612210609036252</c:v>
                </c:pt>
                <c:pt idx="142">
                  <c:v>0.70612942222169628</c:v>
                </c:pt>
                <c:pt idx="143">
                  <c:v>0.70613675081388061</c:v>
                </c:pt>
                <c:pt idx="144">
                  <c:v>0.70614408977663268</c:v>
                </c:pt>
                <c:pt idx="145">
                  <c:v>0.70615143717839945</c:v>
                </c:pt>
                <c:pt idx="146">
                  <c:v>0.70615879123558112</c:v>
                </c:pt>
                <c:pt idx="147">
                  <c:v>0.70616615030250762</c:v>
                </c:pt>
                <c:pt idx="148">
                  <c:v>0.70617351286208341</c:v>
                </c:pt>
                <c:pt idx="149">
                  <c:v>0.70618087751708769</c:v>
                </c:pt>
                <c:pt idx="150">
                  <c:v>0.70618824298206184</c:v>
                </c:pt>
                <c:pt idx="151">
                  <c:v>0.70619560807572956</c:v>
                </c:pt>
                <c:pt idx="152">
                  <c:v>0.70620297171395119</c:v>
                </c:pt>
                <c:pt idx="153">
                  <c:v>0.70621033290313029</c:v>
                </c:pt>
                <c:pt idx="154">
                  <c:v>0.70621769073406948</c:v>
                </c:pt>
                <c:pt idx="155">
                  <c:v>0.70622504437623235</c:v>
                </c:pt>
                <c:pt idx="156">
                  <c:v>0.70623239307238439</c:v>
                </c:pt>
                <c:pt idx="157">
                  <c:v>0.70623973613358959</c:v>
                </c:pt>
                <c:pt idx="158">
                  <c:v>0.70624707293453481</c:v>
                </c:pt>
                <c:pt idx="159">
                  <c:v>0.70625440290916086</c:v>
                </c:pt>
                <c:pt idx="160">
                  <c:v>0.70626172554656974</c:v>
                </c:pt>
                <c:pt idx="161">
                  <c:v>0.70626904038721861</c:v>
                </c:pt>
                <c:pt idx="162">
                  <c:v>0.7062763470193405</c:v>
                </c:pt>
                <c:pt idx="163">
                  <c:v>0.70628364507560382</c:v>
                </c:pt>
                <c:pt idx="164">
                  <c:v>0.70629093422999578</c:v>
                </c:pt>
                <c:pt idx="165">
                  <c:v>0.70629821419488825</c:v>
                </c:pt>
                <c:pt idx="166">
                  <c:v>0.706305484718315</c:v>
                </c:pt>
                <c:pt idx="167">
                  <c:v>0.70631274558140134</c:v>
                </c:pt>
                <c:pt idx="168">
                  <c:v>0.70631999659597755</c:v>
                </c:pt>
                <c:pt idx="169">
                  <c:v>0.70632723760233029</c:v>
                </c:pt>
                <c:pt idx="170">
                  <c:v>0.70633446846711168</c:v>
                </c:pt>
                <c:pt idx="171">
                  <c:v>0.70634168908136596</c:v>
                </c:pt>
                <c:pt idx="172">
                  <c:v>0.70634889935869882</c:v>
                </c:pt>
                <c:pt idx="173">
                  <c:v>0.70635609923355092</c:v>
                </c:pt>
                <c:pt idx="174">
                  <c:v>0.70636328865959719</c:v>
                </c:pt>
                <c:pt idx="175">
                  <c:v>0.7063704676082192</c:v>
                </c:pt>
                <c:pt idx="176">
                  <c:v>0.70637763606711634</c:v>
                </c:pt>
                <c:pt idx="177">
                  <c:v>0.70638479403897547</c:v>
                </c:pt>
                <c:pt idx="178">
                  <c:v>0.70639194154023321</c:v>
                </c:pt>
                <c:pt idx="179">
                  <c:v>0.70639907859992379</c:v>
                </c:pt>
                <c:pt idx="180">
                  <c:v>0.70640620525859743</c:v>
                </c:pt>
                <c:pt idx="181">
                  <c:v>0.70641332156731451</c:v>
                </c:pt>
                <c:pt idx="182">
                  <c:v>0.70642042758668766</c:v>
                </c:pt>
                <c:pt idx="183">
                  <c:v>0.70642752338600923</c:v>
                </c:pt>
                <c:pt idx="184">
                  <c:v>0.70643460904242594</c:v>
                </c:pt>
                <c:pt idx="185">
                  <c:v>0.70644168464016421</c:v>
                </c:pt>
                <c:pt idx="186">
                  <c:v>0.70644875026981202</c:v>
                </c:pt>
                <c:pt idx="187">
                  <c:v>0.70645580602764357</c:v>
                </c:pt>
                <c:pt idx="188">
                  <c:v>0.70646285201500136</c:v>
                </c:pt>
                <c:pt idx="189">
                  <c:v>0.70646988833770497</c:v>
                </c:pt>
                <c:pt idx="190">
                  <c:v>0.70647691510550736</c:v>
                </c:pt>
                <c:pt idx="191">
                  <c:v>0.70648393243159147</c:v>
                </c:pt>
                <c:pt idx="192">
                  <c:v>0.70649094043209393</c:v>
                </c:pt>
                <c:pt idx="193">
                  <c:v>0.70649793922567206</c:v>
                </c:pt>
                <c:pt idx="194">
                  <c:v>0.7065049289330867</c:v>
                </c:pt>
                <c:pt idx="195">
                  <c:v>0.70651190967683919</c:v>
                </c:pt>
                <c:pt idx="196">
                  <c:v>0.70651888158080134</c:v>
                </c:pt>
                <c:pt idx="197">
                  <c:v>0.70652584476990854</c:v>
                </c:pt>
                <c:pt idx="198">
                  <c:v>0.70653279936984426</c:v>
                </c:pt>
                <c:pt idx="199">
                  <c:v>0.70653974550677034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3-49AB-86D3-524520E64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936280"/>
        <c:axId val="541935296"/>
      </c:lineChart>
      <c:catAx>
        <c:axId val="5419362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935296"/>
        <c:crosses val="autoZero"/>
        <c:auto val="1"/>
        <c:lblAlgn val="ctr"/>
        <c:lblOffset val="100"/>
        <c:noMultiLvlLbl val="0"/>
      </c:catAx>
      <c:valAx>
        <c:axId val="5419352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93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Cross Entropy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'[1]CE Simple'!$A$1:$A$200</c:f>
              <c:numCache>
                <c:formatCode>General</c:formatCode>
                <c:ptCount val="200"/>
                <c:pt idx="0">
                  <c:v>0.6927893775801095</c:v>
                </c:pt>
                <c:pt idx="1">
                  <c:v>0.6927873373931196</c:v>
                </c:pt>
                <c:pt idx="2">
                  <c:v>0.69278548525508976</c:v>
                </c:pt>
                <c:pt idx="3">
                  <c:v>0.69278382868351263</c:v>
                </c:pt>
                <c:pt idx="4">
                  <c:v>0.69278237547890731</c:v>
                </c:pt>
                <c:pt idx="5">
                  <c:v>0.69278113378597739</c:v>
                </c:pt>
                <c:pt idx="6">
                  <c:v>0.69278011217035496</c:v>
                </c:pt>
                <c:pt idx="7">
                  <c:v>0.69277931971245843</c:v>
                </c:pt>
                <c:pt idx="8">
                  <c:v>0.69277876611929134</c:v>
                </c:pt>
                <c:pt idx="9">
                  <c:v>0.69277846185367975</c:v>
                </c:pt>
                <c:pt idx="10">
                  <c:v>0.69277841827833098</c:v>
                </c:pt>
                <c:pt idx="11">
                  <c:v>0.69277864780879705</c:v>
                </c:pt>
                <c:pt idx="12">
                  <c:v>0.69277916406454121</c:v>
                </c:pt>
                <c:pt idx="13">
                  <c:v>0.69277998200030944</c:v>
                </c:pt>
                <c:pt idx="14">
                  <c:v>0.69278111799006092</c:v>
                </c:pt>
                <c:pt idx="15">
                  <c:v>0.69278258982234775</c:v>
                </c:pt>
                <c:pt idx="16">
                  <c:v>0.69278441654822298</c:v>
                </c:pt>
                <c:pt idx="17">
                  <c:v>0.69278661810014974</c:v>
                </c:pt>
                <c:pt idx="18">
                  <c:v>0.69278921457305154</c:v>
                </c:pt>
                <c:pt idx="19">
                  <c:v>0.69279222502803139</c:v>
                </c:pt>
                <c:pt idx="20">
                  <c:v>0.69279566564972772</c:v>
                </c:pt>
                <c:pt idx="21">
                  <c:v>0.69279954706863345</c:v>
                </c:pt>
                <c:pt idx="22">
                  <c:v>0.69280387066713356</c:v>
                </c:pt>
                <c:pt idx="23">
                  <c:v>0.69280862375201158</c:v>
                </c:pt>
                <c:pt idx="24">
                  <c:v>0.69281377364346275</c:v>
                </c:pt>
                <c:pt idx="25">
                  <c:v>0.69281926106843483</c:v>
                </c:pt>
                <c:pt idx="26">
                  <c:v>0.69282499383446172</c:v>
                </c:pt>
                <c:pt idx="27">
                  <c:v>0.69283084266280404</c:v>
                </c:pt>
                <c:pt idx="28">
                  <c:v>0.69283664224093544</c:v>
                </c:pt>
                <c:pt idx="29">
                  <c:v>0.69284220172075484</c:v>
                </c:pt>
                <c:pt idx="30">
                  <c:v>0.69284732925791981</c:v>
                </c:pt>
                <c:pt idx="31">
                  <c:v>0.69285187334335563</c:v>
                </c:pt>
                <c:pt idx="32">
                  <c:v>0.69285577795525766</c:v>
                </c:pt>
                <c:pt idx="33">
                  <c:v>0.69285913862241089</c:v>
                </c:pt>
                <c:pt idx="34">
                  <c:v>0.69286223601888863</c:v>
                </c:pt>
                <c:pt idx="35">
                  <c:v>0.69286552155782388</c:v>
                </c:pt>
                <c:pt idx="36">
                  <c:v>0.69286954434487313</c:v>
                </c:pt>
                <c:pt idx="37">
                  <c:v>0.69287483789032567</c:v>
                </c:pt>
                <c:pt idx="38">
                  <c:v>0.69288180906458996</c:v>
                </c:pt>
                <c:pt idx="39">
                  <c:v>0.69289067091340983</c:v>
                </c:pt>
                <c:pt idx="40">
                  <c:v>0.69290143575856178</c:v>
                </c:pt>
                <c:pt idx="41">
                  <c:v>0.6929139560673101</c:v>
                </c:pt>
                <c:pt idx="42">
                  <c:v>0.69292798646294396</c:v>
                </c:pt>
                <c:pt idx="43">
                  <c:v>0.69294324314844835</c:v>
                </c:pt>
                <c:pt idx="44">
                  <c:v>0.69295944792787179</c:v>
                </c:pt>
                <c:pt idx="45">
                  <c:v>0.69297635414542846</c:v>
                </c:pt>
                <c:pt idx="46">
                  <c:v>0.69299375764536708</c:v>
                </c:pt>
                <c:pt idx="47">
                  <c:v>0.6930114976823093</c:v>
                </c:pt>
                <c:pt idx="48">
                  <c:v>0.69302945228120516</c:v>
                </c:pt>
                <c:pt idx="49">
                  <c:v>0.69304753130231378</c:v>
                </c:pt>
                <c:pt idx="50">
                  <c:v>0.69306566921303647</c:v>
                </c:pt>
                <c:pt idx="51">
                  <c:v>0.69308381860915458</c:v>
                </c:pt>
                <c:pt idx="52">
                  <c:v>0.69310194490089905</c:v>
                </c:pt>
                <c:pt idx="53">
                  <c:v>0.69312002221815516</c:v>
                </c:pt>
                <c:pt idx="54">
                  <c:v>0.6931380304095861</c:v>
                </c:pt>
                <c:pt idx="55">
                  <c:v>0.69315595294151544</c:v>
                </c:pt>
                <c:pt idx="56">
                  <c:v>0.69317377549407522</c:v>
                </c:pt>
                <c:pt idx="57">
                  <c:v>0.6931914850731421</c:v>
                </c:pt>
                <c:pt idx="58">
                  <c:v>0.6932090694882358</c:v>
                </c:pt>
                <c:pt idx="59">
                  <c:v>0.6932265170795161</c:v>
                </c:pt>
                <c:pt idx="60">
                  <c:v>0.69324381660633538</c:v>
                </c:pt>
                <c:pt idx="61">
                  <c:v>0.69326095723422709</c:v>
                </c:pt>
                <c:pt idx="62">
                  <c:v>0.69327792857625159</c:v>
                </c:pt>
                <c:pt idx="63">
                  <c:v>0.69329472075911236</c:v>
                </c:pt>
                <c:pt idx="64">
                  <c:v>0.69331132449498067</c:v>
                </c:pt>
                <c:pt idx="65">
                  <c:v>0.69332773114756141</c:v>
                </c:pt>
                <c:pt idx="66">
                  <c:v>0.69334393278611683</c:v>
                </c:pt>
                <c:pt idx="67">
                  <c:v>0.69335992222460541</c:v>
                </c:pt>
                <c:pt idx="68">
                  <c:v>0.69337569304543178</c:v>
                </c:pt>
                <c:pt idx="69">
                  <c:v>0.69339123960860238</c:v>
                </c:pt>
                <c:pt idx="70">
                  <c:v>0.69340655704787091</c:v>
                </c:pt>
                <c:pt idx="71">
                  <c:v>0.69342164125579664</c:v>
                </c:pt>
                <c:pt idx="72">
                  <c:v>0.69343648885979714</c:v>
                </c:pt>
                <c:pt idx="73">
                  <c:v>0.69345109719108511</c:v>
                </c:pt>
                <c:pt idx="74">
                  <c:v>0.69346546424836608</c:v>
                </c:pt>
                <c:pt idx="75">
                  <c:v>0.69347958865784243</c:v>
                </c:pt>
                <c:pt idx="76">
                  <c:v>0.69349346963090119</c:v>
                </c:pt>
                <c:pt idx="77">
                  <c:v>0.69350710692066275</c:v>
                </c:pt>
                <c:pt idx="78">
                  <c:v>0.6935205007782631</c:v>
                </c:pt>
                <c:pt idx="79">
                  <c:v>0.69353365190968819</c:v>
                </c:pt>
                <c:pt idx="80">
                  <c:v>0.69354656143368332</c:v>
                </c:pt>
                <c:pt idx="81">
                  <c:v>0.69355923084122806</c:v>
                </c:pt>
                <c:pt idx="82">
                  <c:v>0.69357166195683595</c:v>
                </c:pt>
                <c:pt idx="83">
                  <c:v>0.69358385690195901</c:v>
                </c:pt>
                <c:pt idx="84">
                  <c:v>0.69359581806057113</c:v>
                </c:pt>
                <c:pt idx="85">
                  <c:v>0.69360754804706082</c:v>
                </c:pt>
                <c:pt idx="86">
                  <c:v>0.69361904967638888</c:v>
                </c:pt>
                <c:pt idx="87">
                  <c:v>0.69363032593652163</c:v>
                </c:pt>
                <c:pt idx="88">
                  <c:v>0.69364137996308317</c:v>
                </c:pt>
                <c:pt idx="89">
                  <c:v>0.69365221501613583</c:v>
                </c:pt>
                <c:pt idx="90">
                  <c:v>0.69366283445898524</c:v>
                </c:pt>
                <c:pt idx="91">
                  <c:v>0.69367324173892697</c:v>
                </c:pt>
                <c:pt idx="92">
                  <c:v>0.69368344036980467</c:v>
                </c:pt>
                <c:pt idx="93">
                  <c:v>0.69369343391626259</c:v>
                </c:pt>
                <c:pt idx="94">
                  <c:v>0.69370322597958234</c:v>
                </c:pt>
                <c:pt idx="95">
                  <c:v>0.69371282018499003</c:v>
                </c:pt>
                <c:pt idx="96">
                  <c:v>0.69372222017030472</c:v>
                </c:pt>
                <c:pt idx="97">
                  <c:v>0.69373142957583689</c:v>
                </c:pt>
                <c:pt idx="98">
                  <c:v>0.69374045203544332</c:v>
                </c:pt>
                <c:pt idx="99">
                  <c:v>0.69374929116859341</c:v>
                </c:pt>
                <c:pt idx="100">
                  <c:v>0.69375795057341372</c:v>
                </c:pt>
                <c:pt idx="101">
                  <c:v>0.69376643382059289</c:v>
                </c:pt>
                <c:pt idx="102">
                  <c:v>0.69377474444806009</c:v>
                </c:pt>
                <c:pt idx="103">
                  <c:v>0.69378288595638249</c:v>
                </c:pt>
                <c:pt idx="104">
                  <c:v>0.69379086180480987</c:v>
                </c:pt>
                <c:pt idx="105">
                  <c:v>0.69379867540788498</c:v>
                </c:pt>
                <c:pt idx="106">
                  <c:v>0.69380633013258752</c:v>
                </c:pt>
                <c:pt idx="107">
                  <c:v>0.69381382929593138</c:v>
                </c:pt>
                <c:pt idx="108">
                  <c:v>0.69382117616299366</c:v>
                </c:pt>
                <c:pt idx="109">
                  <c:v>0.69382837394531516</c:v>
                </c:pt>
                <c:pt idx="110">
                  <c:v>0.69383542579962521</c:v>
                </c:pt>
                <c:pt idx="111">
                  <c:v>0.6938423348268753</c:v>
                </c:pt>
                <c:pt idx="112">
                  <c:v>0.69384910407153488</c:v>
                </c:pt>
                <c:pt idx="113">
                  <c:v>0.69385573652111088</c:v>
                </c:pt>
                <c:pt idx="114">
                  <c:v>0.69386223510588474</c:v>
                </c:pt>
                <c:pt idx="115">
                  <c:v>0.6938686026988381</c:v>
                </c:pt>
                <c:pt idx="116">
                  <c:v>0.69387484211570982</c:v>
                </c:pt>
                <c:pt idx="117">
                  <c:v>0.69388095611523049</c:v>
                </c:pt>
                <c:pt idx="118">
                  <c:v>0.69388694739945223</c:v>
                </c:pt>
                <c:pt idx="119">
                  <c:v>0.69389281861419216</c:v>
                </c:pt>
                <c:pt idx="120">
                  <c:v>0.69389857234956787</c:v>
                </c:pt>
                <c:pt idx="121">
                  <c:v>0.69390421114062373</c:v>
                </c:pt>
                <c:pt idx="122">
                  <c:v>0.69390973746799545</c:v>
                </c:pt>
                <c:pt idx="123">
                  <c:v>0.69391515375866564</c:v>
                </c:pt>
                <c:pt idx="124">
                  <c:v>0.69392046238673843</c:v>
                </c:pt>
                <c:pt idx="125">
                  <c:v>0.69392566567427361</c:v>
                </c:pt>
                <c:pt idx="126">
                  <c:v>0.69393076589214198</c:v>
                </c:pt>
                <c:pt idx="127">
                  <c:v>0.69393576526090917</c:v>
                </c:pt>
                <c:pt idx="128">
                  <c:v>0.69394066595174164</c:v>
                </c:pt>
                <c:pt idx="129">
                  <c:v>0.69394547008732921</c:v>
                </c:pt>
                <c:pt idx="130">
                  <c:v>0.6939501797428077</c:v>
                </c:pt>
                <c:pt idx="131">
                  <c:v>0.69395479694670537</c:v>
                </c:pt>
                <c:pt idx="132">
                  <c:v>0.69395932368187196</c:v>
                </c:pt>
                <c:pt idx="133">
                  <c:v>0.69396376188643083</c:v>
                </c:pt>
                <c:pt idx="134">
                  <c:v>0.69396811345469978</c:v>
                </c:pt>
                <c:pt idx="135">
                  <c:v>0.69397238023814733</c:v>
                </c:pt>
                <c:pt idx="136">
                  <c:v>0.69397656404629648</c:v>
                </c:pt>
                <c:pt idx="137">
                  <c:v>0.6939806666476569</c:v>
                </c:pt>
                <c:pt idx="138">
                  <c:v>0.69398468977062278</c:v>
                </c:pt>
                <c:pt idx="139">
                  <c:v>0.6939886351043778</c:v>
                </c:pt>
                <c:pt idx="140">
                  <c:v>0.69399250429976989</c:v>
                </c:pt>
                <c:pt idx="141">
                  <c:v>0.69399629897019444</c:v>
                </c:pt>
                <c:pt idx="142">
                  <c:v>0.69400002069243683</c:v>
                </c:pt>
                <c:pt idx="143">
                  <c:v>0.69400367100753146</c:v>
                </c:pt>
                <c:pt idx="144">
                  <c:v>0.69400725142157071</c:v>
                </c:pt>
                <c:pt idx="145">
                  <c:v>0.69401076340653256</c:v>
                </c:pt>
                <c:pt idx="146">
                  <c:v>0.69401420840107342</c:v>
                </c:pt>
                <c:pt idx="147">
                  <c:v>0.69401758781130163</c:v>
                </c:pt>
                <c:pt idx="148">
                  <c:v>0.6940209030115565</c:v>
                </c:pt>
                <c:pt idx="149">
                  <c:v>0.69402415534513795</c:v>
                </c:pt>
                <c:pt idx="150">
                  <c:v>0.69402734612506067</c:v>
                </c:pt>
                <c:pt idx="151">
                  <c:v>0.69403047663475004</c:v>
                </c:pt>
                <c:pt idx="152">
                  <c:v>0.69403354812876605</c:v>
                </c:pt>
                <c:pt idx="153">
                  <c:v>0.69403656183346851</c:v>
                </c:pt>
                <c:pt idx="154">
                  <c:v>0.694039518947694</c:v>
                </c:pt>
                <c:pt idx="155">
                  <c:v>0.69404242064341592</c:v>
                </c:pt>
                <c:pt idx="156">
                  <c:v>0.69404526806637235</c:v>
                </c:pt>
                <c:pt idx="157">
                  <c:v>0.69404806233670269</c:v>
                </c:pt>
                <c:pt idx="158">
                  <c:v>0.69405080454954182</c:v>
                </c:pt>
                <c:pt idx="159">
                  <c:v>0.69405349577563324</c:v>
                </c:pt>
                <c:pt idx="160">
                  <c:v>0.69405613706188851</c:v>
                </c:pt>
                <c:pt idx="161">
                  <c:v>0.69405872943197222</c:v>
                </c:pt>
                <c:pt idx="162">
                  <c:v>0.6940612738868418</c:v>
                </c:pt>
                <c:pt idx="163">
                  <c:v>0.69406377140529407</c:v>
                </c:pt>
                <c:pt idx="164">
                  <c:v>0.69406622294448872</c:v>
                </c:pt>
                <c:pt idx="165">
                  <c:v>0.69406862944045666</c:v>
                </c:pt>
                <c:pt idx="166">
                  <c:v>0.69407099180861087</c:v>
                </c:pt>
                <c:pt idx="167">
                  <c:v>0.6940733109442262</c:v>
                </c:pt>
                <c:pt idx="168">
                  <c:v>0.69407558772291333</c:v>
                </c:pt>
                <c:pt idx="169">
                  <c:v>0.69407782300109289</c:v>
                </c:pt>
                <c:pt idx="170">
                  <c:v>0.69408001761643823</c:v>
                </c:pt>
                <c:pt idx="171">
                  <c:v>0.69408217238832193</c:v>
                </c:pt>
                <c:pt idx="172">
                  <c:v>0.6940842881182463</c:v>
                </c:pt>
                <c:pt idx="173">
                  <c:v>0.69408636559025882</c:v>
                </c:pt>
                <c:pt idx="174">
                  <c:v>0.69408840557136831</c:v>
                </c:pt>
                <c:pt idx="175">
                  <c:v>0.69409040881193484</c:v>
                </c:pt>
                <c:pt idx="176">
                  <c:v>0.69409237604606877</c:v>
                </c:pt>
                <c:pt idx="177">
                  <c:v>0.69409430799200522</c:v>
                </c:pt>
                <c:pt idx="178">
                  <c:v>0.6940962053524723</c:v>
                </c:pt>
                <c:pt idx="179">
                  <c:v>0.69409806881505332</c:v>
                </c:pt>
                <c:pt idx="180">
                  <c:v>0.69409989905254632</c:v>
                </c:pt>
                <c:pt idx="181">
                  <c:v>0.69410169672329369</c:v>
                </c:pt>
                <c:pt idx="182">
                  <c:v>0.6941034624715221</c:v>
                </c:pt>
                <c:pt idx="183">
                  <c:v>0.69410519692768102</c:v>
                </c:pt>
                <c:pt idx="184">
                  <c:v>0.69410690070873804</c:v>
                </c:pt>
                <c:pt idx="185">
                  <c:v>0.69410857441850948</c:v>
                </c:pt>
                <c:pt idx="186">
                  <c:v>0.69411021864794997</c:v>
                </c:pt>
                <c:pt idx="187">
                  <c:v>0.69411183397546217</c:v>
                </c:pt>
                <c:pt idx="188">
                  <c:v>0.69411342096716622</c:v>
                </c:pt>
                <c:pt idx="189">
                  <c:v>0.6941149801771952</c:v>
                </c:pt>
                <c:pt idx="190">
                  <c:v>0.69411651214796133</c:v>
                </c:pt>
                <c:pt idx="191">
                  <c:v>0.69411801741043055</c:v>
                </c:pt>
                <c:pt idx="192">
                  <c:v>0.69411949648437432</c:v>
                </c:pt>
                <c:pt idx="193">
                  <c:v>0.69412094987863038</c:v>
                </c:pt>
                <c:pt idx="194">
                  <c:v>0.69412237809135247</c:v>
                </c:pt>
                <c:pt idx="195">
                  <c:v>0.69412378161024402</c:v>
                </c:pt>
                <c:pt idx="196">
                  <c:v>0.69412516091280285</c:v>
                </c:pt>
                <c:pt idx="197">
                  <c:v>0.69412651646654788</c:v>
                </c:pt>
                <c:pt idx="198">
                  <c:v>0.69412784872924604</c:v>
                </c:pt>
                <c:pt idx="199">
                  <c:v>0.69412915814912723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D-408B-8852-DAA0D46BA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361904"/>
        <c:axId val="550363872"/>
      </c:lineChart>
      <c:catAx>
        <c:axId val="55036190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0363872"/>
        <c:crosses val="autoZero"/>
        <c:auto val="1"/>
        <c:lblAlgn val="ctr"/>
        <c:lblOffset val="100"/>
        <c:noMultiLvlLbl val="0"/>
      </c:catAx>
      <c:valAx>
        <c:axId val="5503638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036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Cross Entropy Evolution Simple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'[1]CE Simple'!$A$1:$A$200</c:f>
              <c:numCache>
                <c:formatCode>General</c:formatCode>
                <c:ptCount val="200"/>
                <c:pt idx="0">
                  <c:v>0.6927893775801095</c:v>
                </c:pt>
                <c:pt idx="1">
                  <c:v>0.6927873373931196</c:v>
                </c:pt>
                <c:pt idx="2">
                  <c:v>0.69278548525508976</c:v>
                </c:pt>
                <c:pt idx="3">
                  <c:v>0.69278382868351263</c:v>
                </c:pt>
                <c:pt idx="4">
                  <c:v>0.69278237547890731</c:v>
                </c:pt>
                <c:pt idx="5">
                  <c:v>0.69278113378597739</c:v>
                </c:pt>
                <c:pt idx="6">
                  <c:v>0.69278011217035496</c:v>
                </c:pt>
                <c:pt idx="7">
                  <c:v>0.69277931971245843</c:v>
                </c:pt>
                <c:pt idx="8">
                  <c:v>0.69277876611929134</c:v>
                </c:pt>
                <c:pt idx="9">
                  <c:v>0.69277846185367975</c:v>
                </c:pt>
                <c:pt idx="10">
                  <c:v>0.69277841827833098</c:v>
                </c:pt>
                <c:pt idx="11">
                  <c:v>0.69277864780879705</c:v>
                </c:pt>
                <c:pt idx="12">
                  <c:v>0.69277916406454121</c:v>
                </c:pt>
                <c:pt idx="13">
                  <c:v>0.69277998200030944</c:v>
                </c:pt>
                <c:pt idx="14">
                  <c:v>0.69278111799006092</c:v>
                </c:pt>
                <c:pt idx="15">
                  <c:v>0.69278258982234775</c:v>
                </c:pt>
                <c:pt idx="16">
                  <c:v>0.69278441654822298</c:v>
                </c:pt>
                <c:pt idx="17">
                  <c:v>0.69278661810014974</c:v>
                </c:pt>
                <c:pt idx="18">
                  <c:v>0.69278921457305154</c:v>
                </c:pt>
                <c:pt idx="19">
                  <c:v>0.69279222502803139</c:v>
                </c:pt>
                <c:pt idx="20">
                  <c:v>0.69279566564972772</c:v>
                </c:pt>
                <c:pt idx="21">
                  <c:v>0.69279954706863345</c:v>
                </c:pt>
                <c:pt idx="22">
                  <c:v>0.69280387066713356</c:v>
                </c:pt>
                <c:pt idx="23">
                  <c:v>0.69280862375201158</c:v>
                </c:pt>
                <c:pt idx="24">
                  <c:v>0.69281377364346275</c:v>
                </c:pt>
                <c:pt idx="25">
                  <c:v>0.69281926106843483</c:v>
                </c:pt>
                <c:pt idx="26">
                  <c:v>0.69282499383446172</c:v>
                </c:pt>
                <c:pt idx="27">
                  <c:v>0.69283084266280404</c:v>
                </c:pt>
                <c:pt idx="28">
                  <c:v>0.69283664224093544</c:v>
                </c:pt>
                <c:pt idx="29">
                  <c:v>0.69284220172075484</c:v>
                </c:pt>
                <c:pt idx="30">
                  <c:v>0.69284732925791981</c:v>
                </c:pt>
                <c:pt idx="31">
                  <c:v>0.69285187334335563</c:v>
                </c:pt>
                <c:pt idx="32">
                  <c:v>0.69285577795525766</c:v>
                </c:pt>
                <c:pt idx="33">
                  <c:v>0.69285913862241089</c:v>
                </c:pt>
                <c:pt idx="34">
                  <c:v>0.69286223601888863</c:v>
                </c:pt>
                <c:pt idx="35">
                  <c:v>0.69286552155782388</c:v>
                </c:pt>
                <c:pt idx="36">
                  <c:v>0.69286954434487313</c:v>
                </c:pt>
                <c:pt idx="37">
                  <c:v>0.69287483789032567</c:v>
                </c:pt>
                <c:pt idx="38">
                  <c:v>0.69288180906458996</c:v>
                </c:pt>
                <c:pt idx="39">
                  <c:v>0.69289067091340983</c:v>
                </c:pt>
                <c:pt idx="40">
                  <c:v>0.69290143575856178</c:v>
                </c:pt>
                <c:pt idx="41">
                  <c:v>0.6929139560673101</c:v>
                </c:pt>
                <c:pt idx="42">
                  <c:v>0.69292798646294396</c:v>
                </c:pt>
                <c:pt idx="43">
                  <c:v>0.69294324314844835</c:v>
                </c:pt>
                <c:pt idx="44">
                  <c:v>0.69295944792787179</c:v>
                </c:pt>
                <c:pt idx="45">
                  <c:v>0.69297635414542846</c:v>
                </c:pt>
                <c:pt idx="46">
                  <c:v>0.69299375764536708</c:v>
                </c:pt>
                <c:pt idx="47">
                  <c:v>0.6930114976823093</c:v>
                </c:pt>
                <c:pt idx="48">
                  <c:v>0.69302945228120516</c:v>
                </c:pt>
                <c:pt idx="49">
                  <c:v>0.69304753130231378</c:v>
                </c:pt>
                <c:pt idx="50">
                  <c:v>0.69306566921303647</c:v>
                </c:pt>
                <c:pt idx="51">
                  <c:v>0.69308381860915458</c:v>
                </c:pt>
                <c:pt idx="52">
                  <c:v>0.69310194490089905</c:v>
                </c:pt>
                <c:pt idx="53">
                  <c:v>0.69312002221815516</c:v>
                </c:pt>
                <c:pt idx="54">
                  <c:v>0.6931380304095861</c:v>
                </c:pt>
                <c:pt idx="55">
                  <c:v>0.69315595294151544</c:v>
                </c:pt>
                <c:pt idx="56">
                  <c:v>0.69317377549407522</c:v>
                </c:pt>
                <c:pt idx="57">
                  <c:v>0.6931914850731421</c:v>
                </c:pt>
                <c:pt idx="58">
                  <c:v>0.6932090694882358</c:v>
                </c:pt>
                <c:pt idx="59">
                  <c:v>0.6932265170795161</c:v>
                </c:pt>
                <c:pt idx="60">
                  <c:v>0.69324381660633538</c:v>
                </c:pt>
                <c:pt idx="61">
                  <c:v>0.69326095723422709</c:v>
                </c:pt>
                <c:pt idx="62">
                  <c:v>0.69327792857625159</c:v>
                </c:pt>
                <c:pt idx="63">
                  <c:v>0.69329472075911236</c:v>
                </c:pt>
                <c:pt idx="64">
                  <c:v>0.69331132449498067</c:v>
                </c:pt>
                <c:pt idx="65">
                  <c:v>0.69332773114756141</c:v>
                </c:pt>
                <c:pt idx="66">
                  <c:v>0.69334393278611683</c:v>
                </c:pt>
                <c:pt idx="67">
                  <c:v>0.69335992222460541</c:v>
                </c:pt>
                <c:pt idx="68">
                  <c:v>0.69337569304543178</c:v>
                </c:pt>
                <c:pt idx="69">
                  <c:v>0.69339123960860238</c:v>
                </c:pt>
                <c:pt idx="70">
                  <c:v>0.69340655704787091</c:v>
                </c:pt>
                <c:pt idx="71">
                  <c:v>0.69342164125579664</c:v>
                </c:pt>
                <c:pt idx="72">
                  <c:v>0.69343648885979714</c:v>
                </c:pt>
                <c:pt idx="73">
                  <c:v>0.69345109719108511</c:v>
                </c:pt>
                <c:pt idx="74">
                  <c:v>0.69346546424836608</c:v>
                </c:pt>
                <c:pt idx="75">
                  <c:v>0.69347958865784243</c:v>
                </c:pt>
                <c:pt idx="76">
                  <c:v>0.69349346963090119</c:v>
                </c:pt>
                <c:pt idx="77">
                  <c:v>0.69350710692066275</c:v>
                </c:pt>
                <c:pt idx="78">
                  <c:v>0.6935205007782631</c:v>
                </c:pt>
                <c:pt idx="79">
                  <c:v>0.69353365190968819</c:v>
                </c:pt>
                <c:pt idx="80">
                  <c:v>0.69354656143368332</c:v>
                </c:pt>
                <c:pt idx="81">
                  <c:v>0.69355923084122806</c:v>
                </c:pt>
                <c:pt idx="82">
                  <c:v>0.69357166195683595</c:v>
                </c:pt>
                <c:pt idx="83">
                  <c:v>0.69358385690195901</c:v>
                </c:pt>
                <c:pt idx="84">
                  <c:v>0.69359581806057113</c:v>
                </c:pt>
                <c:pt idx="85">
                  <c:v>0.69360754804706082</c:v>
                </c:pt>
                <c:pt idx="86">
                  <c:v>0.69361904967638888</c:v>
                </c:pt>
                <c:pt idx="87">
                  <c:v>0.69363032593652163</c:v>
                </c:pt>
                <c:pt idx="88">
                  <c:v>0.69364137996308317</c:v>
                </c:pt>
                <c:pt idx="89">
                  <c:v>0.69365221501613583</c:v>
                </c:pt>
                <c:pt idx="90">
                  <c:v>0.69366283445898524</c:v>
                </c:pt>
                <c:pt idx="91">
                  <c:v>0.69367324173892697</c:v>
                </c:pt>
                <c:pt idx="92">
                  <c:v>0.69368344036980467</c:v>
                </c:pt>
                <c:pt idx="93">
                  <c:v>0.69369343391626259</c:v>
                </c:pt>
                <c:pt idx="94">
                  <c:v>0.69370322597958234</c:v>
                </c:pt>
                <c:pt idx="95">
                  <c:v>0.69371282018499003</c:v>
                </c:pt>
                <c:pt idx="96">
                  <c:v>0.69372222017030472</c:v>
                </c:pt>
                <c:pt idx="97">
                  <c:v>0.69373142957583689</c:v>
                </c:pt>
                <c:pt idx="98">
                  <c:v>0.69374045203544332</c:v>
                </c:pt>
                <c:pt idx="99">
                  <c:v>0.69374929116859341</c:v>
                </c:pt>
                <c:pt idx="100">
                  <c:v>0.69375795057341372</c:v>
                </c:pt>
                <c:pt idx="101">
                  <c:v>0.69376643382059289</c:v>
                </c:pt>
                <c:pt idx="102">
                  <c:v>0.69377474444806009</c:v>
                </c:pt>
                <c:pt idx="103">
                  <c:v>0.69378288595638249</c:v>
                </c:pt>
                <c:pt idx="104">
                  <c:v>0.69379086180480987</c:v>
                </c:pt>
                <c:pt idx="105">
                  <c:v>0.69379867540788498</c:v>
                </c:pt>
                <c:pt idx="106">
                  <c:v>0.69380633013258752</c:v>
                </c:pt>
                <c:pt idx="107">
                  <c:v>0.69381382929593138</c:v>
                </c:pt>
                <c:pt idx="108">
                  <c:v>0.69382117616299366</c:v>
                </c:pt>
                <c:pt idx="109">
                  <c:v>0.69382837394531516</c:v>
                </c:pt>
                <c:pt idx="110">
                  <c:v>0.69383542579962521</c:v>
                </c:pt>
                <c:pt idx="111">
                  <c:v>0.6938423348268753</c:v>
                </c:pt>
                <c:pt idx="112">
                  <c:v>0.69384910407153488</c:v>
                </c:pt>
                <c:pt idx="113">
                  <c:v>0.69385573652111088</c:v>
                </c:pt>
                <c:pt idx="114">
                  <c:v>0.69386223510588474</c:v>
                </c:pt>
                <c:pt idx="115">
                  <c:v>0.6938686026988381</c:v>
                </c:pt>
                <c:pt idx="116">
                  <c:v>0.69387484211570982</c:v>
                </c:pt>
                <c:pt idx="117">
                  <c:v>0.69388095611523049</c:v>
                </c:pt>
                <c:pt idx="118">
                  <c:v>0.69388694739945223</c:v>
                </c:pt>
                <c:pt idx="119">
                  <c:v>0.69389281861419216</c:v>
                </c:pt>
                <c:pt idx="120">
                  <c:v>0.69389857234956787</c:v>
                </c:pt>
                <c:pt idx="121">
                  <c:v>0.69390421114062373</c:v>
                </c:pt>
                <c:pt idx="122">
                  <c:v>0.69390973746799545</c:v>
                </c:pt>
                <c:pt idx="123">
                  <c:v>0.69391515375866564</c:v>
                </c:pt>
                <c:pt idx="124">
                  <c:v>0.69392046238673843</c:v>
                </c:pt>
                <c:pt idx="125">
                  <c:v>0.69392566567427361</c:v>
                </c:pt>
                <c:pt idx="126">
                  <c:v>0.69393076589214198</c:v>
                </c:pt>
                <c:pt idx="127">
                  <c:v>0.69393576526090917</c:v>
                </c:pt>
                <c:pt idx="128">
                  <c:v>0.69394066595174164</c:v>
                </c:pt>
                <c:pt idx="129">
                  <c:v>0.69394547008732921</c:v>
                </c:pt>
                <c:pt idx="130">
                  <c:v>0.6939501797428077</c:v>
                </c:pt>
                <c:pt idx="131">
                  <c:v>0.69395479694670537</c:v>
                </c:pt>
                <c:pt idx="132">
                  <c:v>0.69395932368187196</c:v>
                </c:pt>
                <c:pt idx="133">
                  <c:v>0.69396376188643083</c:v>
                </c:pt>
                <c:pt idx="134">
                  <c:v>0.69396811345469978</c:v>
                </c:pt>
                <c:pt idx="135">
                  <c:v>0.69397238023814733</c:v>
                </c:pt>
                <c:pt idx="136">
                  <c:v>0.69397656404629648</c:v>
                </c:pt>
                <c:pt idx="137">
                  <c:v>0.6939806666476569</c:v>
                </c:pt>
                <c:pt idx="138">
                  <c:v>0.69398468977062278</c:v>
                </c:pt>
                <c:pt idx="139">
                  <c:v>0.6939886351043778</c:v>
                </c:pt>
                <c:pt idx="140">
                  <c:v>0.69399250429976989</c:v>
                </c:pt>
                <c:pt idx="141">
                  <c:v>0.69399629897019444</c:v>
                </c:pt>
                <c:pt idx="142">
                  <c:v>0.69400002069243683</c:v>
                </c:pt>
                <c:pt idx="143">
                  <c:v>0.69400367100753146</c:v>
                </c:pt>
                <c:pt idx="144">
                  <c:v>0.69400725142157071</c:v>
                </c:pt>
                <c:pt idx="145">
                  <c:v>0.69401076340653256</c:v>
                </c:pt>
                <c:pt idx="146">
                  <c:v>0.69401420840107342</c:v>
                </c:pt>
                <c:pt idx="147">
                  <c:v>0.69401758781130163</c:v>
                </c:pt>
                <c:pt idx="148">
                  <c:v>0.6940209030115565</c:v>
                </c:pt>
                <c:pt idx="149">
                  <c:v>0.69402415534513795</c:v>
                </c:pt>
                <c:pt idx="150">
                  <c:v>0.69402734612506067</c:v>
                </c:pt>
                <c:pt idx="151">
                  <c:v>0.69403047663475004</c:v>
                </c:pt>
                <c:pt idx="152">
                  <c:v>0.69403354812876605</c:v>
                </c:pt>
                <c:pt idx="153">
                  <c:v>0.69403656183346851</c:v>
                </c:pt>
                <c:pt idx="154">
                  <c:v>0.694039518947694</c:v>
                </c:pt>
                <c:pt idx="155">
                  <c:v>0.69404242064341592</c:v>
                </c:pt>
                <c:pt idx="156">
                  <c:v>0.69404526806637235</c:v>
                </c:pt>
                <c:pt idx="157">
                  <c:v>0.69404806233670269</c:v>
                </c:pt>
                <c:pt idx="158">
                  <c:v>0.69405080454954182</c:v>
                </c:pt>
                <c:pt idx="159">
                  <c:v>0.69405349577563324</c:v>
                </c:pt>
                <c:pt idx="160">
                  <c:v>0.69405613706188851</c:v>
                </c:pt>
                <c:pt idx="161">
                  <c:v>0.69405872943197222</c:v>
                </c:pt>
                <c:pt idx="162">
                  <c:v>0.6940612738868418</c:v>
                </c:pt>
                <c:pt idx="163">
                  <c:v>0.69406377140529407</c:v>
                </c:pt>
                <c:pt idx="164">
                  <c:v>0.69406622294448872</c:v>
                </c:pt>
                <c:pt idx="165">
                  <c:v>0.69406862944045666</c:v>
                </c:pt>
                <c:pt idx="166">
                  <c:v>0.69407099180861087</c:v>
                </c:pt>
                <c:pt idx="167">
                  <c:v>0.6940733109442262</c:v>
                </c:pt>
                <c:pt idx="168">
                  <c:v>0.69407558772291333</c:v>
                </c:pt>
                <c:pt idx="169">
                  <c:v>0.69407782300109289</c:v>
                </c:pt>
                <c:pt idx="170">
                  <c:v>0.69408001761643823</c:v>
                </c:pt>
                <c:pt idx="171">
                  <c:v>0.69408217238832193</c:v>
                </c:pt>
                <c:pt idx="172">
                  <c:v>0.6940842881182463</c:v>
                </c:pt>
                <c:pt idx="173">
                  <c:v>0.69408636559025882</c:v>
                </c:pt>
                <c:pt idx="174">
                  <c:v>0.69408840557136831</c:v>
                </c:pt>
                <c:pt idx="175">
                  <c:v>0.69409040881193484</c:v>
                </c:pt>
                <c:pt idx="176">
                  <c:v>0.69409237604606877</c:v>
                </c:pt>
                <c:pt idx="177">
                  <c:v>0.69409430799200522</c:v>
                </c:pt>
                <c:pt idx="178">
                  <c:v>0.6940962053524723</c:v>
                </c:pt>
                <c:pt idx="179">
                  <c:v>0.69409806881505332</c:v>
                </c:pt>
                <c:pt idx="180">
                  <c:v>0.69409989905254632</c:v>
                </c:pt>
                <c:pt idx="181">
                  <c:v>0.69410169672329369</c:v>
                </c:pt>
                <c:pt idx="182">
                  <c:v>0.6941034624715221</c:v>
                </c:pt>
                <c:pt idx="183">
                  <c:v>0.69410519692768102</c:v>
                </c:pt>
                <c:pt idx="184">
                  <c:v>0.69410690070873804</c:v>
                </c:pt>
                <c:pt idx="185">
                  <c:v>0.69410857441850948</c:v>
                </c:pt>
                <c:pt idx="186">
                  <c:v>0.69411021864794997</c:v>
                </c:pt>
                <c:pt idx="187">
                  <c:v>0.69411183397546217</c:v>
                </c:pt>
                <c:pt idx="188">
                  <c:v>0.69411342096716622</c:v>
                </c:pt>
                <c:pt idx="189">
                  <c:v>0.6941149801771952</c:v>
                </c:pt>
                <c:pt idx="190">
                  <c:v>0.69411651214796133</c:v>
                </c:pt>
                <c:pt idx="191">
                  <c:v>0.69411801741043055</c:v>
                </c:pt>
                <c:pt idx="192">
                  <c:v>0.69411949648437432</c:v>
                </c:pt>
                <c:pt idx="193">
                  <c:v>0.69412094987863038</c:v>
                </c:pt>
                <c:pt idx="194">
                  <c:v>0.69412237809135247</c:v>
                </c:pt>
                <c:pt idx="195">
                  <c:v>0.69412378161024402</c:v>
                </c:pt>
                <c:pt idx="196">
                  <c:v>0.69412516091280285</c:v>
                </c:pt>
                <c:pt idx="197">
                  <c:v>0.69412651646654788</c:v>
                </c:pt>
                <c:pt idx="198">
                  <c:v>0.69412784872924604</c:v>
                </c:pt>
                <c:pt idx="199">
                  <c:v>0.69412915814912723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47-4172-BC79-24CD96DC4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361904"/>
        <c:axId val="550363872"/>
      </c:lineChart>
      <c:catAx>
        <c:axId val="55036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0363872"/>
        <c:crosses val="autoZero"/>
        <c:auto val="1"/>
        <c:lblAlgn val="ctr"/>
        <c:lblOffset val="100"/>
        <c:noMultiLvlLbl val="0"/>
      </c:catAx>
      <c:valAx>
        <c:axId val="55036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036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Cross Entropy Evolution with MLP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'[1]CE MLP'!$A$1</c:f>
              <c:strCache>
                <c:ptCount val="1"/>
                <c:pt idx="0">
                  <c:v>0,807102959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'[1]CE MLP'!$A$2:$A$200</c:f>
              <c:numCache>
                <c:formatCode>General</c:formatCode>
                <c:ptCount val="199"/>
                <c:pt idx="0">
                  <c:v>0.80349753444113703</c:v>
                </c:pt>
                <c:pt idx="1">
                  <c:v>0.79982449989202831</c:v>
                </c:pt>
                <c:pt idx="2">
                  <c:v>0.79610140438116173</c:v>
                </c:pt>
                <c:pt idx="3">
                  <c:v>0.79234681382424221</c:v>
                </c:pt>
                <c:pt idx="4">
                  <c:v>0.78857987801340945</c:v>
                </c:pt>
                <c:pt idx="5">
                  <c:v>0.78481986938787485</c:v>
                </c:pt>
                <c:pt idx="6">
                  <c:v>0.78108571657585846</c:v>
                </c:pt>
                <c:pt idx="7">
                  <c:v>0.77739555800084825</c:v>
                </c:pt>
                <c:pt idx="8">
                  <c:v>0.77376634013163836</c:v>
                </c:pt>
                <c:pt idx="9">
                  <c:v>0.77021348121914635</c:v>
                </c:pt>
                <c:pt idx="10">
                  <c:v>0.76675061519984178</c:v>
                </c:pt>
                <c:pt idx="11">
                  <c:v>0.76338942306609603</c:v>
                </c:pt>
                <c:pt idx="12">
                  <c:v>0.7601395516552778</c:v>
                </c:pt>
                <c:pt idx="13">
                  <c:v>0.75700861344638581</c:v>
                </c:pt>
                <c:pt idx="14">
                  <c:v>0.75400225615300942</c:v>
                </c:pt>
                <c:pt idx="15">
                  <c:v>0.75112428790274799</c:v>
                </c:pt>
                <c:pt idx="16">
                  <c:v>0.74837684256134862</c:v>
                </c:pt>
                <c:pt idx="17">
                  <c:v>0.74576057006036012</c:v>
                </c:pt>
                <c:pt idx="18">
                  <c:v>0.74327483806217376</c:v>
                </c:pt>
                <c:pt idx="19">
                  <c:v>0.74091793354216329</c:v>
                </c:pt>
                <c:pt idx="20">
                  <c:v>0.73868725550083936</c:v>
                </c:pt>
                <c:pt idx="21">
                  <c:v>0.73657949271752765</c:v>
                </c:pt>
                <c:pt idx="22">
                  <c:v>0.73459078297430436</c:v>
                </c:pt>
                <c:pt idx="23">
                  <c:v>0.73271685233577899</c:v>
                </c:pt>
                <c:pt idx="24">
                  <c:v>0.73095313474438295</c:v>
                </c:pt>
                <c:pt idx="25">
                  <c:v>0.72929487331491261</c:v>
                </c:pt>
                <c:pt idx="26">
                  <c:v>0.72773720528666452</c:v>
                </c:pt>
                <c:pt idx="27">
                  <c:v>0.72627523269717453</c:v>
                </c:pt>
                <c:pt idx="28">
                  <c:v>0.72490408063115597</c:v>
                </c:pt>
                <c:pt idx="29">
                  <c:v>0.72361894455860165</c:v>
                </c:pt>
                <c:pt idx="30">
                  <c:v>0.72241512797116791</c:v>
                </c:pt>
                <c:pt idx="31">
                  <c:v>0.72128807134812922</c:v>
                </c:pt>
                <c:pt idx="32">
                  <c:v>0.72023337343991733</c:v>
                </c:pt>
                <c:pt idx="33">
                  <c:v>0.71924680589412582</c:v>
                </c:pt>
                <c:pt idx="34">
                  <c:v>0.71832432229431231</c:v>
                </c:pt>
                <c:pt idx="35">
                  <c:v>0.71746206268343304</c:v>
                </c:pt>
                <c:pt idx="36">
                  <c:v>0.71665635458354848</c:v>
                </c:pt>
                <c:pt idx="37">
                  <c:v>0.71590371141170961</c:v>
                </c:pt>
                <c:pt idx="38">
                  <c:v>0.71520082905202886</c:v>
                </c:pt>
                <c:pt idx="39">
                  <c:v>0.71454458119759023</c:v>
                </c:pt>
                <c:pt idx="40">
                  <c:v>0.71393201393688621</c:v>
                </c:pt>
                <c:pt idx="41">
                  <c:v>0.71336033993364623</c:v>
                </c:pt>
                <c:pt idx="42">
                  <c:v>0.71282693243643602</c:v>
                </c:pt>
                <c:pt idx="43">
                  <c:v>0.71232931925559984</c:v>
                </c:pt>
                <c:pt idx="44">
                  <c:v>0.7118651767606452</c:v>
                </c:pt>
                <c:pt idx="45">
                  <c:v>0.71143232388514965</c:v>
                </c:pt>
                <c:pt idx="46">
                  <c:v>0.71102871608300333</c:v>
                </c:pt>
                <c:pt idx="47">
                  <c:v>0.7106524391629202</c:v>
                </c:pt>
                <c:pt idx="48">
                  <c:v>0.71030170293737926</c:v>
                </c:pt>
                <c:pt idx="49">
                  <c:v>0.70997483465322042</c:v>
                </c:pt>
                <c:pt idx="50">
                  <c:v>0.70967027221550116</c:v>
                </c:pt>
                <c:pt idx="51">
                  <c:v>0.70938655726349331</c:v>
                </c:pt>
                <c:pt idx="52">
                  <c:v>0.70912232819840026</c:v>
                </c:pt>
                <c:pt idx="53">
                  <c:v>0.70887631328900991</c:v>
                </c:pt>
                <c:pt idx="54">
                  <c:v>0.70864732399135966</c:v>
                </c:pt>
                <c:pt idx="55">
                  <c:v>0.70843424861141058</c:v>
                </c:pt>
                <c:pt idx="56">
                  <c:v>0.70823604641913329</c:v>
                </c:pt>
                <c:pt idx="57">
                  <c:v>0.70805174229239942</c:v>
                </c:pt>
                <c:pt idx="58">
                  <c:v>0.70788042193436174</c:v>
                </c:pt>
                <c:pt idx="59">
                  <c:v>0.70772122767257772</c:v>
                </c:pt>
                <c:pt idx="60">
                  <c:v>0.70757335481541273</c:v>
                </c:pt>
                <c:pt idx="61">
                  <c:v>0.70743604851331099</c:v>
                </c:pt>
                <c:pt idx="62">
                  <c:v>0.70730860105135374</c:v>
                </c:pt>
                <c:pt idx="63">
                  <c:v>0.70719034948569925</c:v>
                </c:pt>
                <c:pt idx="64">
                  <c:v>0.70708067353069581</c:v>
                </c:pt>
                <c:pt idx="65">
                  <c:v>0.70697899360529826</c:v>
                </c:pt>
                <c:pt idx="66">
                  <c:v>0.70688476895631724</c:v>
                </c:pt>
                <c:pt idx="67">
                  <c:v>0.70679749579092532</c:v>
                </c:pt>
                <c:pt idx="68">
                  <c:v>0.70671670536970843</c:v>
                </c:pt>
                <c:pt idx="69">
                  <c:v>0.70664196203296004</c:v>
                </c:pt>
                <c:pt idx="70">
                  <c:v>0.70657286115419493</c:v>
                </c:pt>
                <c:pt idx="71">
                  <c:v>0.70650902703427854</c:v>
                </c:pt>
                <c:pt idx="72">
                  <c:v>0.70645011076522535</c:v>
                </c:pt>
                <c:pt idx="73">
                  <c:v>0.70639578810318693</c:v>
                </c:pt>
                <c:pt idx="74">
                  <c:v>0.70634575739504757</c:v>
                </c:pt>
                <c:pt idx="75">
                  <c:v>0.70629973760215525</c:v>
                </c:pt>
                <c:pt idx="76">
                  <c:v>0.70625746645904053</c:v>
                </c:pt>
                <c:pt idx="77">
                  <c:v>0.70621869879558841</c:v>
                </c:pt>
                <c:pt idx="78">
                  <c:v>0.70618320503971399</c:v>
                </c:pt>
                <c:pt idx="79">
                  <c:v>0.70615076990576142</c:v>
                </c:pt>
                <c:pt idx="80">
                  <c:v>0.70612119126301143</c:v>
                </c:pt>
                <c:pt idx="81">
                  <c:v>0.70609427916989542</c:v>
                </c:pt>
                <c:pt idx="82">
                  <c:v>0.70606985505345965</c:v>
                </c:pt>
                <c:pt idx="83">
                  <c:v>0.70604775101035311</c:v>
                </c:pt>
                <c:pt idx="84">
                  <c:v>0.70602780920493147</c:v>
                </c:pt>
                <c:pt idx="85">
                  <c:v>0.70600988134152254</c:v>
                </c:pt>
                <c:pt idx="86">
                  <c:v>0.70599382819062384</c:v>
                </c:pt>
                <c:pt idx="87">
                  <c:v>0.70597951915260404</c:v>
                </c:pt>
                <c:pt idx="88">
                  <c:v>0.70596683184618958</c:v>
                </c:pt>
                <c:pt idx="89">
                  <c:v>0.70595565171281216</c:v>
                </c:pt>
                <c:pt idx="90">
                  <c:v>0.70594587163106604</c:v>
                </c:pt>
                <c:pt idx="91">
                  <c:v>0.70593739153811053</c:v>
                </c:pt>
                <c:pt idx="92">
                  <c:v>0.70593011805685302</c:v>
                </c:pt>
                <c:pt idx="93">
                  <c:v>0.70592396412908642</c:v>
                </c:pt>
                <c:pt idx="94">
                  <c:v>0.70591884865553789</c:v>
                </c:pt>
                <c:pt idx="95">
                  <c:v>0.70591469614435443</c:v>
                </c:pt>
                <c:pt idx="96">
                  <c:v>0.70591143636950071</c:v>
                </c:pt>
                <c:pt idx="97">
                  <c:v>0.70590900404063495</c:v>
                </c:pt>
                <c:pt idx="98">
                  <c:v>0.70590733848570586</c:v>
                </c:pt>
                <c:pt idx="99">
                  <c:v>0.70590638334729017</c:v>
                </c:pt>
                <c:pt idx="100">
                  <c:v>0.705906086293421</c:v>
                </c:pt>
                <c:pt idx="101">
                  <c:v>0.70590639874330452</c:v>
                </c:pt>
                <c:pt idx="102">
                  <c:v>0.7059072756081437</c:v>
                </c:pt>
                <c:pt idx="103">
                  <c:v>0.7059086750469945</c:v>
                </c:pt>
                <c:pt idx="104">
                  <c:v>0.70591055823745419</c:v>
                </c:pt>
                <c:pt idx="105">
                  <c:v>0.70591288916078798</c:v>
                </c:pt>
                <c:pt idx="106">
                  <c:v>0.70591563440099281</c:v>
                </c:pt>
                <c:pt idx="107">
                  <c:v>0.70591876295729628</c:v>
                </c:pt>
                <c:pt idx="108">
                  <c:v>0.70592224606936715</c:v>
                </c:pt>
                <c:pt idx="109">
                  <c:v>0.70592605705468281</c:v>
                </c:pt>
                <c:pt idx="110">
                  <c:v>0.70593017115730494</c:v>
                </c:pt>
                <c:pt idx="111">
                  <c:v>0.70593456540745225</c:v>
                </c:pt>
                <c:pt idx="112">
                  <c:v>0.7059392184911486</c:v>
                </c:pt>
                <c:pt idx="113">
                  <c:v>0.70594411062934592</c:v>
                </c:pt>
                <c:pt idx="114">
                  <c:v>0.70594922346587652</c:v>
                </c:pt>
                <c:pt idx="115">
                  <c:v>0.705954539963632</c:v>
                </c:pt>
                <c:pt idx="116">
                  <c:v>0.70596004430840154</c:v>
                </c:pt>
                <c:pt idx="117">
                  <c:v>0.7059657218198403</c:v>
                </c:pt>
                <c:pt idx="118">
                  <c:v>0.7059715588690475</c:v>
                </c:pt>
                <c:pt idx="119">
                  <c:v>0.70597754280225977</c:v>
                </c:pt>
                <c:pt idx="120">
                  <c:v>0.70598366187025396</c:v>
                </c:pt>
                <c:pt idx="121">
                  <c:v>0.70598990516298599</c:v>
                </c:pt>
                <c:pt idx="122">
                  <c:v>0.70599626254912062</c:v>
                </c:pt>
                <c:pt idx="123">
                  <c:v>0.70600272462005054</c:v>
                </c:pt>
                <c:pt idx="124">
                  <c:v>0.70600928263809426</c:v>
                </c:pt>
                <c:pt idx="125">
                  <c:v>0.70601592848853889</c:v>
                </c:pt>
                <c:pt idx="126">
                  <c:v>0.70602265463525038</c:v>
                </c:pt>
                <c:pt idx="127">
                  <c:v>0.70602945407955153</c:v>
                </c:pt>
                <c:pt idx="128">
                  <c:v>0.70603632032216401</c:v>
                </c:pt>
                <c:pt idx="129">
                  <c:v>0.70604324732794788</c:v>
                </c:pt>
                <c:pt idx="130">
                  <c:v>0.70605022949322016</c:v>
                </c:pt>
                <c:pt idx="131">
                  <c:v>0.7060572616154871</c:v>
                </c:pt>
                <c:pt idx="132">
                  <c:v>0.70606433886537745</c:v>
                </c:pt>
                <c:pt idx="133">
                  <c:v>0.70607145676061778</c:v>
                </c:pt>
                <c:pt idx="134">
                  <c:v>0.70607861114190251</c:v>
                </c:pt>
                <c:pt idx="135">
                  <c:v>0.70608579815049233</c:v>
                </c:pt>
                <c:pt idx="136">
                  <c:v>0.70609301420745407</c:v>
                </c:pt>
                <c:pt idx="137">
                  <c:v>0.70610025599434589</c:v>
                </c:pt>
                <c:pt idx="138">
                  <c:v>0.70610752043531722</c:v>
                </c:pt>
                <c:pt idx="139">
                  <c:v>0.70611480468046339</c:v>
                </c:pt>
                <c:pt idx="140">
                  <c:v>0.70612210609036252</c:v>
                </c:pt>
                <c:pt idx="141">
                  <c:v>0.70612942222169628</c:v>
                </c:pt>
                <c:pt idx="142">
                  <c:v>0.70613675081388061</c:v>
                </c:pt>
                <c:pt idx="143">
                  <c:v>0.70614408977663268</c:v>
                </c:pt>
                <c:pt idx="144">
                  <c:v>0.70615143717839945</c:v>
                </c:pt>
                <c:pt idx="145">
                  <c:v>0.70615879123558112</c:v>
                </c:pt>
                <c:pt idx="146">
                  <c:v>0.70616615030250762</c:v>
                </c:pt>
                <c:pt idx="147">
                  <c:v>0.70617351286208341</c:v>
                </c:pt>
                <c:pt idx="148">
                  <c:v>0.70618087751708769</c:v>
                </c:pt>
                <c:pt idx="149">
                  <c:v>0.70618824298206184</c:v>
                </c:pt>
                <c:pt idx="150">
                  <c:v>0.70619560807572956</c:v>
                </c:pt>
                <c:pt idx="151">
                  <c:v>0.70620297171395119</c:v>
                </c:pt>
                <c:pt idx="152">
                  <c:v>0.70621033290313029</c:v>
                </c:pt>
                <c:pt idx="153">
                  <c:v>0.70621769073406948</c:v>
                </c:pt>
                <c:pt idx="154">
                  <c:v>0.70622504437623235</c:v>
                </c:pt>
                <c:pt idx="155">
                  <c:v>0.70623239307238439</c:v>
                </c:pt>
                <c:pt idx="156">
                  <c:v>0.70623973613358959</c:v>
                </c:pt>
                <c:pt idx="157">
                  <c:v>0.70624707293453481</c:v>
                </c:pt>
                <c:pt idx="158">
                  <c:v>0.70625440290916086</c:v>
                </c:pt>
                <c:pt idx="159">
                  <c:v>0.70626172554656974</c:v>
                </c:pt>
                <c:pt idx="160">
                  <c:v>0.70626904038721861</c:v>
                </c:pt>
                <c:pt idx="161">
                  <c:v>0.7062763470193405</c:v>
                </c:pt>
                <c:pt idx="162">
                  <c:v>0.70628364507560382</c:v>
                </c:pt>
                <c:pt idx="163">
                  <c:v>0.70629093422999578</c:v>
                </c:pt>
                <c:pt idx="164">
                  <c:v>0.70629821419488825</c:v>
                </c:pt>
                <c:pt idx="165">
                  <c:v>0.706305484718315</c:v>
                </c:pt>
                <c:pt idx="166">
                  <c:v>0.70631274558140134</c:v>
                </c:pt>
                <c:pt idx="167">
                  <c:v>0.70631999659597755</c:v>
                </c:pt>
                <c:pt idx="168">
                  <c:v>0.70632723760233029</c:v>
                </c:pt>
                <c:pt idx="169">
                  <c:v>0.70633446846711168</c:v>
                </c:pt>
                <c:pt idx="170">
                  <c:v>0.70634168908136596</c:v>
                </c:pt>
                <c:pt idx="171">
                  <c:v>0.70634889935869882</c:v>
                </c:pt>
                <c:pt idx="172">
                  <c:v>0.70635609923355092</c:v>
                </c:pt>
                <c:pt idx="173">
                  <c:v>0.70636328865959719</c:v>
                </c:pt>
                <c:pt idx="174">
                  <c:v>0.7063704676082192</c:v>
                </c:pt>
                <c:pt idx="175">
                  <c:v>0.70637763606711634</c:v>
                </c:pt>
                <c:pt idx="176">
                  <c:v>0.70638479403897547</c:v>
                </c:pt>
                <c:pt idx="177">
                  <c:v>0.70639194154023321</c:v>
                </c:pt>
                <c:pt idx="178">
                  <c:v>0.70639907859992379</c:v>
                </c:pt>
                <c:pt idx="179">
                  <c:v>0.70640620525859743</c:v>
                </c:pt>
                <c:pt idx="180">
                  <c:v>0.70641332156731451</c:v>
                </c:pt>
                <c:pt idx="181">
                  <c:v>0.70642042758668766</c:v>
                </c:pt>
                <c:pt idx="182">
                  <c:v>0.70642752338600923</c:v>
                </c:pt>
                <c:pt idx="183">
                  <c:v>0.70643460904242594</c:v>
                </c:pt>
                <c:pt idx="184">
                  <c:v>0.70644168464016421</c:v>
                </c:pt>
                <c:pt idx="185">
                  <c:v>0.70644875026981202</c:v>
                </c:pt>
                <c:pt idx="186">
                  <c:v>0.70645580602764357</c:v>
                </c:pt>
                <c:pt idx="187">
                  <c:v>0.70646285201500136</c:v>
                </c:pt>
                <c:pt idx="188">
                  <c:v>0.70646988833770497</c:v>
                </c:pt>
                <c:pt idx="189">
                  <c:v>0.70647691510550736</c:v>
                </c:pt>
                <c:pt idx="190">
                  <c:v>0.70648393243159147</c:v>
                </c:pt>
                <c:pt idx="191">
                  <c:v>0.70649094043209393</c:v>
                </c:pt>
                <c:pt idx="192">
                  <c:v>0.70649793922567206</c:v>
                </c:pt>
                <c:pt idx="193">
                  <c:v>0.7065049289330867</c:v>
                </c:pt>
                <c:pt idx="194">
                  <c:v>0.70651190967683919</c:v>
                </c:pt>
                <c:pt idx="195">
                  <c:v>0.70651888158080134</c:v>
                </c:pt>
                <c:pt idx="196">
                  <c:v>0.70652584476990854</c:v>
                </c:pt>
                <c:pt idx="197">
                  <c:v>0.70653279936984426</c:v>
                </c:pt>
                <c:pt idx="198">
                  <c:v>0.70653974550677034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D0-4BFC-9C0F-F90226F32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936280"/>
        <c:axId val="541935296"/>
      </c:lineChart>
      <c:catAx>
        <c:axId val="5419362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935296"/>
        <c:crosses val="autoZero"/>
        <c:auto val="1"/>
        <c:lblAlgn val="ctr"/>
        <c:lblOffset val="100"/>
        <c:noMultiLvlLbl val="0"/>
      </c:catAx>
      <c:valAx>
        <c:axId val="5419352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93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15</xdr:row>
          <xdr:rowOff>180975</xdr:rowOff>
        </xdr:from>
        <xdr:to>
          <xdr:col>17</xdr:col>
          <xdr:colOff>733425</xdr:colOff>
          <xdr:row>26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Remplissage tableau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288742</xdr:colOff>
      <xdr:row>28</xdr:row>
      <xdr:rowOff>136071</xdr:rowOff>
    </xdr:from>
    <xdr:to>
      <xdr:col>14</xdr:col>
      <xdr:colOff>54043</xdr:colOff>
      <xdr:row>31</xdr:row>
      <xdr:rowOff>21650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99217" y="5993946"/>
          <a:ext cx="4480176" cy="457079"/>
        </a:xfrm>
        <a:prstGeom prst="rect">
          <a:avLst/>
        </a:prstGeom>
      </xdr:spPr>
    </xdr:pic>
    <xdr:clientData/>
  </xdr:twoCellAnchor>
  <xdr:twoCellAnchor>
    <xdr:from>
      <xdr:col>10</xdr:col>
      <xdr:colOff>931818</xdr:colOff>
      <xdr:row>15</xdr:row>
      <xdr:rowOff>172903</xdr:rowOff>
    </xdr:from>
    <xdr:to>
      <xdr:col>13</xdr:col>
      <xdr:colOff>18143</xdr:colOff>
      <xdr:row>26</xdr:row>
      <xdr:rowOff>172357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723900</xdr:colOff>
      <xdr:row>19</xdr:row>
      <xdr:rowOff>9526</xdr:rowOff>
    </xdr:from>
    <xdr:to>
      <xdr:col>16</xdr:col>
      <xdr:colOff>580425</xdr:colOff>
      <xdr:row>23</xdr:row>
      <xdr:rowOff>104680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4010026"/>
          <a:ext cx="5333400" cy="857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38100</xdr:rowOff>
        </xdr:from>
        <xdr:to>
          <xdr:col>16</xdr:col>
          <xdr:colOff>200025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 AR GARCH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13</xdr:col>
          <xdr:colOff>0</xdr:colOff>
          <xdr:row>12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Confusion matrix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353786</xdr:colOff>
      <xdr:row>32</xdr:row>
      <xdr:rowOff>54428</xdr:rowOff>
    </xdr:from>
    <xdr:to>
      <xdr:col>11</xdr:col>
      <xdr:colOff>299358</xdr:colOff>
      <xdr:row>43</xdr:row>
      <xdr:rowOff>90713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580571</xdr:colOff>
      <xdr:row>32</xdr:row>
      <xdr:rowOff>36285</xdr:rowOff>
    </xdr:from>
    <xdr:to>
      <xdr:col>15</xdr:col>
      <xdr:colOff>381000</xdr:colOff>
      <xdr:row>43</xdr:row>
      <xdr:rowOff>99785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43</xdr:row>
          <xdr:rowOff>57150</xdr:rowOff>
        </xdr:from>
        <xdr:to>
          <xdr:col>4</xdr:col>
          <xdr:colOff>752475</xdr:colOff>
          <xdr:row>45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MLP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3</xdr:row>
      <xdr:rowOff>95250</xdr:rowOff>
    </xdr:from>
    <xdr:to>
      <xdr:col>12</xdr:col>
      <xdr:colOff>47625</xdr:colOff>
      <xdr:row>21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5</xdr:row>
      <xdr:rowOff>85725</xdr:rowOff>
    </xdr:from>
    <xdr:to>
      <xdr:col>11</xdr:col>
      <xdr:colOff>38100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685800</xdr:colOff>
      <xdr:row>6</xdr:row>
      <xdr:rowOff>180975</xdr:rowOff>
    </xdr:from>
    <xdr:to>
      <xdr:col>21</xdr:col>
      <xdr:colOff>718454</xdr:colOff>
      <xdr:row>27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29800" y="1323975"/>
          <a:ext cx="6890654" cy="3962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kas/Documents/ESILV/ESILV%20A4/VBA/Projet-VBA-Thibault-LE-SQUERENT-Cl&#199;ment-DAVI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"/>
      <sheetName val="AR_GARCH_VBA"/>
      <sheetName val="AR GARCH Manuel"/>
      <sheetName val="Data Google"/>
      <sheetName val="AG-I"/>
      <sheetName val="AG-Dynamique"/>
      <sheetName val="CE MLP"/>
      <sheetName val="CE Simple"/>
    </sheetNames>
    <sheetDataSet>
      <sheetData sheetId="0"/>
      <sheetData sheetId="1"/>
      <sheetData sheetId="2">
        <row r="3">
          <cell r="F3" t="str">
            <v>residual of the AR part</v>
          </cell>
        </row>
        <row r="5">
          <cell r="B5">
            <v>40182</v>
          </cell>
        </row>
        <row r="6">
          <cell r="B6">
            <v>40183</v>
          </cell>
        </row>
        <row r="7">
          <cell r="B7">
            <v>40184</v>
          </cell>
        </row>
        <row r="8">
          <cell r="B8">
            <v>40185</v>
          </cell>
          <cell r="F8">
            <v>5.0111330740536288E-3</v>
          </cell>
        </row>
        <row r="9">
          <cell r="B9">
            <v>40186</v>
          </cell>
          <cell r="F9">
            <v>1.7392520056478691E-2</v>
          </cell>
        </row>
        <row r="10">
          <cell r="B10">
            <v>40189</v>
          </cell>
          <cell r="F10">
            <v>1.2367277683248816E-2</v>
          </cell>
        </row>
        <row r="11">
          <cell r="B11">
            <v>40190</v>
          </cell>
          <cell r="F11">
            <v>-3.4024824603083051E-2</v>
          </cell>
        </row>
        <row r="12">
          <cell r="B12">
            <v>40191</v>
          </cell>
          <cell r="F12">
            <v>3.5837190397616542E-2</v>
          </cell>
        </row>
        <row r="13">
          <cell r="B13">
            <v>40192</v>
          </cell>
          <cell r="F13">
            <v>-1.7848613906613978E-2</v>
          </cell>
        </row>
        <row r="14">
          <cell r="B14">
            <v>40193</v>
          </cell>
          <cell r="F14">
            <v>-2.300508154720704E-2</v>
          </cell>
        </row>
        <row r="15">
          <cell r="B15">
            <v>40197</v>
          </cell>
          <cell r="F15">
            <v>9.5381098603622809E-3</v>
          </cell>
        </row>
        <row r="16">
          <cell r="B16">
            <v>40198</v>
          </cell>
          <cell r="F16">
            <v>-6.4252525750924105E-3</v>
          </cell>
        </row>
        <row r="17">
          <cell r="B17">
            <v>40199</v>
          </cell>
          <cell r="F17">
            <v>3.9860683376169784E-4</v>
          </cell>
        </row>
        <row r="18">
          <cell r="B18">
            <v>40200</v>
          </cell>
          <cell r="F18">
            <v>-5.0035916727928474E-2</v>
          </cell>
        </row>
        <row r="19">
          <cell r="B19">
            <v>40203</v>
          </cell>
          <cell r="F19">
            <v>-8.0905207049305969E-3</v>
          </cell>
        </row>
        <row r="20">
          <cell r="B20">
            <v>40204</v>
          </cell>
          <cell r="F20">
            <v>-7.6105635938593834E-3</v>
          </cell>
        </row>
        <row r="21">
          <cell r="B21">
            <v>40205</v>
          </cell>
          <cell r="F21">
            <v>9.6906013032615843E-3</v>
          </cell>
        </row>
        <row r="22">
          <cell r="B22">
            <v>40206</v>
          </cell>
          <cell r="F22">
            <v>-2.0062787856823791E-2</v>
          </cell>
        </row>
        <row r="23">
          <cell r="B23">
            <v>40207</v>
          </cell>
          <cell r="F23">
            <v>-1.2413966857955615E-2</v>
          </cell>
        </row>
        <row r="24">
          <cell r="B24">
            <v>40210</v>
          </cell>
          <cell r="F24">
            <v>4.5826987184474123E-4</v>
          </cell>
        </row>
        <row r="25">
          <cell r="B25">
            <v>40211</v>
          </cell>
          <cell r="F25">
            <v>5.1256566806882464E-3</v>
          </cell>
        </row>
        <row r="26">
          <cell r="B26">
            <v>40212</v>
          </cell>
          <cell r="F26">
            <v>2.5711599910658408E-2</v>
          </cell>
        </row>
        <row r="27">
          <cell r="B27">
            <v>40213</v>
          </cell>
          <cell r="F27">
            <v>-5.2397123855905947E-2</v>
          </cell>
        </row>
        <row r="28">
          <cell r="B28">
            <v>40214</v>
          </cell>
          <cell r="F28">
            <v>-1.3619693343251036E-2</v>
          </cell>
        </row>
        <row r="29">
          <cell r="B29">
            <v>40217</v>
          </cell>
          <cell r="F29">
            <v>1.5564902329291055E-2</v>
          </cell>
        </row>
        <row r="30">
          <cell r="B30">
            <v>40218</v>
          </cell>
          <cell r="F30">
            <v>-4.7798126035325343E-5</v>
          </cell>
        </row>
        <row r="31">
          <cell r="B31">
            <v>40219</v>
          </cell>
          <cell r="F31">
            <v>-1.9444938526138676E-3</v>
          </cell>
        </row>
        <row r="32">
          <cell r="B32">
            <v>40220</v>
          </cell>
          <cell r="F32">
            <v>1.1848468520534493E-2</v>
          </cell>
        </row>
        <row r="33">
          <cell r="B33">
            <v>40221</v>
          </cell>
          <cell r="F33">
            <v>-3.0021710411178248E-2</v>
          </cell>
        </row>
        <row r="34">
          <cell r="B34">
            <v>40225</v>
          </cell>
          <cell r="F34">
            <v>4.8704698531034339E-2</v>
          </cell>
        </row>
        <row r="35">
          <cell r="B35">
            <v>40226</v>
          </cell>
          <cell r="F35">
            <v>1.3565979054947958E-2</v>
          </cell>
        </row>
        <row r="36">
          <cell r="B36">
            <v>40227</v>
          </cell>
          <cell r="F36">
            <v>-6.3995840208646553E-3</v>
          </cell>
        </row>
        <row r="37">
          <cell r="B37">
            <v>40228</v>
          </cell>
          <cell r="F37">
            <v>6.1027022112779359E-4</v>
          </cell>
        </row>
        <row r="38">
          <cell r="B38">
            <v>40231</v>
          </cell>
          <cell r="F38">
            <v>5.6900562902512976E-4</v>
          </cell>
        </row>
        <row r="39">
          <cell r="B39">
            <v>40232</v>
          </cell>
          <cell r="F39">
            <v>-1.5829040541900791E-2</v>
          </cell>
        </row>
        <row r="40">
          <cell r="B40">
            <v>40233</v>
          </cell>
          <cell r="F40">
            <v>-1.7148411838157449E-2</v>
          </cell>
        </row>
        <row r="41">
          <cell r="B41">
            <v>40234</v>
          </cell>
          <cell r="F41">
            <v>-3.9737911996309975E-3</v>
          </cell>
        </row>
        <row r="42">
          <cell r="B42">
            <v>40235</v>
          </cell>
          <cell r="F42">
            <v>2.8937867127826495E-3</v>
          </cell>
        </row>
        <row r="43">
          <cell r="B43">
            <v>40238</v>
          </cell>
          <cell r="F43">
            <v>-1.7756741360168901E-3</v>
          </cell>
        </row>
        <row r="44">
          <cell r="B44">
            <v>40239</v>
          </cell>
          <cell r="F44">
            <v>4.6436679632786755E-2</v>
          </cell>
        </row>
        <row r="45">
          <cell r="B45">
            <v>40240</v>
          </cell>
          <cell r="F45">
            <v>5.6029906930310834E-3</v>
          </cell>
        </row>
        <row r="46">
          <cell r="B46">
            <v>40241</v>
          </cell>
          <cell r="F46">
            <v>1.3410554341943982E-2</v>
          </cell>
        </row>
        <row r="47">
          <cell r="B47">
            <v>40242</v>
          </cell>
          <cell r="F47">
            <v>-4.6404549853562328E-3</v>
          </cell>
        </row>
        <row r="48">
          <cell r="B48">
            <v>40245</v>
          </cell>
          <cell r="F48">
            <v>4.6955836992278691E-2</v>
          </cell>
        </row>
        <row r="49">
          <cell r="B49">
            <v>40246</v>
          </cell>
          <cell r="F49">
            <v>1.0716933240409792E-3</v>
          </cell>
        </row>
        <row r="50">
          <cell r="B50">
            <v>40247</v>
          </cell>
          <cell r="F50">
            <v>3.7922534841558518E-2</v>
          </cell>
        </row>
        <row r="51">
          <cell r="B51">
            <v>40248</v>
          </cell>
          <cell r="F51">
            <v>1.964362173752119E-2</v>
          </cell>
        </row>
        <row r="52">
          <cell r="B52">
            <v>40249</v>
          </cell>
          <cell r="F52">
            <v>2.0345540615327791E-2</v>
          </cell>
        </row>
        <row r="53">
          <cell r="B53">
            <v>40252</v>
          </cell>
          <cell r="F53">
            <v>2.3043851054424178E-3</v>
          </cell>
        </row>
        <row r="54">
          <cell r="B54">
            <v>40253</v>
          </cell>
          <cell r="F54">
            <v>-7.8444572242287632E-3</v>
          </cell>
        </row>
        <row r="55">
          <cell r="B55">
            <v>40254</v>
          </cell>
          <cell r="F55">
            <v>1.1481218424433197E-2</v>
          </cell>
        </row>
        <row r="56">
          <cell r="B56">
            <v>40255</v>
          </cell>
          <cell r="F56">
            <v>1.6392182648966391E-3</v>
          </cell>
        </row>
        <row r="57">
          <cell r="B57">
            <v>40256</v>
          </cell>
          <cell r="F57">
            <v>-3.9250847534860397E-4</v>
          </cell>
        </row>
        <row r="58">
          <cell r="B58">
            <v>40259</v>
          </cell>
          <cell r="F58">
            <v>-1.5006516361831179E-3</v>
          </cell>
        </row>
        <row r="59">
          <cell r="B59">
            <v>40260</v>
          </cell>
          <cell r="F59">
            <v>6.5442626942704193E-3</v>
          </cell>
        </row>
        <row r="60">
          <cell r="B60">
            <v>40261</v>
          </cell>
          <cell r="F60">
            <v>8.0839040107195167E-3</v>
          </cell>
        </row>
        <row r="61">
          <cell r="B61">
            <v>40262</v>
          </cell>
          <cell r="F61">
            <v>3.0458529187872681E-2</v>
          </cell>
        </row>
        <row r="62">
          <cell r="B62">
            <v>40263</v>
          </cell>
          <cell r="F62">
            <v>-3.6950586707106499E-2</v>
          </cell>
        </row>
        <row r="63">
          <cell r="B63">
            <v>40266</v>
          </cell>
          <cell r="F63">
            <v>2.5329751703678797E-2</v>
          </cell>
        </row>
        <row r="64">
          <cell r="B64">
            <v>40267</v>
          </cell>
          <cell r="F64">
            <v>1.7479510367945719E-2</v>
          </cell>
        </row>
        <row r="65">
          <cell r="B65">
            <v>40268</v>
          </cell>
          <cell r="F65">
            <v>-2.9276125474380983E-3</v>
          </cell>
        </row>
        <row r="66">
          <cell r="B66">
            <v>40269</v>
          </cell>
          <cell r="F66">
            <v>-5.0127529924123386E-3</v>
          </cell>
        </row>
        <row r="67">
          <cell r="B67">
            <v>40273</v>
          </cell>
          <cell r="F67">
            <v>1.5013737389373196E-3</v>
          </cell>
        </row>
        <row r="68">
          <cell r="B68">
            <v>40274</v>
          </cell>
          <cell r="F68">
            <v>-8.5854985429250456E-3</v>
          </cell>
        </row>
        <row r="69">
          <cell r="B69">
            <v>40275</v>
          </cell>
          <cell r="F69">
            <v>-1.5140121360198879E-2</v>
          </cell>
        </row>
        <row r="70">
          <cell r="B70">
            <v>40276</v>
          </cell>
          <cell r="F70">
            <v>1.6580304617234694E-2</v>
          </cell>
        </row>
        <row r="71">
          <cell r="B71">
            <v>40277</v>
          </cell>
          <cell r="F71">
            <v>9.6258255117888623E-3</v>
          </cell>
        </row>
        <row r="72">
          <cell r="B72">
            <v>40280</v>
          </cell>
          <cell r="F72">
            <v>9.4186567052226555E-3</v>
          </cell>
        </row>
        <row r="73">
          <cell r="B73">
            <v>40281</v>
          </cell>
          <cell r="F73">
            <v>2.1141940829659991E-2</v>
          </cell>
        </row>
        <row r="74">
          <cell r="B74">
            <v>40282</v>
          </cell>
          <cell r="F74">
            <v>-1.7175539907638912E-3</v>
          </cell>
        </row>
        <row r="75">
          <cell r="B75">
            <v>40283</v>
          </cell>
          <cell r="F75">
            <v>5.141176717585438E-3</v>
          </cell>
        </row>
        <row r="76">
          <cell r="B76">
            <v>40284</v>
          </cell>
          <cell r="F76">
            <v>-4.5358161245695014E-2</v>
          </cell>
        </row>
        <row r="77">
          <cell r="B77">
            <v>40287</v>
          </cell>
          <cell r="F77">
            <v>4.2188163700225207E-3</v>
          </cell>
        </row>
        <row r="78">
          <cell r="B78">
            <v>40288</v>
          </cell>
          <cell r="F78">
            <v>3.2044305306564012E-2</v>
          </cell>
        </row>
        <row r="79">
          <cell r="B79">
            <v>40289</v>
          </cell>
          <cell r="F79">
            <v>-2.2428159326932626E-2</v>
          </cell>
        </row>
        <row r="80">
          <cell r="B80">
            <v>40290</v>
          </cell>
          <cell r="F80">
            <v>-4.741701494572325E-4</v>
          </cell>
        </row>
        <row r="81">
          <cell r="B81">
            <v>40291</v>
          </cell>
          <cell r="F81">
            <v>2.3008598506928444E-3</v>
          </cell>
        </row>
        <row r="82">
          <cell r="B82">
            <v>40294</v>
          </cell>
          <cell r="F82">
            <v>-2.9747186399540458E-2</v>
          </cell>
        </row>
        <row r="83">
          <cell r="B83">
            <v>40295</v>
          </cell>
          <cell r="F83">
            <v>-1.8481019066768464E-3</v>
          </cell>
        </row>
        <row r="84">
          <cell r="B84">
            <v>40296</v>
          </cell>
          <cell r="F84">
            <v>1.3038588522991695E-2</v>
          </cell>
        </row>
        <row r="85">
          <cell r="B85">
            <v>40297</v>
          </cell>
          <cell r="F85">
            <v>5.1360306148218633E-3</v>
          </cell>
        </row>
        <row r="86">
          <cell r="B86">
            <v>40298</v>
          </cell>
          <cell r="F86">
            <v>-3.6765240825452645E-3</v>
          </cell>
        </row>
        <row r="87">
          <cell r="B87">
            <v>40301</v>
          </cell>
          <cell r="F87">
            <v>1.2449975810422745E-3</v>
          </cell>
        </row>
        <row r="88">
          <cell r="B88">
            <v>40302</v>
          </cell>
          <cell r="F88">
            <v>-3.2241940146859258E-2</v>
          </cell>
        </row>
        <row r="89">
          <cell r="B89">
            <v>40303</v>
          </cell>
          <cell r="F89">
            <v>9.0505374587626745E-3</v>
          </cell>
        </row>
        <row r="90">
          <cell r="B90">
            <v>40304</v>
          </cell>
          <cell r="F90">
            <v>-7.6504672841230109E-4</v>
          </cell>
        </row>
        <row r="91">
          <cell r="B91">
            <v>40305</v>
          </cell>
          <cell r="F91">
            <v>-1.6397652633932672E-2</v>
          </cell>
        </row>
        <row r="92">
          <cell r="B92">
            <v>40308</v>
          </cell>
          <cell r="F92">
            <v>7.108062663901725E-2</v>
          </cell>
        </row>
        <row r="93">
          <cell r="B93">
            <v>40309</v>
          </cell>
          <cell r="F93">
            <v>-3.0624846640207017E-2</v>
          </cell>
        </row>
        <row r="94">
          <cell r="B94">
            <v>40310</v>
          </cell>
          <cell r="F94">
            <v>-2.0219281608943152E-2</v>
          </cell>
        </row>
        <row r="95">
          <cell r="B95">
            <v>40311</v>
          </cell>
          <cell r="F95">
            <v>2.6285075542824943E-2</v>
          </cell>
        </row>
        <row r="96">
          <cell r="B96">
            <v>40312</v>
          </cell>
          <cell r="F96">
            <v>-1.1706125780092379E-2</v>
          </cell>
        </row>
        <row r="97">
          <cell r="B97">
            <v>40315</v>
          </cell>
          <cell r="F97">
            <v>6.3046284991149226E-3</v>
          </cell>
        </row>
        <row r="98">
          <cell r="B98">
            <v>40316</v>
          </cell>
          <cell r="F98">
            <v>3.8405833381252967E-3</v>
          </cell>
        </row>
        <row r="99">
          <cell r="B99">
            <v>40317</v>
          </cell>
          <cell r="F99">
            <v>2.24720701030688E-2</v>
          </cell>
        </row>
        <row r="100">
          <cell r="B100">
            <v>40318</v>
          </cell>
          <cell r="F100">
            <v>-4.3684632569742317E-2</v>
          </cell>
        </row>
        <row r="101">
          <cell r="B101">
            <v>40319</v>
          </cell>
          <cell r="F101">
            <v>-1.453888425218609E-2</v>
          </cell>
        </row>
        <row r="102">
          <cell r="B102">
            <v>40322</v>
          </cell>
          <cell r="F102">
            <v>2.6276728052333644E-2</v>
          </cell>
        </row>
        <row r="103">
          <cell r="B103">
            <v>40323</v>
          </cell>
          <cell r="F103">
            <v>2.8594449811288926E-3</v>
          </cell>
        </row>
        <row r="104">
          <cell r="B104">
            <v>40324</v>
          </cell>
          <cell r="F104">
            <v>-9.933039124743406E-3</v>
          </cell>
        </row>
        <row r="105">
          <cell r="B105">
            <v>40325</v>
          </cell>
          <cell r="F105">
            <v>3.5736775776260783E-2</v>
          </cell>
        </row>
        <row r="106">
          <cell r="B106">
            <v>40326</v>
          </cell>
          <cell r="F106">
            <v>-9.8640448549002866E-3</v>
          </cell>
        </row>
        <row r="107">
          <cell r="B107">
            <v>40330</v>
          </cell>
          <cell r="F107">
            <v>-2.2071217126548394E-2</v>
          </cell>
        </row>
        <row r="108">
          <cell r="B108">
            <v>40331</v>
          </cell>
          <cell r="F108">
            <v>3.4116162303175143E-2</v>
          </cell>
        </row>
        <row r="109">
          <cell r="B109">
            <v>40332</v>
          </cell>
          <cell r="F109">
            <v>-6.9512544904485885E-3</v>
          </cell>
        </row>
        <row r="110">
          <cell r="B110">
            <v>40333</v>
          </cell>
          <cell r="F110">
            <v>-2.0338076328227789E-2</v>
          </cell>
        </row>
        <row r="111">
          <cell r="B111">
            <v>40336</v>
          </cell>
          <cell r="F111">
            <v>-4.0214286063711968E-2</v>
          </cell>
        </row>
        <row r="112">
          <cell r="B112">
            <v>40337</v>
          </cell>
          <cell r="F112">
            <v>1.1186201698857007E-2</v>
          </cell>
        </row>
        <row r="113">
          <cell r="B113">
            <v>40338</v>
          </cell>
          <cell r="F113">
            <v>-4.4220007778586097E-3</v>
          </cell>
        </row>
        <row r="114">
          <cell r="B114">
            <v>40339</v>
          </cell>
          <cell r="F114">
            <v>2.8863215602214824E-2</v>
          </cell>
        </row>
        <row r="115">
          <cell r="B115">
            <v>40340</v>
          </cell>
          <cell r="F115">
            <v>6.2691978090026858E-3</v>
          </cell>
        </row>
        <row r="116">
          <cell r="B116">
            <v>40343</v>
          </cell>
          <cell r="F116">
            <v>1.6870474428235773E-2</v>
          </cell>
        </row>
        <row r="117">
          <cell r="B117">
            <v>40344</v>
          </cell>
          <cell r="F117">
            <v>2.6759254037223599E-2</v>
          </cell>
        </row>
        <row r="118">
          <cell r="B118">
            <v>40345</v>
          </cell>
          <cell r="F118">
            <v>2.3482213780121157E-2</v>
          </cell>
        </row>
        <row r="119">
          <cell r="B119">
            <v>40346</v>
          </cell>
          <cell r="F119">
            <v>-5.8679795439290777E-2</v>
          </cell>
        </row>
        <row r="120">
          <cell r="B120">
            <v>40347</v>
          </cell>
          <cell r="F120">
            <v>-3.745766176329832E-3</v>
          </cell>
        </row>
        <row r="121">
          <cell r="B121">
            <v>40350</v>
          </cell>
          <cell r="F121">
            <v>-1.0482802486076005E-2</v>
          </cell>
        </row>
        <row r="122">
          <cell r="B122">
            <v>40351</v>
          </cell>
          <cell r="F122">
            <v>-8.7465785871904157E-3</v>
          </cell>
        </row>
        <row r="123">
          <cell r="B123">
            <v>40352</v>
          </cell>
          <cell r="F123">
            <v>1.1530626258736661E-2</v>
          </cell>
        </row>
        <row r="124">
          <cell r="B124">
            <v>40353</v>
          </cell>
          <cell r="F124">
            <v>-1.3150983572223413E-2</v>
          </cell>
        </row>
        <row r="125">
          <cell r="B125">
            <v>40354</v>
          </cell>
          <cell r="F125">
            <v>-4.9732058900716246E-3</v>
          </cell>
        </row>
        <row r="126">
          <cell r="B126">
            <v>40357</v>
          </cell>
          <cell r="F126">
            <v>-9.5151345494353962E-4</v>
          </cell>
        </row>
        <row r="127">
          <cell r="B127">
            <v>40358</v>
          </cell>
          <cell r="F127">
            <v>-3.9382846082240831E-2</v>
          </cell>
        </row>
        <row r="128">
          <cell r="B128">
            <v>40359</v>
          </cell>
          <cell r="F128">
            <v>-2.7207385627851726E-2</v>
          </cell>
        </row>
        <row r="129">
          <cell r="B129">
            <v>40360</v>
          </cell>
          <cell r="F129">
            <v>-2.0902378043791699E-2</v>
          </cell>
        </row>
        <row r="130">
          <cell r="B130">
            <v>40361</v>
          </cell>
          <cell r="F130">
            <v>2.527073088105198E-2</v>
          </cell>
        </row>
        <row r="131">
          <cell r="B131">
            <v>40365</v>
          </cell>
          <cell r="F131">
            <v>-2.4382119871171623E-3</v>
          </cell>
        </row>
        <row r="132">
          <cell r="B132">
            <v>40366</v>
          </cell>
          <cell r="F132">
            <v>2.1493989186369987E-2</v>
          </cell>
        </row>
        <row r="133">
          <cell r="B133">
            <v>40367</v>
          </cell>
          <cell r="F133">
            <v>1.2792134936264453E-2</v>
          </cell>
        </row>
        <row r="134">
          <cell r="B134">
            <v>40368</v>
          </cell>
          <cell r="F134">
            <v>6.4923901878036344E-3</v>
          </cell>
        </row>
        <row r="135">
          <cell r="B135">
            <v>40371</v>
          </cell>
          <cell r="F135">
            <v>1.9526997613508769E-2</v>
          </cell>
        </row>
        <row r="136">
          <cell r="B136">
            <v>40372</v>
          </cell>
          <cell r="F136">
            <v>1.8897216129521097E-3</v>
          </cell>
        </row>
        <row r="137">
          <cell r="B137">
            <v>40373</v>
          </cell>
          <cell r="F137">
            <v>-2.2541392893641793E-2</v>
          </cell>
        </row>
        <row r="138">
          <cell r="B138">
            <v>40374</v>
          </cell>
          <cell r="F138">
            <v>-2.9631059098618032E-2</v>
          </cell>
        </row>
        <row r="139">
          <cell r="B139">
            <v>40375</v>
          </cell>
          <cell r="F139">
            <v>-0.10240205090864715</v>
          </cell>
        </row>
        <row r="140">
          <cell r="B140">
            <v>40378</v>
          </cell>
          <cell r="F140">
            <v>-1.5712568015902248E-2</v>
          </cell>
        </row>
        <row r="141">
          <cell r="B141">
            <v>40379</v>
          </cell>
          <cell r="F141">
            <v>8.0433228781328386E-2</v>
          </cell>
        </row>
        <row r="142">
          <cell r="B142">
            <v>40380</v>
          </cell>
          <cell r="F142">
            <v>-2.0340122292706295E-2</v>
          </cell>
        </row>
        <row r="143">
          <cell r="B143">
            <v>40381</v>
          </cell>
          <cell r="F143">
            <v>-7.282535529542486E-3</v>
          </cell>
        </row>
        <row r="144">
          <cell r="B144">
            <v>40382</v>
          </cell>
          <cell r="F144">
            <v>6.6205348038091388E-2</v>
          </cell>
        </row>
        <row r="145">
          <cell r="B145">
            <v>40385</v>
          </cell>
          <cell r="F145">
            <v>-0.11528916694263133</v>
          </cell>
        </row>
        <row r="146">
          <cell r="B146">
            <v>40386</v>
          </cell>
          <cell r="F146">
            <v>-3.2929577677341684E-2</v>
          </cell>
        </row>
        <row r="147">
          <cell r="B147">
            <v>40387</v>
          </cell>
          <cell r="F147">
            <v>-2.5993590925206183E-2</v>
          </cell>
        </row>
        <row r="148">
          <cell r="B148">
            <v>40388</v>
          </cell>
          <cell r="F148">
            <v>1.3477198803899757E-2</v>
          </cell>
        </row>
        <row r="149">
          <cell r="B149">
            <v>40389</v>
          </cell>
          <cell r="F149">
            <v>5.5312930692963027E-3</v>
          </cell>
        </row>
        <row r="150">
          <cell r="B150">
            <v>40392</v>
          </cell>
          <cell r="F150">
            <v>1.4646480711387454E-2</v>
          </cell>
        </row>
        <row r="151">
          <cell r="B151">
            <v>40393</v>
          </cell>
          <cell r="F151">
            <v>5.3959023837434907E-4</v>
          </cell>
        </row>
        <row r="152">
          <cell r="B152">
            <v>40394</v>
          </cell>
          <cell r="F152">
            <v>2.5655179024872729E-2</v>
          </cell>
        </row>
        <row r="153">
          <cell r="B153">
            <v>40395</v>
          </cell>
          <cell r="F153">
            <v>-5.8822523058284174E-3</v>
          </cell>
        </row>
        <row r="154">
          <cell r="B154">
            <v>40396</v>
          </cell>
          <cell r="F154">
            <v>7.3591030236665241E-3</v>
          </cell>
        </row>
        <row r="155">
          <cell r="B155">
            <v>40399</v>
          </cell>
          <cell r="F155">
            <v>3.1546136354866181E-2</v>
          </cell>
        </row>
        <row r="156">
          <cell r="B156">
            <v>40400</v>
          </cell>
          <cell r="F156">
            <v>6.8328751242653068E-3</v>
          </cell>
        </row>
        <row r="157">
          <cell r="B157">
            <v>40401</v>
          </cell>
          <cell r="F157">
            <v>-3.1720677248895067E-2</v>
          </cell>
        </row>
        <row r="158">
          <cell r="B158">
            <v>40402</v>
          </cell>
          <cell r="F158">
            <v>1.5687744814266106E-3</v>
          </cell>
        </row>
        <row r="159">
          <cell r="B159">
            <v>40403</v>
          </cell>
          <cell r="F159">
            <v>-4.9498867285477852E-3</v>
          </cell>
        </row>
        <row r="160">
          <cell r="B160">
            <v>40406</v>
          </cell>
          <cell r="F160">
            <v>-3.3805095206067629E-4</v>
          </cell>
        </row>
        <row r="161">
          <cell r="B161">
            <v>40407</v>
          </cell>
          <cell r="F161">
            <v>1.8153568789259104E-2</v>
          </cell>
        </row>
        <row r="162">
          <cell r="B162">
            <v>40408</v>
          </cell>
          <cell r="F162">
            <v>-1.5296965257455875E-2</v>
          </cell>
        </row>
        <row r="163">
          <cell r="B163">
            <v>40409</v>
          </cell>
          <cell r="F163">
            <v>-3.6675832678526407E-2</v>
          </cell>
        </row>
        <row r="164">
          <cell r="B164">
            <v>40410</v>
          </cell>
          <cell r="F164">
            <v>-1.8073767452592839E-2</v>
          </cell>
        </row>
        <row r="165">
          <cell r="B165">
            <v>40413</v>
          </cell>
          <cell r="F165">
            <v>3.4011399482046317E-2</v>
          </cell>
        </row>
        <row r="166">
          <cell r="B166">
            <v>40414</v>
          </cell>
          <cell r="F166">
            <v>-1.8411334216787416E-2</v>
          </cell>
        </row>
        <row r="167">
          <cell r="B167">
            <v>40415</v>
          </cell>
          <cell r="F167">
            <v>-5.2480586792400053E-3</v>
          </cell>
        </row>
        <row r="168">
          <cell r="B168">
            <v>40416</v>
          </cell>
          <cell r="F168">
            <v>5.6460771367739387E-2</v>
          </cell>
        </row>
        <row r="169">
          <cell r="B169">
            <v>40417</v>
          </cell>
          <cell r="F169">
            <v>5.0396459488601622E-2</v>
          </cell>
        </row>
        <row r="170">
          <cell r="B170">
            <v>40420</v>
          </cell>
          <cell r="F170">
            <v>-3.6871263215253032E-2</v>
          </cell>
        </row>
        <row r="171">
          <cell r="B171">
            <v>40421</v>
          </cell>
          <cell r="F171">
            <v>6.4610186679685318E-3</v>
          </cell>
        </row>
        <row r="172">
          <cell r="B172">
            <v>40422</v>
          </cell>
          <cell r="F172">
            <v>2.9877671247706405E-2</v>
          </cell>
        </row>
        <row r="173">
          <cell r="B173">
            <v>40423</v>
          </cell>
          <cell r="F173">
            <v>1.2224011450909556E-2</v>
          </cell>
        </row>
        <row r="174">
          <cell r="B174">
            <v>40424</v>
          </cell>
          <cell r="F174">
            <v>1.1158836860901482E-2</v>
          </cell>
        </row>
        <row r="175">
          <cell r="B175">
            <v>40428</v>
          </cell>
          <cell r="F175">
            <v>-2.1927700205640312E-2</v>
          </cell>
        </row>
        <row r="176">
          <cell r="B176">
            <v>40429</v>
          </cell>
          <cell r="F176">
            <v>1.0205902951163703E-2</v>
          </cell>
        </row>
        <row r="177">
          <cell r="B177">
            <v>40430</v>
          </cell>
          <cell r="F177">
            <v>6.1560298967369958E-3</v>
          </cell>
        </row>
        <row r="178">
          <cell r="B178">
            <v>40431</v>
          </cell>
          <cell r="F178">
            <v>-1.9319645681068857E-2</v>
          </cell>
        </row>
        <row r="179">
          <cell r="B179">
            <v>40434</v>
          </cell>
          <cell r="F179">
            <v>1.1134004956408299E-2</v>
          </cell>
        </row>
        <row r="180">
          <cell r="B180">
            <v>40435</v>
          </cell>
          <cell r="F180">
            <v>5.3093396619824417E-4</v>
          </cell>
        </row>
        <row r="181">
          <cell r="B181">
            <v>40436</v>
          </cell>
          <cell r="F181">
            <v>-2.157110485453374E-4</v>
          </cell>
        </row>
        <row r="182">
          <cell r="B182">
            <v>40437</v>
          </cell>
          <cell r="F182">
            <v>2.7559821271538878E-3</v>
          </cell>
        </row>
        <row r="183">
          <cell r="B183">
            <v>40438</v>
          </cell>
          <cell r="F183">
            <v>2.3933428293886259E-2</v>
          </cell>
        </row>
        <row r="184">
          <cell r="B184">
            <v>40441</v>
          </cell>
          <cell r="F184">
            <v>2.9542927690212443E-2</v>
          </cell>
        </row>
        <row r="185">
          <cell r="B185">
            <v>40442</v>
          </cell>
          <cell r="F185">
            <v>-2.8249608509816476E-3</v>
          </cell>
        </row>
        <row r="186">
          <cell r="B186">
            <v>40443</v>
          </cell>
          <cell r="F186">
            <v>-2.5525521687033453E-2</v>
          </cell>
        </row>
        <row r="187">
          <cell r="B187">
            <v>40444</v>
          </cell>
          <cell r="F187">
            <v>2.1633717597574417E-2</v>
          </cell>
        </row>
        <row r="188">
          <cell r="B188">
            <v>40445</v>
          </cell>
          <cell r="F188">
            <v>2.9665817740437916E-2</v>
          </cell>
        </row>
        <row r="189">
          <cell r="B189">
            <v>40448</v>
          </cell>
          <cell r="F189">
            <v>-6.6707863287482636E-3</v>
          </cell>
        </row>
        <row r="190">
          <cell r="B190">
            <v>40449</v>
          </cell>
          <cell r="F190">
            <v>-3.981203276080391E-2</v>
          </cell>
        </row>
        <row r="191">
          <cell r="B191">
            <v>40450</v>
          </cell>
          <cell r="F191">
            <v>5.5128802174265346E-3</v>
          </cell>
        </row>
        <row r="192">
          <cell r="B192">
            <v>40451</v>
          </cell>
          <cell r="F192">
            <v>1.1571743273692762E-3</v>
          </cell>
        </row>
        <row r="193">
          <cell r="B193">
            <v>40452</v>
          </cell>
          <cell r="F193">
            <v>-9.969660561983994E-3</v>
          </cell>
        </row>
        <row r="194">
          <cell r="B194">
            <v>40455</v>
          </cell>
          <cell r="F194">
            <v>2.6208354347804136E-2</v>
          </cell>
        </row>
        <row r="195">
          <cell r="B195">
            <v>40456</v>
          </cell>
          <cell r="F195">
            <v>4.8837426369296964E-2</v>
          </cell>
        </row>
        <row r="196">
          <cell r="B196">
            <v>40457</v>
          </cell>
          <cell r="F196">
            <v>5.3576224125212301E-3</v>
          </cell>
        </row>
        <row r="197">
          <cell r="B197">
            <v>40458</v>
          </cell>
          <cell r="F197">
            <v>-2.3813951003390954E-2</v>
          </cell>
        </row>
        <row r="198">
          <cell r="B198">
            <v>40459</v>
          </cell>
          <cell r="F198">
            <v>8.9063647530159308E-3</v>
          </cell>
        </row>
        <row r="199">
          <cell r="B199">
            <v>40462</v>
          </cell>
          <cell r="F199">
            <v>2.6090899294266917E-2</v>
          </cell>
        </row>
        <row r="200">
          <cell r="B200">
            <v>40463</v>
          </cell>
          <cell r="F200">
            <v>2.1964117155339975E-2</v>
          </cell>
        </row>
        <row r="201">
          <cell r="B201">
            <v>40464</v>
          </cell>
          <cell r="F201">
            <v>-1.5471345757795057E-2</v>
          </cell>
        </row>
        <row r="202">
          <cell r="B202">
            <v>40465</v>
          </cell>
          <cell r="F202">
            <v>-2.3318805335851768E-2</v>
          </cell>
        </row>
        <row r="203">
          <cell r="B203">
            <v>40466</v>
          </cell>
          <cell r="F203">
            <v>0.11111683166882988</v>
          </cell>
        </row>
        <row r="204">
          <cell r="B204">
            <v>40469</v>
          </cell>
          <cell r="F204">
            <v>2.6889901462023941E-2</v>
          </cell>
        </row>
        <row r="205">
          <cell r="B205">
            <v>40470</v>
          </cell>
          <cell r="F205">
            <v>-7.2937453670990471E-2</v>
          </cell>
        </row>
        <row r="206">
          <cell r="B206">
            <v>40471</v>
          </cell>
          <cell r="F206">
            <v>-5.2583318087142325E-3</v>
          </cell>
        </row>
        <row r="207">
          <cell r="B207">
            <v>40472</v>
          </cell>
          <cell r="F207">
            <v>1.7901551459330315E-2</v>
          </cell>
        </row>
        <row r="208">
          <cell r="B208">
            <v>40473</v>
          </cell>
          <cell r="F208">
            <v>7.1952126161263699E-3</v>
          </cell>
        </row>
        <row r="209">
          <cell r="B209">
            <v>40476</v>
          </cell>
          <cell r="F209">
            <v>2.6832489000102148E-2</v>
          </cell>
        </row>
        <row r="210">
          <cell r="B210">
            <v>40477</v>
          </cell>
          <cell r="F210">
            <v>2.3590708583861118E-2</v>
          </cell>
        </row>
        <row r="211">
          <cell r="B211">
            <v>40478</v>
          </cell>
          <cell r="F211">
            <v>6.0024871351707166E-3</v>
          </cell>
        </row>
        <row r="212">
          <cell r="B212">
            <v>40479</v>
          </cell>
          <cell r="F212">
            <v>-1.591793798380192E-3</v>
          </cell>
        </row>
        <row r="213">
          <cell r="B213">
            <v>40480</v>
          </cell>
          <cell r="F213">
            <v>-1.5212298154924586E-2</v>
          </cell>
        </row>
        <row r="214">
          <cell r="B214">
            <v>40483</v>
          </cell>
          <cell r="F214">
            <v>-7.9199462261162236E-3</v>
          </cell>
        </row>
        <row r="215">
          <cell r="B215">
            <v>40484</v>
          </cell>
          <cell r="F215">
            <v>-2.2707213186917946E-5</v>
          </cell>
        </row>
        <row r="216">
          <cell r="B216">
            <v>40485</v>
          </cell>
          <cell r="F216">
            <v>3.3047805000036828E-3</v>
          </cell>
        </row>
        <row r="217">
          <cell r="B217">
            <v>40486</v>
          </cell>
          <cell r="F217">
            <v>2.2447097773458817E-2</v>
          </cell>
        </row>
        <row r="218">
          <cell r="B218">
            <v>40487</v>
          </cell>
          <cell r="F218">
            <v>-6.771792288063172E-2</v>
          </cell>
        </row>
        <row r="219">
          <cell r="B219">
            <v>40490</v>
          </cell>
          <cell r="F219">
            <v>1.1342557702357625E-2</v>
          </cell>
        </row>
        <row r="220">
          <cell r="B220">
            <v>40491</v>
          </cell>
          <cell r="F220">
            <v>-6.6005941142643952E-4</v>
          </cell>
        </row>
        <row r="221">
          <cell r="B221">
            <v>40492</v>
          </cell>
          <cell r="F221">
            <v>-2.7458131167552033E-4</v>
          </cell>
        </row>
        <row r="222">
          <cell r="B222">
            <v>40493</v>
          </cell>
          <cell r="F222">
            <v>-3.5499218885490392E-3</v>
          </cell>
        </row>
        <row r="223">
          <cell r="B223">
            <v>40494</v>
          </cell>
          <cell r="F223">
            <v>-2.3088215687705065E-2</v>
          </cell>
        </row>
        <row r="224">
          <cell r="B224">
            <v>40497</v>
          </cell>
          <cell r="F224">
            <v>-1.4696694757090088E-2</v>
          </cell>
        </row>
        <row r="225">
          <cell r="B225">
            <v>40498</v>
          </cell>
          <cell r="F225">
            <v>-3.3657550067073716E-2</v>
          </cell>
        </row>
        <row r="226">
          <cell r="B226">
            <v>40499</v>
          </cell>
          <cell r="F226">
            <v>5.0276513223342686E-2</v>
          </cell>
        </row>
        <row r="227">
          <cell r="B227">
            <v>40500</v>
          </cell>
          <cell r="F227">
            <v>7.651389714888121E-2</v>
          </cell>
        </row>
        <row r="228">
          <cell r="B228">
            <v>40501</v>
          </cell>
          <cell r="F228">
            <v>-1.3894352282403538E-2</v>
          </cell>
        </row>
        <row r="229">
          <cell r="B229">
            <v>40504</v>
          </cell>
          <cell r="F229">
            <v>-9.770334835114209E-3</v>
          </cell>
        </row>
        <row r="230">
          <cell r="B230">
            <v>40505</v>
          </cell>
          <cell r="F230">
            <v>-1.2343809823083418E-2</v>
          </cell>
        </row>
        <row r="231">
          <cell r="B231">
            <v>40506</v>
          </cell>
          <cell r="F231">
            <v>5.4974429009901925E-2</v>
          </cell>
        </row>
        <row r="232">
          <cell r="B232">
            <v>40508</v>
          </cell>
          <cell r="F232">
            <v>6.7149523407693222E-3</v>
          </cell>
        </row>
        <row r="233">
          <cell r="B233">
            <v>40511</v>
          </cell>
          <cell r="F233">
            <v>-1.628447885863616E-2</v>
          </cell>
        </row>
        <row r="234">
          <cell r="B234">
            <v>40512</v>
          </cell>
          <cell r="F234">
            <v>-3.6674831314175829E-2</v>
          </cell>
        </row>
        <row r="235">
          <cell r="B235">
            <v>40513</v>
          </cell>
          <cell r="F235">
            <v>2.2071298624863931E-2</v>
          </cell>
        </row>
        <row r="236">
          <cell r="B236">
            <v>40514</v>
          </cell>
          <cell r="F236">
            <v>3.2334690381671256E-2</v>
          </cell>
        </row>
        <row r="237">
          <cell r="B237">
            <v>40515</v>
          </cell>
          <cell r="F237">
            <v>-5.4276576934980175E-3</v>
          </cell>
        </row>
        <row r="238">
          <cell r="B238">
            <v>40518</v>
          </cell>
          <cell r="F238">
            <v>1.1990381810620622E-2</v>
          </cell>
        </row>
        <row r="239">
          <cell r="B239">
            <v>40519</v>
          </cell>
          <cell r="F239">
            <v>7.5992013145077158E-3</v>
          </cell>
        </row>
        <row r="240">
          <cell r="B240">
            <v>40520</v>
          </cell>
          <cell r="F240">
            <v>-5.3818092734681166E-3</v>
          </cell>
        </row>
        <row r="241">
          <cell r="B241">
            <v>40521</v>
          </cell>
          <cell r="F241">
            <v>-1.3624107444185019E-2</v>
          </cell>
        </row>
        <row r="242">
          <cell r="B242">
            <v>40522</v>
          </cell>
          <cell r="F242">
            <v>1.162799255734473E-2</v>
          </cell>
        </row>
        <row r="243">
          <cell r="B243">
            <v>40525</v>
          </cell>
          <cell r="F243">
            <v>1.8995587065751145E-2</v>
          </cell>
        </row>
        <row r="244">
          <cell r="B244">
            <v>40526</v>
          </cell>
          <cell r="F244">
            <v>-9.7179602930866846E-3</v>
          </cell>
        </row>
        <row r="245">
          <cell r="B245">
            <v>40527</v>
          </cell>
          <cell r="F245">
            <v>-2.7084491501381654E-2</v>
          </cell>
        </row>
        <row r="246">
          <cell r="B246">
            <v>40528</v>
          </cell>
          <cell r="F246">
            <v>1.6393689603032228E-2</v>
          </cell>
        </row>
        <row r="247">
          <cell r="B247">
            <v>40529</v>
          </cell>
          <cell r="F247">
            <v>1.3972929519261702E-2</v>
          </cell>
        </row>
        <row r="248">
          <cell r="B248">
            <v>40532</v>
          </cell>
          <cell r="F248">
            <v>-8.1894475985001911E-3</v>
          </cell>
        </row>
        <row r="249">
          <cell r="B249">
            <v>40533</v>
          </cell>
          <cell r="F249">
            <v>2.2273025764742382E-2</v>
          </cell>
        </row>
        <row r="250">
          <cell r="B250">
            <v>40534</v>
          </cell>
          <cell r="F250">
            <v>8.4842727648409659E-4</v>
          </cell>
        </row>
        <row r="251">
          <cell r="B251">
            <v>40535</v>
          </cell>
          <cell r="F251">
            <v>-9.4238863294356465E-3</v>
          </cell>
        </row>
        <row r="252">
          <cell r="B252">
            <v>40539</v>
          </cell>
          <cell r="F252">
            <v>-5.6687010994610704E-3</v>
          </cell>
        </row>
        <row r="253">
          <cell r="B253">
            <v>40540</v>
          </cell>
          <cell r="F253">
            <v>-1.2301957877944898E-2</v>
          </cell>
        </row>
        <row r="254">
          <cell r="B254">
            <v>40541</v>
          </cell>
          <cell r="F254">
            <v>-5.1550458196701343E-2</v>
          </cell>
        </row>
        <row r="255">
          <cell r="B255">
            <v>40542</v>
          </cell>
          <cell r="F255">
            <v>-3.9659612661784131E-2</v>
          </cell>
        </row>
        <row r="256">
          <cell r="B256">
            <v>40543</v>
          </cell>
          <cell r="F256">
            <v>3.8114378108874608E-2</v>
          </cell>
        </row>
        <row r="257">
          <cell r="B257">
            <v>40546</v>
          </cell>
          <cell r="F257">
            <v>-6.2772538568144562E-2</v>
          </cell>
        </row>
        <row r="258">
          <cell r="B258">
            <v>40547</v>
          </cell>
          <cell r="F258">
            <v>1.1271041560713272E-3</v>
          </cell>
        </row>
        <row r="259">
          <cell r="B259">
            <v>40548</v>
          </cell>
          <cell r="F259">
            <v>8.1226014049781588E-3</v>
          </cell>
        </row>
        <row r="260">
          <cell r="B260">
            <v>40549</v>
          </cell>
          <cell r="F260">
            <v>1.5899424389950109E-2</v>
          </cell>
        </row>
        <row r="261">
          <cell r="B261">
            <v>40550</v>
          </cell>
          <cell r="F261">
            <v>-7.2021053209354001E-3</v>
          </cell>
        </row>
        <row r="262">
          <cell r="B262">
            <v>40553</v>
          </cell>
          <cell r="F262">
            <v>1.4964955434085473E-2</v>
          </cell>
        </row>
        <row r="263">
          <cell r="B263">
            <v>40554</v>
          </cell>
          <cell r="F263">
            <v>-6.402370963210062E-2</v>
          </cell>
        </row>
        <row r="264">
          <cell r="B264">
            <v>40555</v>
          </cell>
          <cell r="F264">
            <v>6.3539382029230212E-4</v>
          </cell>
        </row>
        <row r="265">
          <cell r="B265">
            <v>40556</v>
          </cell>
          <cell r="F265">
            <v>-1.0036491401170669E-2</v>
          </cell>
        </row>
        <row r="266">
          <cell r="B266">
            <v>40557</v>
          </cell>
          <cell r="F266">
            <v>-1.6970045003029521E-3</v>
          </cell>
        </row>
        <row r="267">
          <cell r="B267">
            <v>40561</v>
          </cell>
          <cell r="F267">
            <v>2.1328385339493799E-2</v>
          </cell>
        </row>
        <row r="268">
          <cell r="B268">
            <v>40562</v>
          </cell>
          <cell r="F268">
            <v>-2.7845417180823919E-2</v>
          </cell>
        </row>
        <row r="269">
          <cell r="B269">
            <v>40563</v>
          </cell>
          <cell r="F269">
            <v>-6.2765054534424408E-2</v>
          </cell>
        </row>
        <row r="270">
          <cell r="B270">
            <v>40564</v>
          </cell>
          <cell r="F270">
            <v>-6.3056430453159479E-2</v>
          </cell>
        </row>
        <row r="271">
          <cell r="B271">
            <v>40567</v>
          </cell>
          <cell r="F271">
            <v>3.3080979646690607E-2</v>
          </cell>
        </row>
        <row r="272">
          <cell r="B272">
            <v>40568</v>
          </cell>
          <cell r="F272">
            <v>3.3759770376492276E-2</v>
          </cell>
        </row>
        <row r="273">
          <cell r="B273">
            <v>40569</v>
          </cell>
          <cell r="F273">
            <v>7.2843173553981903E-3</v>
          </cell>
        </row>
        <row r="274">
          <cell r="B274">
            <v>40570</v>
          </cell>
          <cell r="F274">
            <v>9.8780930701703722E-3</v>
          </cell>
        </row>
        <row r="275">
          <cell r="B275">
            <v>40571</v>
          </cell>
          <cell r="F275">
            <v>-1.817619832417481E-2</v>
          </cell>
        </row>
        <row r="276">
          <cell r="B276">
            <v>40574</v>
          </cell>
          <cell r="F276">
            <v>-6.1371845258307387E-3</v>
          </cell>
        </row>
        <row r="277">
          <cell r="B277">
            <v>40575</v>
          </cell>
          <cell r="F277">
            <v>6.0766208073539246E-4</v>
          </cell>
        </row>
        <row r="278">
          <cell r="B278">
            <v>40576</v>
          </cell>
          <cell r="F278">
            <v>4.8533822088237241E-2</v>
          </cell>
        </row>
        <row r="279">
          <cell r="B279">
            <v>40577</v>
          </cell>
          <cell r="F279">
            <v>-7.3618525261120352E-2</v>
          </cell>
        </row>
        <row r="280">
          <cell r="B280">
            <v>40578</v>
          </cell>
          <cell r="F280">
            <v>1.420903467405161E-2</v>
          </cell>
        </row>
        <row r="281">
          <cell r="B281">
            <v>40581</v>
          </cell>
          <cell r="F281">
            <v>-3.0017298276178491E-3</v>
          </cell>
        </row>
        <row r="282">
          <cell r="B282">
            <v>40582</v>
          </cell>
          <cell r="F282">
            <v>-4.7133806829503201E-3</v>
          </cell>
        </row>
        <row r="283">
          <cell r="B283">
            <v>40583</v>
          </cell>
          <cell r="F283">
            <v>5.6923978774183533E-3</v>
          </cell>
        </row>
        <row r="284">
          <cell r="B284">
            <v>40584</v>
          </cell>
          <cell r="F284">
            <v>-8.1021216786284107E-3</v>
          </cell>
        </row>
        <row r="285">
          <cell r="B285">
            <v>40585</v>
          </cell>
          <cell r="F285">
            <v>1.2696020383965187E-2</v>
          </cell>
        </row>
        <row r="286">
          <cell r="B286">
            <v>40588</v>
          </cell>
          <cell r="F286">
            <v>2.3887289972497668E-3</v>
          </cell>
        </row>
        <row r="287">
          <cell r="B287">
            <v>40589</v>
          </cell>
          <cell r="F287">
            <v>-6.0490072876086178E-4</v>
          </cell>
        </row>
        <row r="288">
          <cell r="B288">
            <v>40590</v>
          </cell>
          <cell r="F288">
            <v>1.5776955975942676E-2</v>
          </cell>
        </row>
        <row r="289">
          <cell r="B289">
            <v>40591</v>
          </cell>
          <cell r="F289">
            <v>3.6556960385792925E-2</v>
          </cell>
        </row>
        <row r="290">
          <cell r="B290">
            <v>40592</v>
          </cell>
          <cell r="F290">
            <v>4.0282982881164144E-2</v>
          </cell>
        </row>
        <row r="291">
          <cell r="B291">
            <v>40596</v>
          </cell>
          <cell r="F291">
            <v>6.7798925900399362E-3</v>
          </cell>
        </row>
        <row r="292">
          <cell r="B292">
            <v>40597</v>
          </cell>
          <cell r="F292">
            <v>-5.1973360355402502E-2</v>
          </cell>
        </row>
        <row r="293">
          <cell r="B293">
            <v>40598</v>
          </cell>
          <cell r="F293">
            <v>6.3541626538043154E-3</v>
          </cell>
        </row>
        <row r="294">
          <cell r="B294">
            <v>40599</v>
          </cell>
          <cell r="F294">
            <v>7.8037571908941249E-3</v>
          </cell>
        </row>
        <row r="295">
          <cell r="B295">
            <v>40602</v>
          </cell>
          <cell r="F295">
            <v>-2.2826913398333488E-3</v>
          </cell>
        </row>
        <row r="296">
          <cell r="B296">
            <v>40603</v>
          </cell>
          <cell r="F296">
            <v>-7.9181858565952716E-3</v>
          </cell>
        </row>
        <row r="297">
          <cell r="B297">
            <v>40604</v>
          </cell>
          <cell r="F297">
            <v>-1.7332358035258993E-2</v>
          </cell>
        </row>
        <row r="298">
          <cell r="B298">
            <v>40605</v>
          </cell>
          <cell r="F298">
            <v>1.6031748325011745E-2</v>
          </cell>
        </row>
        <row r="299">
          <cell r="B299">
            <v>40606</v>
          </cell>
          <cell r="F299">
            <v>-1.3211058570276392E-2</v>
          </cell>
        </row>
        <row r="300">
          <cell r="B300">
            <v>40609</v>
          </cell>
          <cell r="F300">
            <v>-2.6204518343848768E-2</v>
          </cell>
        </row>
        <row r="301">
          <cell r="B301">
            <v>40610</v>
          </cell>
          <cell r="F301">
            <v>1.565191764550555E-2</v>
          </cell>
        </row>
        <row r="302">
          <cell r="B302">
            <v>40611</v>
          </cell>
          <cell r="F302">
            <v>8.7641398189026842E-3</v>
          </cell>
        </row>
        <row r="303">
          <cell r="B303">
            <v>40612</v>
          </cell>
          <cell r="F303">
            <v>-2.7385827829737218E-2</v>
          </cell>
        </row>
        <row r="304">
          <cell r="B304">
            <v>40613</v>
          </cell>
          <cell r="F304">
            <v>5.5627338446727409E-3</v>
          </cell>
        </row>
        <row r="305">
          <cell r="B305">
            <v>40616</v>
          </cell>
          <cell r="F305">
            <v>9.0687054734364028E-3</v>
          </cell>
        </row>
        <row r="306">
          <cell r="B306">
            <v>40617</v>
          </cell>
          <cell r="F306">
            <v>-3.8930646185765705E-3</v>
          </cell>
        </row>
        <row r="307">
          <cell r="B307">
            <v>40618</v>
          </cell>
          <cell r="F307">
            <v>-2.8957363968116316E-3</v>
          </cell>
        </row>
        <row r="308">
          <cell r="B308">
            <v>40619</v>
          </cell>
          <cell r="F308">
            <v>4.4665014089511443E-2</v>
          </cell>
        </row>
        <row r="309">
          <cell r="B309">
            <v>40620</v>
          </cell>
          <cell r="F309">
            <v>-1.0506657709941311E-2</v>
          </cell>
        </row>
        <row r="310">
          <cell r="B310">
            <v>40623</v>
          </cell>
          <cell r="F310">
            <v>-2.9399047301952724E-3</v>
          </cell>
        </row>
        <row r="311">
          <cell r="B311">
            <v>40624</v>
          </cell>
          <cell r="F311">
            <v>-2.8169738472890904E-3</v>
          </cell>
        </row>
        <row r="312">
          <cell r="B312">
            <v>40625</v>
          </cell>
          <cell r="F312">
            <v>5.0095715711632235E-3</v>
          </cell>
        </row>
        <row r="313">
          <cell r="B313">
            <v>40626</v>
          </cell>
          <cell r="F313">
            <v>2.0752329248210508E-2</v>
          </cell>
        </row>
        <row r="314">
          <cell r="B314">
            <v>40627</v>
          </cell>
          <cell r="F314">
            <v>-1.3436234216560507E-3</v>
          </cell>
        </row>
        <row r="315">
          <cell r="B315">
            <v>40630</v>
          </cell>
          <cell r="F315">
            <v>-8.9934387006256351E-3</v>
          </cell>
        </row>
        <row r="316">
          <cell r="B316">
            <v>40631</v>
          </cell>
          <cell r="F316">
            <v>2.1010438763902909E-2</v>
          </cell>
        </row>
        <row r="317">
          <cell r="B317">
            <v>40632</v>
          </cell>
          <cell r="F317">
            <v>4.2310437403187866E-3</v>
          </cell>
        </row>
        <row r="318">
          <cell r="B318">
            <v>40633</v>
          </cell>
          <cell r="F318">
            <v>-2.3537353016938947E-3</v>
          </cell>
        </row>
        <row r="319">
          <cell r="B319">
            <v>40634</v>
          </cell>
          <cell r="F319">
            <v>-3.001963249971578E-2</v>
          </cell>
        </row>
        <row r="320">
          <cell r="B320">
            <v>40637</v>
          </cell>
          <cell r="F320">
            <v>-3.9815368274286819E-2</v>
          </cell>
        </row>
        <row r="321">
          <cell r="B321">
            <v>40638</v>
          </cell>
          <cell r="F321">
            <v>-1.6666650374418793E-2</v>
          </cell>
        </row>
        <row r="322">
          <cell r="B322">
            <v>40639</v>
          </cell>
          <cell r="F322">
            <v>2.9758801317241373E-2</v>
          </cell>
        </row>
        <row r="323">
          <cell r="B323">
            <v>40640</v>
          </cell>
          <cell r="F323">
            <v>-1.7845020915122217E-2</v>
          </cell>
        </row>
        <row r="324">
          <cell r="B324">
            <v>40641</v>
          </cell>
          <cell r="F324">
            <v>-5.5620715672590304E-2</v>
          </cell>
        </row>
        <row r="325">
          <cell r="B325">
            <v>40644</v>
          </cell>
          <cell r="F325">
            <v>8.0466839143664929E-3</v>
          </cell>
        </row>
        <row r="326">
          <cell r="B326">
            <v>40645</v>
          </cell>
          <cell r="F326">
            <v>-1.3662979339389363E-2</v>
          </cell>
        </row>
        <row r="327">
          <cell r="B327">
            <v>40646</v>
          </cell>
          <cell r="F327">
            <v>8.451527292161096E-3</v>
          </cell>
        </row>
        <row r="328">
          <cell r="B328">
            <v>40647</v>
          </cell>
          <cell r="F328">
            <v>7.761112687313429E-3</v>
          </cell>
        </row>
        <row r="329">
          <cell r="B329">
            <v>40648</v>
          </cell>
          <cell r="F329">
            <v>-9.3120254936024313E-2</v>
          </cell>
        </row>
        <row r="330">
          <cell r="B330">
            <v>40651</v>
          </cell>
          <cell r="F330">
            <v>-9.0994026741630391E-3</v>
          </cell>
        </row>
        <row r="331">
          <cell r="B331">
            <v>40652</v>
          </cell>
          <cell r="F331">
            <v>3.71952348293439E-2</v>
          </cell>
        </row>
        <row r="332">
          <cell r="B332">
            <v>40653</v>
          </cell>
          <cell r="F332">
            <v>1.4337881106427312E-2</v>
          </cell>
        </row>
        <row r="333">
          <cell r="B333">
            <v>40654</v>
          </cell>
          <cell r="F333">
            <v>-1.8408560196687979E-3</v>
          </cell>
        </row>
        <row r="334">
          <cell r="B334">
            <v>40658</v>
          </cell>
          <cell r="F334">
            <v>-1.8132686668245402E-2</v>
          </cell>
        </row>
        <row r="335">
          <cell r="B335">
            <v>40659</v>
          </cell>
          <cell r="F335">
            <v>6.1273183911060743E-2</v>
          </cell>
        </row>
        <row r="336">
          <cell r="B336">
            <v>40660</v>
          </cell>
          <cell r="F336">
            <v>4.3822719928244283E-2</v>
          </cell>
        </row>
        <row r="337">
          <cell r="B337">
            <v>40661</v>
          </cell>
          <cell r="F337">
            <v>-1.9691014975139903E-2</v>
          </cell>
        </row>
        <row r="338">
          <cell r="B338">
            <v>40662</v>
          </cell>
          <cell r="F338">
            <v>8.754585762086509E-3</v>
          </cell>
        </row>
        <row r="339">
          <cell r="B339">
            <v>40665</v>
          </cell>
          <cell r="F339">
            <v>-7.7994550584476073E-3</v>
          </cell>
        </row>
        <row r="340">
          <cell r="B340">
            <v>40666</v>
          </cell>
          <cell r="F340">
            <v>-1.7674344540099189E-2</v>
          </cell>
        </row>
        <row r="341">
          <cell r="B341">
            <v>40667</v>
          </cell>
          <cell r="F341">
            <v>7.0091455626119965E-3</v>
          </cell>
        </row>
        <row r="342">
          <cell r="B342">
            <v>40668</v>
          </cell>
          <cell r="F342">
            <v>5.2941075868734536E-3</v>
          </cell>
        </row>
        <row r="343">
          <cell r="B343">
            <v>40669</v>
          </cell>
          <cell r="F343">
            <v>-3.6335234811060539E-3</v>
          </cell>
        </row>
        <row r="344">
          <cell r="B344">
            <v>40672</v>
          </cell>
          <cell r="F344">
            <v>-2.6148959516165962E-3</v>
          </cell>
        </row>
        <row r="345">
          <cell r="B345">
            <v>40673</v>
          </cell>
          <cell r="F345">
            <v>2.2349690823695652E-2</v>
          </cell>
        </row>
        <row r="346">
          <cell r="B346">
            <v>40674</v>
          </cell>
          <cell r="F346">
            <v>-1.5886815730926894E-2</v>
          </cell>
        </row>
        <row r="347">
          <cell r="B347">
            <v>40675</v>
          </cell>
          <cell r="F347">
            <v>-6.653633620377658E-3</v>
          </cell>
        </row>
        <row r="348">
          <cell r="B348">
            <v>40676</v>
          </cell>
          <cell r="F348">
            <v>-3.7712837594474002E-3</v>
          </cell>
        </row>
        <row r="349">
          <cell r="B349">
            <v>40679</v>
          </cell>
          <cell r="F349">
            <v>-2.8419100346146954E-2</v>
          </cell>
        </row>
        <row r="350">
          <cell r="B350">
            <v>40680</v>
          </cell>
          <cell r="F350">
            <v>1.0555832163172961E-2</v>
          </cell>
        </row>
        <row r="351">
          <cell r="B351">
            <v>40681</v>
          </cell>
          <cell r="F351">
            <v>5.7984730080088923E-3</v>
          </cell>
        </row>
        <row r="352">
          <cell r="B352">
            <v>40682</v>
          </cell>
          <cell r="F352">
            <v>-2.5065601800693155E-3</v>
          </cell>
        </row>
        <row r="353">
          <cell r="B353">
            <v>40683</v>
          </cell>
          <cell r="F353">
            <v>-3.2418991755873872E-2</v>
          </cell>
        </row>
        <row r="354">
          <cell r="B354">
            <v>40686</v>
          </cell>
          <cell r="F354">
            <v>-2.6715458242130945E-3</v>
          </cell>
        </row>
        <row r="355">
          <cell r="B355">
            <v>40687</v>
          </cell>
          <cell r="F355">
            <v>6.0548354637536654E-3</v>
          </cell>
        </row>
        <row r="356">
          <cell r="B356">
            <v>40688</v>
          </cell>
          <cell r="F356">
            <v>7.0355333653105553E-3</v>
          </cell>
        </row>
        <row r="357">
          <cell r="B357">
            <v>40689</v>
          </cell>
          <cell r="F357">
            <v>-6.1115162018438888E-3</v>
          </cell>
        </row>
        <row r="358">
          <cell r="B358">
            <v>40690</v>
          </cell>
          <cell r="F358">
            <v>2.7687192255978876E-2</v>
          </cell>
        </row>
        <row r="359">
          <cell r="B359">
            <v>40694</v>
          </cell>
          <cell r="F359">
            <v>7.3584822568051045E-2</v>
          </cell>
        </row>
        <row r="360">
          <cell r="B360">
            <v>40695</v>
          </cell>
          <cell r="F360">
            <v>-4.5328583715162955E-2</v>
          </cell>
        </row>
        <row r="361">
          <cell r="B361">
            <v>40696</v>
          </cell>
          <cell r="F361">
            <v>1.2792089531274585E-2</v>
          </cell>
        </row>
        <row r="362">
          <cell r="B362">
            <v>40697</v>
          </cell>
          <cell r="F362">
            <v>-1.1902894611288913E-2</v>
          </cell>
        </row>
        <row r="363">
          <cell r="B363">
            <v>40700</v>
          </cell>
          <cell r="F363">
            <v>3.9019093808578846E-3</v>
          </cell>
        </row>
        <row r="364">
          <cell r="B364">
            <v>40701</v>
          </cell>
          <cell r="F364">
            <v>1.2602584294467966E-2</v>
          </cell>
        </row>
        <row r="365">
          <cell r="B365">
            <v>40702</v>
          </cell>
          <cell r="F365">
            <v>4.4418515232258768E-3</v>
          </cell>
        </row>
        <row r="366">
          <cell r="B366">
            <v>40703</v>
          </cell>
          <cell r="F366">
            <v>1.4251655877646936E-3</v>
          </cell>
        </row>
        <row r="367">
          <cell r="B367">
            <v>40704</v>
          </cell>
          <cell r="F367">
            <v>-1.2184903897199204E-2</v>
          </cell>
        </row>
        <row r="368">
          <cell r="B368">
            <v>40707</v>
          </cell>
          <cell r="F368">
            <v>-7.5923258002305845E-3</v>
          </cell>
        </row>
        <row r="369">
          <cell r="B369">
            <v>40708</v>
          </cell>
          <cell r="F369">
            <v>1.3495548539263186E-2</v>
          </cell>
        </row>
        <row r="370">
          <cell r="B370">
            <v>40709</v>
          </cell>
          <cell r="F370">
            <v>-1.1942650698971515E-2</v>
          </cell>
        </row>
        <row r="371">
          <cell r="B371">
            <v>40710</v>
          </cell>
          <cell r="F371">
            <v>1.4184645023181121E-2</v>
          </cell>
        </row>
        <row r="372">
          <cell r="B372">
            <v>40711</v>
          </cell>
          <cell r="F372">
            <v>-2.6858587259178859E-2</v>
          </cell>
        </row>
        <row r="373">
          <cell r="B373">
            <v>40714</v>
          </cell>
          <cell r="F373">
            <v>1.0293125082730708E-2</v>
          </cell>
        </row>
        <row r="374">
          <cell r="B374">
            <v>40715</v>
          </cell>
          <cell r="F374">
            <v>3.960369888592373E-2</v>
          </cell>
        </row>
        <row r="375">
          <cell r="B375">
            <v>40716</v>
          </cell>
          <cell r="F375">
            <v>-1.1601323255968844E-2</v>
          </cell>
        </row>
        <row r="376">
          <cell r="B376">
            <v>40717</v>
          </cell>
          <cell r="F376">
            <v>-1.9249065130472864E-2</v>
          </cell>
        </row>
        <row r="377">
          <cell r="B377">
            <v>40718</v>
          </cell>
          <cell r="F377">
            <v>-1.5581288549831727E-2</v>
          </cell>
        </row>
        <row r="378">
          <cell r="B378">
            <v>40721</v>
          </cell>
          <cell r="F378">
            <v>1.2775693711909959E-2</v>
          </cell>
        </row>
        <row r="379">
          <cell r="B379">
            <v>40722</v>
          </cell>
          <cell r="F379">
            <v>3.0652939090158926E-2</v>
          </cell>
        </row>
        <row r="380">
          <cell r="B380">
            <v>40723</v>
          </cell>
          <cell r="F380">
            <v>-2.5645551466901839E-3</v>
          </cell>
        </row>
        <row r="381">
          <cell r="B381">
            <v>40724</v>
          </cell>
          <cell r="F381">
            <v>-6.5202786479309424E-4</v>
          </cell>
        </row>
        <row r="382">
          <cell r="B382">
            <v>40725</v>
          </cell>
          <cell r="F382">
            <v>3.3485769200175125E-2</v>
          </cell>
        </row>
        <row r="383">
          <cell r="B383">
            <v>40729</v>
          </cell>
          <cell r="F383">
            <v>-3.6622951694272772E-3</v>
          </cell>
        </row>
        <row r="384">
          <cell r="B384">
            <v>40730</v>
          </cell>
          <cell r="F384">
            <v>-1.8118315618912917E-2</v>
          </cell>
        </row>
        <row r="385">
          <cell r="B385">
            <v>40731</v>
          </cell>
          <cell r="F385">
            <v>2.325114843351276E-2</v>
          </cell>
        </row>
        <row r="386">
          <cell r="B386">
            <v>40732</v>
          </cell>
          <cell r="F386">
            <v>-4.091101569327462E-2</v>
          </cell>
        </row>
        <row r="387">
          <cell r="B387">
            <v>40735</v>
          </cell>
          <cell r="F387">
            <v>-3.5521925844441814E-3</v>
          </cell>
        </row>
        <row r="388">
          <cell r="B388">
            <v>40736</v>
          </cell>
          <cell r="F388">
            <v>-1.2323273996726012E-2</v>
          </cell>
        </row>
        <row r="389">
          <cell r="B389">
            <v>40737</v>
          </cell>
          <cell r="F389">
            <v>-5.5727520802170326E-2</v>
          </cell>
        </row>
        <row r="390">
          <cell r="B390">
            <v>40738</v>
          </cell>
          <cell r="F390">
            <v>-8.2215310861536689E-2</v>
          </cell>
        </row>
        <row r="391">
          <cell r="B391">
            <v>40739</v>
          </cell>
          <cell r="F391">
            <v>0.15618898812877374</v>
          </cell>
        </row>
        <row r="392">
          <cell r="B392">
            <v>40742</v>
          </cell>
          <cell r="F392">
            <v>5.1538178803499812E-2</v>
          </cell>
        </row>
        <row r="393">
          <cell r="B393">
            <v>40743</v>
          </cell>
          <cell r="F393">
            <v>-3.8942018130404474E-2</v>
          </cell>
        </row>
        <row r="394">
          <cell r="B394">
            <v>40744</v>
          </cell>
          <cell r="F394">
            <v>-9.2507667670440018E-3</v>
          </cell>
        </row>
        <row r="395">
          <cell r="B395">
            <v>40745</v>
          </cell>
          <cell r="F395">
            <v>1.0314863648506411E-2</v>
          </cell>
        </row>
        <row r="396">
          <cell r="B396">
            <v>40746</v>
          </cell>
          <cell r="F396">
            <v>3.8058880909586382E-2</v>
          </cell>
        </row>
        <row r="397">
          <cell r="B397">
            <v>40749</v>
          </cell>
          <cell r="F397">
            <v>4.5441487576821094E-3</v>
          </cell>
        </row>
        <row r="398">
          <cell r="B398">
            <v>40750</v>
          </cell>
          <cell r="F398">
            <v>1.538925834121764E-2</v>
          </cell>
        </row>
        <row r="399">
          <cell r="B399">
            <v>40751</v>
          </cell>
          <cell r="F399">
            <v>-5.4194392597533635E-2</v>
          </cell>
        </row>
        <row r="400">
          <cell r="B400">
            <v>40752</v>
          </cell>
          <cell r="F400">
            <v>-7.6538600629897273E-3</v>
          </cell>
        </row>
        <row r="401">
          <cell r="B401">
            <v>40753</v>
          </cell>
          <cell r="F401">
            <v>1.4116571698501078E-2</v>
          </cell>
        </row>
        <row r="402">
          <cell r="B402">
            <v>40756</v>
          </cell>
          <cell r="F402">
            <v>1.8571240192614257E-2</v>
          </cell>
        </row>
        <row r="403">
          <cell r="B403">
            <v>40757</v>
          </cell>
          <cell r="F403">
            <v>-3.368072398907028E-2</v>
          </cell>
        </row>
        <row r="404">
          <cell r="B404">
            <v>40758</v>
          </cell>
          <cell r="F404">
            <v>-2.2248772407741542E-2</v>
          </cell>
        </row>
        <row r="405">
          <cell r="B405">
            <v>40759</v>
          </cell>
          <cell r="F405">
            <v>-1.1074645349968236E-2</v>
          </cell>
        </row>
        <row r="406">
          <cell r="B406">
            <v>40760</v>
          </cell>
          <cell r="F406">
            <v>-3.6303152445663421E-2</v>
          </cell>
        </row>
        <row r="407">
          <cell r="B407">
            <v>40763</v>
          </cell>
          <cell r="F407">
            <v>-5.7832643751382841E-2</v>
          </cell>
        </row>
        <row r="408">
          <cell r="B408">
            <v>40764</v>
          </cell>
          <cell r="F408">
            <v>2.7077497895008677E-2</v>
          </cell>
        </row>
        <row r="409">
          <cell r="B409">
            <v>40765</v>
          </cell>
          <cell r="F409">
            <v>-2.8513584313312572E-2</v>
          </cell>
        </row>
        <row r="410">
          <cell r="B410">
            <v>40766</v>
          </cell>
          <cell r="F410">
            <v>-6.004859808361046E-3</v>
          </cell>
        </row>
        <row r="411">
          <cell r="B411">
            <v>40767</v>
          </cell>
          <cell r="F411">
            <v>3.7403122383854313E-2</v>
          </cell>
        </row>
        <row r="412">
          <cell r="B412">
            <v>40770</v>
          </cell>
          <cell r="F412">
            <v>-1.1303958863365597E-2</v>
          </cell>
        </row>
        <row r="413">
          <cell r="B413">
            <v>40771</v>
          </cell>
          <cell r="F413">
            <v>-3.4375590409337145E-2</v>
          </cell>
        </row>
        <row r="414">
          <cell r="B414">
            <v>40772</v>
          </cell>
          <cell r="F414">
            <v>-6.4783794022823986E-3</v>
          </cell>
        </row>
        <row r="415">
          <cell r="B415">
            <v>40773</v>
          </cell>
          <cell r="F415">
            <v>-3.7608984689870895E-2</v>
          </cell>
        </row>
        <row r="416">
          <cell r="B416">
            <v>40774</v>
          </cell>
          <cell r="F416">
            <v>-2.1795309253202375E-2</v>
          </cell>
        </row>
        <row r="417">
          <cell r="B417">
            <v>40777</v>
          </cell>
          <cell r="F417">
            <v>4.7562999853606215E-2</v>
          </cell>
        </row>
        <row r="418">
          <cell r="B418">
            <v>40778</v>
          </cell>
          <cell r="F418">
            <v>6.9510584194939884E-2</v>
          </cell>
        </row>
        <row r="419">
          <cell r="B419">
            <v>40779</v>
          </cell>
          <cell r="F419">
            <v>-1.4066502771974024E-2</v>
          </cell>
        </row>
        <row r="420">
          <cell r="B420">
            <v>40780</v>
          </cell>
          <cell r="F420">
            <v>-4.9497595436478824E-2</v>
          </cell>
        </row>
        <row r="421">
          <cell r="B421">
            <v>40781</v>
          </cell>
          <cell r="F421">
            <v>2.887116346173392E-2</v>
          </cell>
        </row>
        <row r="422">
          <cell r="B422">
            <v>40784</v>
          </cell>
          <cell r="F422">
            <v>4.0883748658800415E-2</v>
          </cell>
        </row>
        <row r="423">
          <cell r="B423">
            <v>40785</v>
          </cell>
          <cell r="F423">
            <v>2.132387083342141E-2</v>
          </cell>
        </row>
        <row r="424">
          <cell r="B424">
            <v>40786</v>
          </cell>
          <cell r="F424">
            <v>-2.7189311642027991E-2</v>
          </cell>
        </row>
        <row r="425">
          <cell r="B425">
            <v>40787</v>
          </cell>
          <cell r="F425">
            <v>-4.0266090305258698E-2</v>
          </cell>
        </row>
        <row r="426">
          <cell r="B426">
            <v>40788</v>
          </cell>
          <cell r="F426">
            <v>2.0387595647474405E-2</v>
          </cell>
        </row>
        <row r="427">
          <cell r="B427">
            <v>40792</v>
          </cell>
          <cell r="F427">
            <v>1.7959148355194847E-2</v>
          </cell>
        </row>
        <row r="428">
          <cell r="B428">
            <v>40793</v>
          </cell>
          <cell r="F428">
            <v>5.5682895596227452E-2</v>
          </cell>
        </row>
        <row r="429">
          <cell r="B429">
            <v>40794</v>
          </cell>
          <cell r="F429">
            <v>6.3130276126732832E-2</v>
          </cell>
        </row>
        <row r="430">
          <cell r="B430">
            <v>40795</v>
          </cell>
          <cell r="F430">
            <v>-2.5365078482178227E-2</v>
          </cell>
        </row>
        <row r="431">
          <cell r="B431">
            <v>40798</v>
          </cell>
          <cell r="F431">
            <v>-4.9490419760782976E-3</v>
          </cell>
        </row>
        <row r="432">
          <cell r="B432">
            <v>40799</v>
          </cell>
          <cell r="F432">
            <v>2.9299780618963858E-3</v>
          </cell>
        </row>
        <row r="433">
          <cell r="B433">
            <v>40800</v>
          </cell>
          <cell r="F433">
            <v>9.7590468315662052E-3</v>
          </cell>
        </row>
        <row r="434">
          <cell r="B434">
            <v>40801</v>
          </cell>
          <cell r="F434">
            <v>1.103569767328016E-2</v>
          </cell>
        </row>
        <row r="435">
          <cell r="B435">
            <v>40802</v>
          </cell>
          <cell r="F435">
            <v>-2.8411334084371817E-3</v>
          </cell>
        </row>
        <row r="436">
          <cell r="B436">
            <v>40805</v>
          </cell>
          <cell r="F436">
            <v>3.185284326891896E-3</v>
          </cell>
        </row>
        <row r="437">
          <cell r="B437">
            <v>40806</v>
          </cell>
          <cell r="F437">
            <v>1.4149693831215822E-2</v>
          </cell>
        </row>
        <row r="438">
          <cell r="B438">
            <v>40807</v>
          </cell>
          <cell r="F438">
            <v>-2.1156325152365898E-2</v>
          </cell>
        </row>
        <row r="439">
          <cell r="B439">
            <v>40808</v>
          </cell>
          <cell r="F439">
            <v>-5.1877578116687174E-2</v>
          </cell>
        </row>
        <row r="440">
          <cell r="B440">
            <v>40809</v>
          </cell>
          <cell r="F440">
            <v>-1.9861591263392923E-2</v>
          </cell>
        </row>
        <row r="441">
          <cell r="B441">
            <v>40812</v>
          </cell>
          <cell r="F441">
            <v>5.6979754327216702E-3</v>
          </cell>
        </row>
        <row r="442">
          <cell r="B442">
            <v>40813</v>
          </cell>
          <cell r="F442">
            <v>-2.5466166516049788E-2</v>
          </cell>
        </row>
        <row r="443">
          <cell r="B443">
            <v>40814</v>
          </cell>
          <cell r="F443">
            <v>-4.0438966402425398E-2</v>
          </cell>
        </row>
        <row r="444">
          <cell r="B444">
            <v>40815</v>
          </cell>
          <cell r="F444">
            <v>-7.1044854704042865E-3</v>
          </cell>
        </row>
        <row r="445">
          <cell r="B445">
            <v>40816</v>
          </cell>
          <cell r="F445">
            <v>-1.9985459457064612E-2</v>
          </cell>
        </row>
        <row r="446">
          <cell r="B446">
            <v>40819</v>
          </cell>
          <cell r="F446">
            <v>-6.6821273951113092E-2</v>
          </cell>
        </row>
        <row r="447">
          <cell r="B447">
            <v>40820</v>
          </cell>
          <cell r="F447">
            <v>-1.3614002083472606E-2</v>
          </cell>
        </row>
        <row r="448">
          <cell r="B448">
            <v>40821</v>
          </cell>
          <cell r="F448">
            <v>-3.200683720220477E-2</v>
          </cell>
        </row>
        <row r="449">
          <cell r="B449">
            <v>40822</v>
          </cell>
          <cell r="F449">
            <v>-4.5366295165106749E-2</v>
          </cell>
        </row>
        <row r="450">
          <cell r="B450">
            <v>40823</v>
          </cell>
          <cell r="F450">
            <v>9.5419420853767763E-3</v>
          </cell>
        </row>
        <row r="451">
          <cell r="B451">
            <v>40826</v>
          </cell>
          <cell r="F451">
            <v>1.7374049026922293E-2</v>
          </cell>
        </row>
        <row r="452">
          <cell r="B452">
            <v>40827</v>
          </cell>
          <cell r="F452">
            <v>4.5145247868935187E-2</v>
          </cell>
        </row>
        <row r="453">
          <cell r="B453">
            <v>40828</v>
          </cell>
          <cell r="F453">
            <v>1.1149762782931189E-2</v>
          </cell>
        </row>
        <row r="454">
          <cell r="B454">
            <v>40829</v>
          </cell>
          <cell r="F454">
            <v>4.7290690211728284E-2</v>
          </cell>
        </row>
        <row r="455">
          <cell r="B455">
            <v>40830</v>
          </cell>
          <cell r="F455">
            <v>6.6989336259904358E-2</v>
          </cell>
        </row>
        <row r="456">
          <cell r="B456">
            <v>40833</v>
          </cell>
          <cell r="F456">
            <v>1.4630605742329442E-2</v>
          </cell>
        </row>
        <row r="457">
          <cell r="B457">
            <v>40834</v>
          </cell>
          <cell r="F457">
            <v>-0.10795669827924784</v>
          </cell>
        </row>
        <row r="458">
          <cell r="B458">
            <v>40835</v>
          </cell>
          <cell r="F458">
            <v>3.1993512069158937E-2</v>
          </cell>
        </row>
        <row r="459">
          <cell r="B459">
            <v>40836</v>
          </cell>
          <cell r="F459">
            <v>7.1851735412272383E-2</v>
          </cell>
        </row>
        <row r="460">
          <cell r="B460">
            <v>40837</v>
          </cell>
          <cell r="F460">
            <v>1.9525943849498018E-2</v>
          </cell>
        </row>
        <row r="461">
          <cell r="B461">
            <v>40840</v>
          </cell>
          <cell r="F461">
            <v>-7.5886502076535477E-3</v>
          </cell>
        </row>
        <row r="462">
          <cell r="B462">
            <v>40841</v>
          </cell>
          <cell r="F462">
            <v>-2.4170199584897918E-2</v>
          </cell>
        </row>
        <row r="463">
          <cell r="B463">
            <v>40842</v>
          </cell>
          <cell r="F463">
            <v>-7.707004046076881E-3</v>
          </cell>
        </row>
        <row r="464">
          <cell r="B464">
            <v>40843</v>
          </cell>
          <cell r="F464">
            <v>2.1026336839525248E-2</v>
          </cell>
        </row>
        <row r="465">
          <cell r="B465">
            <v>40844</v>
          </cell>
          <cell r="F465">
            <v>1.4386673803499322E-2</v>
          </cell>
        </row>
        <row r="466">
          <cell r="B466">
            <v>40847</v>
          </cell>
          <cell r="F466">
            <v>-3.9759967165732636E-2</v>
          </cell>
        </row>
        <row r="467">
          <cell r="B467">
            <v>40848</v>
          </cell>
          <cell r="F467">
            <v>-3.7953382186521258E-2</v>
          </cell>
        </row>
        <row r="468">
          <cell r="B468">
            <v>40849</v>
          </cell>
          <cell r="F468">
            <v>1.0650872875996883E-2</v>
          </cell>
        </row>
        <row r="469">
          <cell r="B469">
            <v>40850</v>
          </cell>
          <cell r="F469">
            <v>2.3695712630665555E-2</v>
          </cell>
        </row>
        <row r="470">
          <cell r="B470">
            <v>40851</v>
          </cell>
          <cell r="F470">
            <v>-1.4640149604452417E-2</v>
          </cell>
        </row>
        <row r="471">
          <cell r="B471">
            <v>40854</v>
          </cell>
          <cell r="F471">
            <v>7.0789847524274866E-3</v>
          </cell>
        </row>
        <row r="472">
          <cell r="B472">
            <v>40855</v>
          </cell>
          <cell r="F472">
            <v>6.6660778743677391E-3</v>
          </cell>
        </row>
        <row r="473">
          <cell r="B473">
            <v>40856</v>
          </cell>
          <cell r="F473">
            <v>-3.3045043095137373E-2</v>
          </cell>
        </row>
        <row r="474">
          <cell r="B474">
            <v>40857</v>
          </cell>
          <cell r="F474">
            <v>8.2688637802739873E-3</v>
          </cell>
        </row>
        <row r="475">
          <cell r="B475">
            <v>40858</v>
          </cell>
          <cell r="F475">
            <v>3.856043805197526E-2</v>
          </cell>
        </row>
        <row r="476">
          <cell r="B476">
            <v>40861</v>
          </cell>
          <cell r="F476">
            <v>7.6099932934278669E-3</v>
          </cell>
        </row>
        <row r="477">
          <cell r="B477">
            <v>40862</v>
          </cell>
          <cell r="F477">
            <v>1.9087371483203905E-3</v>
          </cell>
        </row>
        <row r="478">
          <cell r="B478">
            <v>40863</v>
          </cell>
          <cell r="F478">
            <v>-1.1919473015018256E-2</v>
          </cell>
        </row>
        <row r="479">
          <cell r="B479">
            <v>40864</v>
          </cell>
          <cell r="F479">
            <v>-2.3106932445636871E-2</v>
          </cell>
        </row>
        <row r="480">
          <cell r="B480">
            <v>40865</v>
          </cell>
          <cell r="F480">
            <v>-1.6074829549080526E-2</v>
          </cell>
        </row>
        <row r="481">
          <cell r="B481">
            <v>40868</v>
          </cell>
          <cell r="F481">
            <v>-1.9729872613323415E-2</v>
          </cell>
        </row>
        <row r="482">
          <cell r="B482">
            <v>40869</v>
          </cell>
          <cell r="F482">
            <v>-8.6044701274596647E-4</v>
          </cell>
        </row>
        <row r="483">
          <cell r="B483">
            <v>40870</v>
          </cell>
          <cell r="F483">
            <v>-2.6763695260674722E-3</v>
          </cell>
        </row>
        <row r="484">
          <cell r="B484">
            <v>40872</v>
          </cell>
          <cell r="F484">
            <v>-4.7537370811817055E-3</v>
          </cell>
        </row>
        <row r="485">
          <cell r="B485">
            <v>40875</v>
          </cell>
          <cell r="F485">
            <v>4.8827069289220586E-2</v>
          </cell>
        </row>
        <row r="486">
          <cell r="B486">
            <v>40876</v>
          </cell>
          <cell r="F486">
            <v>-8.3626508218601972E-3</v>
          </cell>
        </row>
        <row r="487">
          <cell r="B487">
            <v>40877</v>
          </cell>
          <cell r="F487">
            <v>1.5000331762001497E-2</v>
          </cell>
        </row>
        <row r="488">
          <cell r="B488">
            <v>40878</v>
          </cell>
          <cell r="F488">
            <v>3.0446633471104084E-2</v>
          </cell>
        </row>
        <row r="489">
          <cell r="B489">
            <v>40879</v>
          </cell>
          <cell r="F489">
            <v>6.5066512412665124E-3</v>
          </cell>
        </row>
        <row r="490">
          <cell r="B490">
            <v>40882</v>
          </cell>
          <cell r="F490">
            <v>2.2677742344651995E-2</v>
          </cell>
        </row>
        <row r="491">
          <cell r="B491">
            <v>40883</v>
          </cell>
          <cell r="F491">
            <v>1.268959243046283E-2</v>
          </cell>
        </row>
        <row r="492">
          <cell r="B492">
            <v>40884</v>
          </cell>
          <cell r="F492">
            <v>-7.8873203476201824E-3</v>
          </cell>
        </row>
        <row r="493">
          <cell r="B493">
            <v>40885</v>
          </cell>
          <cell r="F493">
            <v>-1.2323777205468248E-2</v>
          </cell>
        </row>
        <row r="494">
          <cell r="B494">
            <v>40886</v>
          </cell>
          <cell r="F494">
            <v>2.2648238749066726E-2</v>
          </cell>
        </row>
        <row r="495">
          <cell r="B495">
            <v>40889</v>
          </cell>
          <cell r="F495">
            <v>1.5110361779155593E-2</v>
          </cell>
        </row>
        <row r="496">
          <cell r="B496">
            <v>40890</v>
          </cell>
          <cell r="F496">
            <v>-3.1105758458350081E-2</v>
          </cell>
        </row>
        <row r="497">
          <cell r="B497">
            <v>40891</v>
          </cell>
          <cell r="F497">
            <v>-3.3826203137523173E-2</v>
          </cell>
        </row>
        <row r="498">
          <cell r="B498">
            <v>40892</v>
          </cell>
          <cell r="F498">
            <v>1.834642759236086E-2</v>
          </cell>
        </row>
        <row r="499">
          <cell r="B499">
            <v>40893</v>
          </cell>
          <cell r="F499">
            <v>1.1841181987973525E-2</v>
          </cell>
        </row>
        <row r="500">
          <cell r="B500">
            <v>40896</v>
          </cell>
          <cell r="F500">
            <v>6.3193712276838048E-4</v>
          </cell>
        </row>
        <row r="501">
          <cell r="B501">
            <v>40897</v>
          </cell>
          <cell r="F501">
            <v>3.8469069054871304E-3</v>
          </cell>
        </row>
        <row r="502">
          <cell r="B502">
            <v>40898</v>
          </cell>
          <cell r="F502">
            <v>-2.2410774170572141E-2</v>
          </cell>
        </row>
        <row r="503">
          <cell r="B503">
            <v>40899</v>
          </cell>
          <cell r="F503">
            <v>-1.6309138702178139E-2</v>
          </cell>
        </row>
        <row r="504">
          <cell r="B504">
            <v>40900</v>
          </cell>
          <cell r="F504">
            <v>2.2484016256428072E-2</v>
          </cell>
        </row>
        <row r="505">
          <cell r="B505">
            <v>40904</v>
          </cell>
          <cell r="F505">
            <v>-2.7442760305619596E-5</v>
          </cell>
        </row>
        <row r="506">
          <cell r="B506">
            <v>40905</v>
          </cell>
          <cell r="F506">
            <v>6.9784882571572913E-4</v>
          </cell>
        </row>
        <row r="507">
          <cell r="B507">
            <v>40906</v>
          </cell>
          <cell r="F507">
            <v>1.4797044395659484E-3</v>
          </cell>
        </row>
        <row r="508">
          <cell r="B508">
            <v>40907</v>
          </cell>
          <cell r="F508">
            <v>6.6922063711747836E-3</v>
          </cell>
        </row>
        <row r="509">
          <cell r="B509">
            <v>40911</v>
          </cell>
          <cell r="F509">
            <v>3.2938888536859459E-2</v>
          </cell>
        </row>
        <row r="510">
          <cell r="B510">
            <v>40912</v>
          </cell>
          <cell r="F510">
            <v>-1.8421628992527188E-2</v>
          </cell>
        </row>
        <row r="511">
          <cell r="B511">
            <v>40913</v>
          </cell>
          <cell r="F511">
            <v>-3.3686117730722845E-2</v>
          </cell>
        </row>
        <row r="512">
          <cell r="B512">
            <v>40914</v>
          </cell>
          <cell r="F512">
            <v>-1.597736398800605E-2</v>
          </cell>
        </row>
        <row r="513">
          <cell r="B513">
            <v>40917</v>
          </cell>
          <cell r="F513">
            <v>-3.4567451706664212E-2</v>
          </cell>
        </row>
        <row r="514">
          <cell r="B514">
            <v>40918</v>
          </cell>
          <cell r="F514">
            <v>2.170069496062244E-3</v>
          </cell>
        </row>
        <row r="515">
          <cell r="B515">
            <v>40919</v>
          </cell>
          <cell r="F515">
            <v>3.1370576980551006E-2</v>
          </cell>
        </row>
        <row r="516">
          <cell r="B516">
            <v>40920</v>
          </cell>
          <cell r="F516">
            <v>2.223491486507247E-2</v>
          </cell>
        </row>
        <row r="517">
          <cell r="B517">
            <v>40921</v>
          </cell>
          <cell r="F517">
            <v>-1.1438251904112667E-2</v>
          </cell>
        </row>
        <row r="518">
          <cell r="B518">
            <v>40925</v>
          </cell>
          <cell r="F518">
            <v>-1.3954386554321015E-3</v>
          </cell>
        </row>
        <row r="519">
          <cell r="B519">
            <v>40926</v>
          </cell>
          <cell r="F519">
            <v>2.5951450471123176E-2</v>
          </cell>
        </row>
        <row r="520">
          <cell r="B520">
            <v>40927</v>
          </cell>
          <cell r="F520">
            <v>-1.2881930299641735E-2</v>
          </cell>
        </row>
        <row r="521">
          <cell r="B521">
            <v>40928</v>
          </cell>
          <cell r="F521">
            <v>-9.2677402301844805E-2</v>
          </cell>
        </row>
        <row r="522">
          <cell r="B522">
            <v>40931</v>
          </cell>
          <cell r="F522">
            <v>-5.4987886680428226E-3</v>
          </cell>
        </row>
        <row r="523">
          <cell r="B523">
            <v>40932</v>
          </cell>
          <cell r="F523">
            <v>3.051045210619887E-2</v>
          </cell>
        </row>
        <row r="524">
          <cell r="B524">
            <v>40933</v>
          </cell>
          <cell r="F524">
            <v>-1.1816531458786549E-2</v>
          </cell>
        </row>
        <row r="525">
          <cell r="B525">
            <v>40934</v>
          </cell>
          <cell r="F525">
            <v>5.5490388843278303E-2</v>
          </cell>
        </row>
        <row r="526">
          <cell r="B526">
            <v>40935</v>
          </cell>
          <cell r="F526">
            <v>1.8295458085965964E-2</v>
          </cell>
        </row>
        <row r="527">
          <cell r="B527">
            <v>40938</v>
          </cell>
          <cell r="F527">
            <v>1.8415179985746743E-3</v>
          </cell>
        </row>
        <row r="528">
          <cell r="B528">
            <v>40939</v>
          </cell>
          <cell r="F528">
            <v>3.9857411724766451E-3</v>
          </cell>
        </row>
        <row r="529">
          <cell r="B529">
            <v>40940</v>
          </cell>
          <cell r="F529">
            <v>-1.7178040030775669E-2</v>
          </cell>
        </row>
        <row r="530">
          <cell r="B530">
            <v>40941</v>
          </cell>
          <cell r="F530">
            <v>-7.9060362749831629E-4</v>
          </cell>
        </row>
        <row r="531">
          <cell r="B531">
            <v>40942</v>
          </cell>
          <cell r="F531">
            <v>2.3434197865854333E-2</v>
          </cell>
        </row>
        <row r="532">
          <cell r="B532">
            <v>40945</v>
          </cell>
          <cell r="F532">
            <v>2.2907150671411362E-2</v>
          </cell>
        </row>
        <row r="533">
          <cell r="B533">
            <v>40946</v>
          </cell>
          <cell r="F533">
            <v>-1.7810939375398994E-2</v>
          </cell>
        </row>
        <row r="534">
          <cell r="B534">
            <v>40947</v>
          </cell>
          <cell r="F534">
            <v>-7.9439789049344321E-3</v>
          </cell>
        </row>
        <row r="535">
          <cell r="B535">
            <v>40948</v>
          </cell>
          <cell r="F535">
            <v>1.3145136122659006E-2</v>
          </cell>
        </row>
        <row r="536">
          <cell r="B536">
            <v>40949</v>
          </cell>
          <cell r="F536">
            <v>-1.7991876438054145E-2</v>
          </cell>
        </row>
        <row r="537">
          <cell r="B537">
            <v>40952</v>
          </cell>
          <cell r="F537">
            <v>7.6272759384044802E-3</v>
          </cell>
        </row>
        <row r="538">
          <cell r="B538">
            <v>40953</v>
          </cell>
          <cell r="F538">
            <v>3.0884512946505634E-3</v>
          </cell>
        </row>
        <row r="539">
          <cell r="B539">
            <v>40954</v>
          </cell>
          <cell r="F539">
            <v>-1.126333618873292E-2</v>
          </cell>
        </row>
        <row r="540">
          <cell r="B540">
            <v>40955</v>
          </cell>
          <cell r="F540">
            <v>4.8965512778056247E-3</v>
          </cell>
        </row>
        <row r="541">
          <cell r="B541">
            <v>40956</v>
          </cell>
          <cell r="F541">
            <v>5.1864814619584955E-3</v>
          </cell>
        </row>
        <row r="542">
          <cell r="B542">
            <v>40960</v>
          </cell>
          <cell r="F542">
            <v>4.5365218127909869E-2</v>
          </cell>
        </row>
        <row r="543">
          <cell r="B543">
            <v>40961</v>
          </cell>
          <cell r="F543">
            <v>8.7238003111031304E-2</v>
          </cell>
        </row>
        <row r="544">
          <cell r="B544">
            <v>40962</v>
          </cell>
          <cell r="F544">
            <v>4.2142474263198476E-2</v>
          </cell>
        </row>
        <row r="545">
          <cell r="B545">
            <v>40963</v>
          </cell>
          <cell r="F545">
            <v>7.6574953626068632E-3</v>
          </cell>
        </row>
        <row r="546">
          <cell r="B546">
            <v>40966</v>
          </cell>
          <cell r="F546">
            <v>1.2044726754179896E-2</v>
          </cell>
        </row>
        <row r="547">
          <cell r="B547">
            <v>40967</v>
          </cell>
          <cell r="F547">
            <v>5.2199263119540068E-2</v>
          </cell>
        </row>
        <row r="548">
          <cell r="B548">
            <v>40968</v>
          </cell>
          <cell r="F548">
            <v>1.5506426315393581E-2</v>
          </cell>
        </row>
        <row r="549">
          <cell r="B549">
            <v>40969</v>
          </cell>
          <cell r="F549">
            <v>4.4566637838657202E-3</v>
          </cell>
        </row>
        <row r="550">
          <cell r="B550">
            <v>40970</v>
          </cell>
          <cell r="F550">
            <v>-3.4399089838755854E-3</v>
          </cell>
        </row>
        <row r="551">
          <cell r="B551">
            <v>40973</v>
          </cell>
          <cell r="F551">
            <v>-1.2021891512817708E-2</v>
          </cell>
        </row>
        <row r="552">
          <cell r="B552">
            <v>40974</v>
          </cell>
          <cell r="F552">
            <v>-8.5002608881458788E-4</v>
          </cell>
        </row>
        <row r="553">
          <cell r="B553">
            <v>40975</v>
          </cell>
          <cell r="F553">
            <v>-4.4199235952352658E-2</v>
          </cell>
        </row>
        <row r="554">
          <cell r="B554">
            <v>40976</v>
          </cell>
          <cell r="F554">
            <v>4.202697305944967E-2</v>
          </cell>
        </row>
        <row r="555">
          <cell r="B555">
            <v>40977</v>
          </cell>
          <cell r="F555">
            <v>-4.5881626238325349E-3</v>
          </cell>
        </row>
        <row r="556">
          <cell r="B556">
            <v>40980</v>
          </cell>
          <cell r="F556">
            <v>7.3073367521234688E-4</v>
          </cell>
        </row>
        <row r="557">
          <cell r="B557">
            <v>40981</v>
          </cell>
          <cell r="F557">
            <v>2.8336727150088014E-2</v>
          </cell>
        </row>
        <row r="558">
          <cell r="B558">
            <v>40982</v>
          </cell>
          <cell r="F558">
            <v>-1.2343781311959316E-2</v>
          </cell>
        </row>
        <row r="559">
          <cell r="B559">
            <v>40983</v>
          </cell>
          <cell r="F559">
            <v>-1.1451321437553149E-2</v>
          </cell>
        </row>
        <row r="560">
          <cell r="B560">
            <v>40984</v>
          </cell>
          <cell r="F560">
            <v>1.2900494291372702E-2</v>
          </cell>
        </row>
        <row r="561">
          <cell r="B561">
            <v>40987</v>
          </cell>
          <cell r="F561">
            <v>1.6142225370616541E-2</v>
          </cell>
        </row>
        <row r="562">
          <cell r="B562">
            <v>40988</v>
          </cell>
          <cell r="F562">
            <v>-1.1853298546586616E-2</v>
          </cell>
        </row>
        <row r="563">
          <cell r="B563">
            <v>40989</v>
          </cell>
          <cell r="F563">
            <v>8.1813699132935527E-3</v>
          </cell>
        </row>
        <row r="564">
          <cell r="B564">
            <v>40990</v>
          </cell>
          <cell r="F564">
            <v>1.8874239776770106E-3</v>
          </cell>
        </row>
        <row r="565">
          <cell r="B565">
            <v>40991</v>
          </cell>
          <cell r="F565">
            <v>1.806435338913864E-2</v>
          </cell>
        </row>
        <row r="566">
          <cell r="B566">
            <v>40994</v>
          </cell>
          <cell r="F566">
            <v>4.6010634087954458E-2</v>
          </cell>
        </row>
        <row r="567">
          <cell r="B567">
            <v>40995</v>
          </cell>
          <cell r="F567">
            <v>1.401090188892167E-2</v>
          </cell>
        </row>
        <row r="568">
          <cell r="B568">
            <v>40996</v>
          </cell>
          <cell r="F568">
            <v>-1.0149762868584889E-2</v>
          </cell>
        </row>
        <row r="569">
          <cell r="B569">
            <v>40997</v>
          </cell>
          <cell r="F569">
            <v>-3.5370876909475782E-3</v>
          </cell>
        </row>
        <row r="570">
          <cell r="B570">
            <v>40998</v>
          </cell>
          <cell r="F570">
            <v>-2.678472121808459E-2</v>
          </cell>
        </row>
        <row r="571">
          <cell r="B571">
            <v>41001</v>
          </cell>
          <cell r="F571">
            <v>3.5063073529521795E-2</v>
          </cell>
        </row>
        <row r="572">
          <cell r="B572">
            <v>41002</v>
          </cell>
          <cell r="F572">
            <v>-7.120089703968757E-3</v>
          </cell>
        </row>
        <row r="573">
          <cell r="B573">
            <v>41003</v>
          </cell>
          <cell r="F573">
            <v>-7.4017601009566383E-3</v>
          </cell>
        </row>
        <row r="574">
          <cell r="B574">
            <v>41004</v>
          </cell>
          <cell r="F574">
            <v>-2.7447800011652396E-2</v>
          </cell>
        </row>
        <row r="575">
          <cell r="B575">
            <v>41008</v>
          </cell>
          <cell r="F575">
            <v>1.6961962693235612E-2</v>
          </cell>
        </row>
        <row r="576">
          <cell r="B576">
            <v>41009</v>
          </cell>
          <cell r="F576">
            <v>-9.0469264355839685E-3</v>
          </cell>
        </row>
        <row r="577">
          <cell r="B577">
            <v>41010</v>
          </cell>
          <cell r="F577">
            <v>1.3766754072061507E-2</v>
          </cell>
        </row>
        <row r="578">
          <cell r="B578">
            <v>41011</v>
          </cell>
          <cell r="F578">
            <v>3.053907206065952E-2</v>
          </cell>
        </row>
        <row r="579">
          <cell r="B579">
            <v>41012</v>
          </cell>
          <cell r="F579">
            <v>-5.7513857120386674E-2</v>
          </cell>
        </row>
        <row r="580">
          <cell r="B580">
            <v>41015</v>
          </cell>
          <cell r="F580">
            <v>-3.0040595108908635E-2</v>
          </cell>
        </row>
        <row r="581">
          <cell r="B581">
            <v>41016</v>
          </cell>
          <cell r="F581">
            <v>2.3468385079670907E-2</v>
          </cell>
        </row>
        <row r="582">
          <cell r="B582">
            <v>41017</v>
          </cell>
          <cell r="F582">
            <v>2.8109423533281721E-3</v>
          </cell>
        </row>
        <row r="583">
          <cell r="B583">
            <v>41018</v>
          </cell>
          <cell r="F583">
            <v>3.6988101525960507E-2</v>
          </cell>
        </row>
        <row r="584">
          <cell r="B584">
            <v>41019</v>
          </cell>
          <cell r="F584">
            <v>-8.0734346866099496E-2</v>
          </cell>
        </row>
        <row r="585">
          <cell r="B585">
            <v>41022</v>
          </cell>
          <cell r="F585">
            <v>8.8230703236731444E-3</v>
          </cell>
        </row>
        <row r="586">
          <cell r="B586">
            <v>41023</v>
          </cell>
          <cell r="F586">
            <v>7.3089470300853375E-3</v>
          </cell>
        </row>
        <row r="587">
          <cell r="B587">
            <v>41024</v>
          </cell>
          <cell r="F587">
            <v>9.9945062407968237E-3</v>
          </cell>
        </row>
        <row r="588">
          <cell r="B588">
            <v>41025</v>
          </cell>
          <cell r="F588">
            <v>-4.6508108155628326E-3</v>
          </cell>
        </row>
        <row r="589">
          <cell r="B589">
            <v>41026</v>
          </cell>
          <cell r="F589">
            <v>-4.3294517235383375E-3</v>
          </cell>
        </row>
        <row r="590">
          <cell r="B590">
            <v>41029</v>
          </cell>
          <cell r="F590">
            <v>-8.2670224324778892E-3</v>
          </cell>
        </row>
        <row r="591">
          <cell r="B591">
            <v>41030</v>
          </cell>
          <cell r="F591">
            <v>-1.2881947856122841E-2</v>
          </cell>
        </row>
        <row r="592">
          <cell r="B592">
            <v>41031</v>
          </cell>
          <cell r="F592">
            <v>1.1751775374147622E-2</v>
          </cell>
        </row>
        <row r="593">
          <cell r="B593">
            <v>41032</v>
          </cell>
          <cell r="F593">
            <v>7.670584551909292E-3</v>
          </cell>
        </row>
        <row r="594">
          <cell r="B594">
            <v>41033</v>
          </cell>
          <cell r="F594">
            <v>-2.9323361979214941E-2</v>
          </cell>
        </row>
        <row r="595">
          <cell r="B595">
            <v>41036</v>
          </cell>
          <cell r="F595">
            <v>4.4073978718287922E-2</v>
          </cell>
        </row>
        <row r="596">
          <cell r="B596">
            <v>41037</v>
          </cell>
          <cell r="F596">
            <v>5.5978879738717E-2</v>
          </cell>
        </row>
        <row r="597">
          <cell r="B597">
            <v>41038</v>
          </cell>
          <cell r="F597">
            <v>-1.5595857236790713E-2</v>
          </cell>
        </row>
        <row r="598">
          <cell r="B598">
            <v>41039</v>
          </cell>
          <cell r="F598">
            <v>-1.0723352295009788E-3</v>
          </cell>
        </row>
        <row r="599">
          <cell r="B599">
            <v>41040</v>
          </cell>
          <cell r="F599">
            <v>-1.2632206245594644E-2</v>
          </cell>
        </row>
        <row r="600">
          <cell r="B600">
            <v>41043</v>
          </cell>
          <cell r="F600">
            <v>-4.5399997707532246E-3</v>
          </cell>
        </row>
        <row r="601">
          <cell r="B601">
            <v>41044</v>
          </cell>
          <cell r="F601">
            <v>1.9432712964685891E-2</v>
          </cell>
        </row>
        <row r="602">
          <cell r="B602">
            <v>41045</v>
          </cell>
          <cell r="F602">
            <v>2.380930811789421E-2</v>
          </cell>
        </row>
        <row r="603">
          <cell r="B603">
            <v>41046</v>
          </cell>
          <cell r="F603">
            <v>5.5845641609874146E-3</v>
          </cell>
        </row>
        <row r="604">
          <cell r="B604">
            <v>41047</v>
          </cell>
          <cell r="F604">
            <v>-7.8544912089248076E-2</v>
          </cell>
        </row>
        <row r="605">
          <cell r="B605">
            <v>41050</v>
          </cell>
          <cell r="F605">
            <v>6.1697893774310952E-2</v>
          </cell>
        </row>
        <row r="606">
          <cell r="B606">
            <v>41051</v>
          </cell>
          <cell r="F606">
            <v>1.2785292726544748E-2</v>
          </cell>
        </row>
        <row r="607">
          <cell r="B607">
            <v>41052</v>
          </cell>
          <cell r="F607">
            <v>-2.6678779833625502E-3</v>
          </cell>
        </row>
        <row r="608">
          <cell r="B608">
            <v>41053</v>
          </cell>
          <cell r="F608">
            <v>3.6519596647596689E-3</v>
          </cell>
        </row>
        <row r="609">
          <cell r="B609">
            <v>41054</v>
          </cell>
          <cell r="F609">
            <v>-3.7677097952698829E-2</v>
          </cell>
        </row>
        <row r="610">
          <cell r="B610">
            <v>41058</v>
          </cell>
          <cell r="F610">
            <v>2.1667737709083458E-2</v>
          </cell>
        </row>
        <row r="611">
          <cell r="B611">
            <v>41059</v>
          </cell>
          <cell r="F611">
            <v>-9.0682783187322411E-3</v>
          </cell>
        </row>
        <row r="612">
          <cell r="B612">
            <v>41060</v>
          </cell>
          <cell r="F612">
            <v>-9.831046811112059E-3</v>
          </cell>
        </row>
        <row r="613">
          <cell r="B613">
            <v>41061</v>
          </cell>
          <cell r="F613">
            <v>-1.6768023983183285E-2</v>
          </cell>
        </row>
        <row r="614">
          <cell r="B614">
            <v>41064</v>
          </cell>
          <cell r="F614">
            <v>7.2211342688221171E-3</v>
          </cell>
        </row>
        <row r="615">
          <cell r="B615">
            <v>41065</v>
          </cell>
          <cell r="F615">
            <v>-2.0525485500268607E-2</v>
          </cell>
        </row>
        <row r="616">
          <cell r="B616">
            <v>41066</v>
          </cell>
          <cell r="F616">
            <v>3.3716953940742894E-2</v>
          </cell>
        </row>
        <row r="617">
          <cell r="B617">
            <v>41067</v>
          </cell>
          <cell r="F617">
            <v>-5.9522543398369179E-3</v>
          </cell>
        </row>
        <row r="618">
          <cell r="B618">
            <v>41068</v>
          </cell>
          <cell r="F618">
            <v>-6.5024283968604501E-3</v>
          </cell>
        </row>
        <row r="619">
          <cell r="B619">
            <v>41071</v>
          </cell>
          <cell r="F619">
            <v>-1.7893091816968153E-2</v>
          </cell>
        </row>
        <row r="620">
          <cell r="B620">
            <v>41072</v>
          </cell>
          <cell r="F620">
            <v>-1.2680106379523697E-3</v>
          </cell>
        </row>
        <row r="621">
          <cell r="B621">
            <v>41073</v>
          </cell>
          <cell r="F621">
            <v>7.4727506590675091E-2</v>
          </cell>
        </row>
        <row r="622">
          <cell r="B622">
            <v>41074</v>
          </cell>
          <cell r="F622">
            <v>-1.0202495148522437E-3</v>
          </cell>
        </row>
        <row r="623">
          <cell r="B623">
            <v>41075</v>
          </cell>
          <cell r="F623">
            <v>1.7140716818042762E-2</v>
          </cell>
        </row>
        <row r="624">
          <cell r="B624">
            <v>41078</v>
          </cell>
          <cell r="F624">
            <v>3.919313145640051E-3</v>
          </cell>
        </row>
        <row r="625">
          <cell r="B625">
            <v>41079</v>
          </cell>
          <cell r="F625">
            <v>2.8086549360901748E-2</v>
          </cell>
        </row>
        <row r="626">
          <cell r="B626">
            <v>41080</v>
          </cell>
          <cell r="F626">
            <v>1.2306506402970367E-2</v>
          </cell>
        </row>
        <row r="627">
          <cell r="B627">
            <v>41081</v>
          </cell>
          <cell r="F627">
            <v>-3.9906525511128957E-2</v>
          </cell>
        </row>
        <row r="628">
          <cell r="B628">
            <v>41082</v>
          </cell>
          <cell r="F628">
            <v>1.38263748245641E-2</v>
          </cell>
        </row>
        <row r="629">
          <cell r="B629">
            <v>41085</v>
          </cell>
          <cell r="F629">
            <v>-2.0298895324783982E-3</v>
          </cell>
        </row>
        <row r="630">
          <cell r="B630">
            <v>41086</v>
          </cell>
          <cell r="F630">
            <v>-5.2964831678444624E-2</v>
          </cell>
        </row>
        <row r="631">
          <cell r="B631">
            <v>41087</v>
          </cell>
          <cell r="F631">
            <v>-9.5851761022214699E-3</v>
          </cell>
        </row>
        <row r="632">
          <cell r="B632">
            <v>41088</v>
          </cell>
          <cell r="F632">
            <v>5.6574031575588168E-3</v>
          </cell>
        </row>
        <row r="633">
          <cell r="B633">
            <v>41089</v>
          </cell>
          <cell r="F633">
            <v>-7.817561097610691E-3</v>
          </cell>
        </row>
        <row r="634">
          <cell r="B634">
            <v>41092</v>
          </cell>
          <cell r="F634">
            <v>8.9767166842227471E-3</v>
          </cell>
        </row>
        <row r="635">
          <cell r="B635">
            <v>41093</v>
          </cell>
          <cell r="F635">
            <v>-6.7829632958925912E-3</v>
          </cell>
        </row>
        <row r="636">
          <cell r="B636">
            <v>41095</v>
          </cell>
          <cell r="F636">
            <v>5.9497911768510593E-3</v>
          </cell>
        </row>
        <row r="637">
          <cell r="B637">
            <v>41096</v>
          </cell>
          <cell r="F637">
            <v>-1.8249209405055949E-2</v>
          </cell>
        </row>
        <row r="638">
          <cell r="B638">
            <v>41099</v>
          </cell>
          <cell r="F638">
            <v>5.7566867942577555E-3</v>
          </cell>
        </row>
        <row r="639">
          <cell r="B639">
            <v>41100</v>
          </cell>
          <cell r="F639">
            <v>1.0175104736778389E-2</v>
          </cell>
        </row>
        <row r="640">
          <cell r="B640">
            <v>41101</v>
          </cell>
          <cell r="F640">
            <v>-2.6944339756162457E-2</v>
          </cell>
        </row>
        <row r="641">
          <cell r="B641">
            <v>41102</v>
          </cell>
          <cell r="F641">
            <v>-1.5282382129082405E-2</v>
          </cell>
        </row>
        <row r="642">
          <cell r="B642">
            <v>41103</v>
          </cell>
          <cell r="F642">
            <v>-1.2936507681948504E-2</v>
          </cell>
        </row>
        <row r="643">
          <cell r="B643">
            <v>41106</v>
          </cell>
          <cell r="F643">
            <v>4.8699034476839986E-2</v>
          </cell>
        </row>
        <row r="644">
          <cell r="B644">
            <v>41107</v>
          </cell>
          <cell r="F644">
            <v>-3.6794039749118213E-2</v>
          </cell>
        </row>
        <row r="645">
          <cell r="B645">
            <v>41108</v>
          </cell>
          <cell r="F645">
            <v>3.7027530193354932E-2</v>
          </cell>
        </row>
        <row r="646">
          <cell r="B646">
            <v>41109</v>
          </cell>
          <cell r="F646">
            <v>-1.5467584785668516E-2</v>
          </cell>
        </row>
        <row r="647">
          <cell r="B647">
            <v>41110</v>
          </cell>
          <cell r="F647">
            <v>-1.4134896223207787E-3</v>
          </cell>
        </row>
        <row r="648">
          <cell r="B648">
            <v>41113</v>
          </cell>
          <cell r="F648">
            <v>2.2963825087137651E-2</v>
          </cell>
        </row>
        <row r="649">
          <cell r="B649">
            <v>41114</v>
          </cell>
          <cell r="F649">
            <v>-4.4334726900915028E-2</v>
          </cell>
        </row>
        <row r="650">
          <cell r="B650">
            <v>41115</v>
          </cell>
          <cell r="F650">
            <v>-2.7255927813776928E-3</v>
          </cell>
        </row>
        <row r="651">
          <cell r="B651">
            <v>41116</v>
          </cell>
          <cell r="F651">
            <v>1.4702769063556585E-2</v>
          </cell>
        </row>
        <row r="652">
          <cell r="B652">
            <v>41117</v>
          </cell>
          <cell r="F652">
            <v>3.6917439227750516E-2</v>
          </cell>
        </row>
        <row r="653">
          <cell r="B653">
            <v>41120</v>
          </cell>
          <cell r="F653">
            <v>1.9489259491870005E-3</v>
          </cell>
        </row>
        <row r="654">
          <cell r="B654">
            <v>41121</v>
          </cell>
          <cell r="F654">
            <v>-8.2676634425052232E-3</v>
          </cell>
        </row>
        <row r="655">
          <cell r="B655">
            <v>41122</v>
          </cell>
          <cell r="F655">
            <v>6.6579159042230492E-3</v>
          </cell>
        </row>
        <row r="656">
          <cell r="B656">
            <v>41123</v>
          </cell>
          <cell r="F656">
            <v>2.5268944530761738E-3</v>
          </cell>
        </row>
        <row r="657">
          <cell r="B657">
            <v>41124</v>
          </cell>
          <cell r="F657">
            <v>4.61972344131302E-2</v>
          </cell>
        </row>
        <row r="658">
          <cell r="B658">
            <v>41127</v>
          </cell>
          <cell r="F658">
            <v>5.3607682834590255E-2</v>
          </cell>
        </row>
        <row r="659">
          <cell r="B659">
            <v>41128</v>
          </cell>
          <cell r="F659">
            <v>1.1200032196919188E-2</v>
          </cell>
        </row>
        <row r="660">
          <cell r="B660">
            <v>41129</v>
          </cell>
          <cell r="F660">
            <v>5.8883828160210235E-3</v>
          </cell>
        </row>
        <row r="661">
          <cell r="B661">
            <v>41130</v>
          </cell>
          <cell r="F661">
            <v>7.7961063902599092E-3</v>
          </cell>
        </row>
        <row r="662">
          <cell r="B662">
            <v>41131</v>
          </cell>
          <cell r="F662">
            <v>8.6953607432567262E-3</v>
          </cell>
        </row>
        <row r="663">
          <cell r="B663">
            <v>41134</v>
          </cell>
          <cell r="F663">
            <v>1.9839316142326646E-2</v>
          </cell>
        </row>
        <row r="664">
          <cell r="B664">
            <v>41135</v>
          </cell>
          <cell r="F664">
            <v>2.0641121636282504E-2</v>
          </cell>
        </row>
        <row r="665">
          <cell r="B665">
            <v>41136</v>
          </cell>
          <cell r="F665">
            <v>-8.6835934636780836E-3</v>
          </cell>
        </row>
        <row r="666">
          <cell r="B666">
            <v>41137</v>
          </cell>
          <cell r="F666">
            <v>-8.9792143346175031E-4</v>
          </cell>
        </row>
        <row r="667">
          <cell r="B667">
            <v>41138</v>
          </cell>
          <cell r="F667">
            <v>1.5033167063600085E-2</v>
          </cell>
        </row>
        <row r="668">
          <cell r="B668">
            <v>41141</v>
          </cell>
          <cell r="F668">
            <v>-2.4226014666309841E-2</v>
          </cell>
        </row>
        <row r="669">
          <cell r="B669">
            <v>41142</v>
          </cell>
          <cell r="F669">
            <v>-2.4822314786058383E-2</v>
          </cell>
        </row>
        <row r="670">
          <cell r="B670">
            <v>41143</v>
          </cell>
          <cell r="F670">
            <v>2.8628655673225804E-2</v>
          </cell>
        </row>
        <row r="671">
          <cell r="B671">
            <v>41144</v>
          </cell>
          <cell r="F671">
            <v>1.0408522083750904E-2</v>
          </cell>
        </row>
        <row r="672">
          <cell r="B672">
            <v>41145</v>
          </cell>
          <cell r="F672">
            <v>5.1740617979195106E-3</v>
          </cell>
        </row>
        <row r="673">
          <cell r="B673">
            <v>41148</v>
          </cell>
          <cell r="F673">
            <v>-5.9837716688853765E-3</v>
          </cell>
        </row>
        <row r="674">
          <cell r="B674">
            <v>41149</v>
          </cell>
          <cell r="F674">
            <v>1.1673691264396484E-4</v>
          </cell>
        </row>
        <row r="675">
          <cell r="B675">
            <v>41150</v>
          </cell>
          <cell r="F675">
            <v>2.7411540961835137E-2</v>
          </cell>
        </row>
        <row r="676">
          <cell r="B676">
            <v>41151</v>
          </cell>
          <cell r="F676">
            <v>-1.2399025015312641E-2</v>
          </cell>
        </row>
        <row r="677">
          <cell r="B677">
            <v>41152</v>
          </cell>
          <cell r="F677">
            <v>-4.1190655860410957E-3</v>
          </cell>
        </row>
        <row r="678">
          <cell r="B678">
            <v>41156</v>
          </cell>
          <cell r="F678">
            <v>3.720821846108037E-3</v>
          </cell>
        </row>
        <row r="679">
          <cell r="B679">
            <v>41157</v>
          </cell>
          <cell r="F679">
            <v>1.0733128575246241E-2</v>
          </cell>
        </row>
        <row r="680">
          <cell r="B680">
            <v>41158</v>
          </cell>
          <cell r="F680">
            <v>-1.3952398671420303E-2</v>
          </cell>
        </row>
        <row r="681">
          <cell r="B681">
            <v>41159</v>
          </cell>
          <cell r="F681">
            <v>3.8234415019180082E-2</v>
          </cell>
        </row>
        <row r="682">
          <cell r="B682">
            <v>41162</v>
          </cell>
          <cell r="F682">
            <v>-3.0315126297699252E-2</v>
          </cell>
        </row>
        <row r="683">
          <cell r="B683">
            <v>41163</v>
          </cell>
          <cell r="F683">
            <v>-1.1550961257993191E-2</v>
          </cell>
        </row>
        <row r="684">
          <cell r="B684">
            <v>41164</v>
          </cell>
          <cell r="F684">
            <v>3.2594037724368481E-3</v>
          </cell>
        </row>
        <row r="685">
          <cell r="B685">
            <v>41165</v>
          </cell>
          <cell r="F685">
            <v>3.2608715597179525E-2</v>
          </cell>
        </row>
        <row r="686">
          <cell r="B686">
            <v>41166</v>
          </cell>
          <cell r="F686">
            <v>-1.1998460348665516E-2</v>
          </cell>
        </row>
        <row r="687">
          <cell r="B687">
            <v>41169</v>
          </cell>
          <cell r="F687">
            <v>-1.6872533074505765E-2</v>
          </cell>
        </row>
        <row r="688">
          <cell r="B688">
            <v>41170</v>
          </cell>
          <cell r="F688">
            <v>8.1917677110099618E-3</v>
          </cell>
        </row>
        <row r="689">
          <cell r="B689">
            <v>41171</v>
          </cell>
          <cell r="F689">
            <v>1.7070954676785228E-2</v>
          </cell>
        </row>
        <row r="690">
          <cell r="B690">
            <v>41172</v>
          </cell>
          <cell r="F690">
            <v>-3.4956746542911541E-3</v>
          </cell>
        </row>
        <row r="691">
          <cell r="B691">
            <v>41173</v>
          </cell>
          <cell r="F691">
            <v>-2.0944310493938249E-3</v>
          </cell>
        </row>
        <row r="692">
          <cell r="B692">
            <v>41176</v>
          </cell>
          <cell r="F692">
            <v>2.6855879015052733E-2</v>
          </cell>
        </row>
        <row r="693">
          <cell r="B693">
            <v>41177</v>
          </cell>
          <cell r="F693">
            <v>5.1332670184424398E-3</v>
          </cell>
        </row>
        <row r="694">
          <cell r="B694">
            <v>41178</v>
          </cell>
          <cell r="F694">
            <v>-2.5464589020759709E-2</v>
          </cell>
        </row>
        <row r="695">
          <cell r="B695">
            <v>41179</v>
          </cell>
          <cell r="F695">
            <v>1.5996801486414542E-4</v>
          </cell>
        </row>
        <row r="696">
          <cell r="B696">
            <v>41180</v>
          </cell>
          <cell r="F696">
            <v>1.8833157926768786E-3</v>
          </cell>
        </row>
        <row r="697">
          <cell r="B697">
            <v>41183</v>
          </cell>
          <cell r="F697">
            <v>1.8067313061204186E-2</v>
          </cell>
        </row>
        <row r="698">
          <cell r="B698">
            <v>41184</v>
          </cell>
          <cell r="F698">
            <v>-2.1380735116118446E-2</v>
          </cell>
        </row>
        <row r="699">
          <cell r="B699">
            <v>41185</v>
          </cell>
          <cell r="F699">
            <v>-4.3276639877103899E-4</v>
          </cell>
        </row>
        <row r="700">
          <cell r="B700">
            <v>41186</v>
          </cell>
          <cell r="F700">
            <v>2.0344439975473676E-2</v>
          </cell>
        </row>
        <row r="701">
          <cell r="B701">
            <v>41187</v>
          </cell>
          <cell r="F701">
            <v>4.3436722360509508E-2</v>
          </cell>
        </row>
        <row r="702">
          <cell r="B702">
            <v>41190</v>
          </cell>
          <cell r="F702">
            <v>-4.0856460406584749E-2</v>
          </cell>
        </row>
        <row r="703">
          <cell r="B703">
            <v>41191</v>
          </cell>
          <cell r="F703">
            <v>-1.5040916530821721E-2</v>
          </cell>
        </row>
        <row r="704">
          <cell r="B704">
            <v>41192</v>
          </cell>
          <cell r="F704">
            <v>4.6287631449975263E-3</v>
          </cell>
        </row>
        <row r="705">
          <cell r="B705">
            <v>41193</v>
          </cell>
          <cell r="F705">
            <v>2.6260155295371897E-2</v>
          </cell>
        </row>
        <row r="706">
          <cell r="B706">
            <v>41194</v>
          </cell>
          <cell r="F706">
            <v>-5.7156355996502844E-3</v>
          </cell>
        </row>
        <row r="707">
          <cell r="B707">
            <v>41197</v>
          </cell>
          <cell r="F707">
            <v>-1.2759900197057115E-2</v>
          </cell>
        </row>
        <row r="708">
          <cell r="B708">
            <v>41198</v>
          </cell>
          <cell r="F708">
            <v>2.7529496190756543E-2</v>
          </cell>
        </row>
        <row r="709">
          <cell r="B709">
            <v>41199</v>
          </cell>
          <cell r="F709">
            <v>2.4412020064960401E-2</v>
          </cell>
        </row>
        <row r="710">
          <cell r="B710">
            <v>41200</v>
          </cell>
          <cell r="F710">
            <v>-9.0800363832409053E-2</v>
          </cell>
        </row>
        <row r="711">
          <cell r="B711">
            <v>41201</v>
          </cell>
          <cell r="F711">
            <v>-3.5710444869640937E-2</v>
          </cell>
        </row>
        <row r="712">
          <cell r="B712">
            <v>41204</v>
          </cell>
          <cell r="F712">
            <v>3.8433080525198643E-2</v>
          </cell>
        </row>
        <row r="713">
          <cell r="B713">
            <v>41205</v>
          </cell>
          <cell r="F713">
            <v>7.8099534131932536E-3</v>
          </cell>
        </row>
        <row r="714">
          <cell r="B714">
            <v>41206</v>
          </cell>
          <cell r="F714">
            <v>2.307665318707075E-3</v>
          </cell>
        </row>
        <row r="715">
          <cell r="B715">
            <v>41207</v>
          </cell>
          <cell r="F715">
            <v>-3.8128111367040029E-3</v>
          </cell>
        </row>
        <row r="716">
          <cell r="B716">
            <v>41208</v>
          </cell>
          <cell r="F716">
            <v>-6.7479866865313137E-3</v>
          </cell>
        </row>
        <row r="717">
          <cell r="B717">
            <v>41213</v>
          </cell>
          <cell r="F717">
            <v>7.2111705452680011E-3</v>
          </cell>
        </row>
        <row r="718">
          <cell r="B718">
            <v>41214</v>
          </cell>
          <cell r="F718">
            <v>9.9836142638277565E-3</v>
          </cell>
        </row>
        <row r="719">
          <cell r="B719">
            <v>41215</v>
          </cell>
          <cell r="F719">
            <v>7.3638278577612326E-4</v>
          </cell>
        </row>
        <row r="720">
          <cell r="B720">
            <v>41218</v>
          </cell>
          <cell r="F720">
            <v>1.8226065296419198E-3</v>
          </cell>
        </row>
        <row r="721">
          <cell r="B721">
            <v>41219</v>
          </cell>
          <cell r="F721">
            <v>-3.4624272880967063E-3</v>
          </cell>
        </row>
        <row r="722">
          <cell r="B722">
            <v>41220</v>
          </cell>
          <cell r="F722">
            <v>-2.0259092591813788E-2</v>
          </cell>
        </row>
        <row r="723">
          <cell r="B723">
            <v>41221</v>
          </cell>
          <cell r="F723">
            <v>-2.3069645812317945E-2</v>
          </cell>
        </row>
        <row r="724">
          <cell r="B724">
            <v>41222</v>
          </cell>
          <cell r="F724">
            <v>2.9778980981775449E-2</v>
          </cell>
        </row>
        <row r="725">
          <cell r="B725">
            <v>41225</v>
          </cell>
          <cell r="F725">
            <v>1.3961350675152657E-2</v>
          </cell>
        </row>
        <row r="726">
          <cell r="B726">
            <v>41226</v>
          </cell>
          <cell r="F726">
            <v>-2.1199676473556403E-2</v>
          </cell>
        </row>
        <row r="727">
          <cell r="B727">
            <v>41227</v>
          </cell>
          <cell r="F727">
            <v>-2.0214984282296126E-2</v>
          </cell>
        </row>
        <row r="728">
          <cell r="B728">
            <v>41228</v>
          </cell>
          <cell r="F728">
            <v>-5.4990087419957701E-3</v>
          </cell>
        </row>
        <row r="729">
          <cell r="B729">
            <v>41229</v>
          </cell>
          <cell r="F729">
            <v>1.3513476782143027E-2</v>
          </cell>
        </row>
        <row r="730">
          <cell r="B730">
            <v>41232</v>
          </cell>
          <cell r="F730">
            <v>3.6346530763874507E-2</v>
          </cell>
        </row>
        <row r="731">
          <cell r="B731">
            <v>41233</v>
          </cell>
          <cell r="F731">
            <v>2.0246376279386344E-2</v>
          </cell>
        </row>
        <row r="732">
          <cell r="B732">
            <v>41234</v>
          </cell>
          <cell r="F732">
            <v>-7.9346235877427833E-3</v>
          </cell>
        </row>
        <row r="733">
          <cell r="B733">
            <v>41236</v>
          </cell>
          <cell r="F733">
            <v>1.6464248428427558E-2</v>
          </cell>
        </row>
        <row r="734">
          <cell r="B734">
            <v>41239</v>
          </cell>
          <cell r="F734">
            <v>2.1278364001191315E-3</v>
          </cell>
        </row>
        <row r="735">
          <cell r="B735">
            <v>41240</v>
          </cell>
          <cell r="F735">
            <v>-2.2224682322777647E-5</v>
          </cell>
        </row>
        <row r="736">
          <cell r="B736">
            <v>41241</v>
          </cell>
          <cell r="F736">
            <v>2.7735844522284957E-2</v>
          </cell>
        </row>
        <row r="737">
          <cell r="B737">
            <v>41242</v>
          </cell>
          <cell r="F737">
            <v>8.9871339806645717E-3</v>
          </cell>
        </row>
        <row r="738">
          <cell r="B738">
            <v>41243</v>
          </cell>
          <cell r="F738">
            <v>5.5889194060895347E-3</v>
          </cell>
        </row>
        <row r="739">
          <cell r="B739">
            <v>41246</v>
          </cell>
          <cell r="F739">
            <v>-1.3286824786947742E-2</v>
          </cell>
        </row>
        <row r="740">
          <cell r="B740">
            <v>41247</v>
          </cell>
          <cell r="F740">
            <v>-1.7534370605744025E-2</v>
          </cell>
        </row>
        <row r="741">
          <cell r="B741">
            <v>41248</v>
          </cell>
          <cell r="F741">
            <v>3.9678102778484312E-2</v>
          </cell>
        </row>
        <row r="742">
          <cell r="B742">
            <v>41249</v>
          </cell>
          <cell r="F742">
            <v>3.0750659436169364E-2</v>
          </cell>
        </row>
        <row r="743">
          <cell r="B743">
            <v>41250</v>
          </cell>
          <cell r="F743">
            <v>-8.8624854687966818E-3</v>
          </cell>
        </row>
        <row r="744">
          <cell r="B744">
            <v>41253</v>
          </cell>
          <cell r="F744">
            <v>2.7532443984947495E-3</v>
          </cell>
        </row>
        <row r="745">
          <cell r="B745">
            <v>41254</v>
          </cell>
          <cell r="F745">
            <v>4.0051501024389702E-2</v>
          </cell>
        </row>
        <row r="746">
          <cell r="B746">
            <v>41255</v>
          </cell>
          <cell r="F746">
            <v>-4.733431861438985E-3</v>
          </cell>
        </row>
        <row r="747">
          <cell r="B747">
            <v>41256</v>
          </cell>
          <cell r="F747">
            <v>-1.9389657546880264E-3</v>
          </cell>
        </row>
        <row r="748">
          <cell r="B748">
            <v>41257</v>
          </cell>
          <cell r="F748">
            <v>3.6782166195843597E-3</v>
          </cell>
        </row>
        <row r="749">
          <cell r="B749">
            <v>41260</v>
          </cell>
          <cell r="F749">
            <v>-4.3518211265052009E-3</v>
          </cell>
        </row>
        <row r="750">
          <cell r="B750">
            <v>41261</v>
          </cell>
          <cell r="F750">
            <v>-8.0228780064140071E-3</v>
          </cell>
        </row>
        <row r="751">
          <cell r="B751">
            <v>41262</v>
          </cell>
          <cell r="F751">
            <v>-2.6507439499087661E-2</v>
          </cell>
        </row>
        <row r="752">
          <cell r="B752">
            <v>41263</v>
          </cell>
          <cell r="F752">
            <v>2.1087588368775768E-2</v>
          </cell>
        </row>
        <row r="753">
          <cell r="B753">
            <v>41264</v>
          </cell>
          <cell r="F753">
            <v>-2.4915715358247784E-2</v>
          </cell>
        </row>
        <row r="754">
          <cell r="B754">
            <v>41267</v>
          </cell>
          <cell r="F754">
            <v>-3.6066885619400815E-2</v>
          </cell>
        </row>
        <row r="755">
          <cell r="B755">
            <v>41269</v>
          </cell>
          <cell r="F755">
            <v>8.1357530568217486E-4</v>
          </cell>
        </row>
        <row r="756">
          <cell r="B756">
            <v>41270</v>
          </cell>
          <cell r="F756">
            <v>1.2110119879012237E-2</v>
          </cell>
        </row>
        <row r="757">
          <cell r="B757">
            <v>41271</v>
          </cell>
          <cell r="F757">
            <v>1.5008244203553182E-2</v>
          </cell>
        </row>
        <row r="758">
          <cell r="B758">
            <v>41274</v>
          </cell>
          <cell r="F758">
            <v>1.3492895421031326E-2</v>
          </cell>
        </row>
        <row r="759">
          <cell r="B759">
            <v>41276</v>
          </cell>
          <cell r="F759">
            <v>2.9700867064572031E-2</v>
          </cell>
        </row>
        <row r="760">
          <cell r="B760">
            <v>41277</v>
          </cell>
          <cell r="F760">
            <v>4.7136566707242913E-3</v>
          </cell>
        </row>
        <row r="761">
          <cell r="B761">
            <v>41278</v>
          </cell>
          <cell r="F761">
            <v>2.5542804999787554E-3</v>
          </cell>
        </row>
        <row r="762">
          <cell r="B762">
            <v>41281</v>
          </cell>
          <cell r="F762">
            <v>-1.0064256361062309E-2</v>
          </cell>
        </row>
        <row r="763">
          <cell r="B763">
            <v>41282</v>
          </cell>
          <cell r="F763">
            <v>-1.8643352806503352E-2</v>
          </cell>
        </row>
        <row r="764">
          <cell r="B764">
            <v>41283</v>
          </cell>
          <cell r="F764">
            <v>4.4257814446309156E-3</v>
          </cell>
        </row>
        <row r="765">
          <cell r="B765">
            <v>41284</v>
          </cell>
          <cell r="F765">
            <v>9.6814674407417253E-3</v>
          </cell>
        </row>
        <row r="766">
          <cell r="B766">
            <v>41285</v>
          </cell>
          <cell r="F766">
            <v>6.5814776357450717E-3</v>
          </cell>
        </row>
        <row r="767">
          <cell r="B767">
            <v>41288</v>
          </cell>
          <cell r="F767">
            <v>-4.683947893402686E-3</v>
          </cell>
        </row>
        <row r="768">
          <cell r="B768">
            <v>41289</v>
          </cell>
          <cell r="F768">
            <v>-1.5020432780310155E-2</v>
          </cell>
        </row>
        <row r="769">
          <cell r="B769">
            <v>41290</v>
          </cell>
          <cell r="F769">
            <v>2.1234210280736007E-2</v>
          </cell>
        </row>
        <row r="770">
          <cell r="B770">
            <v>41291</v>
          </cell>
          <cell r="F770">
            <v>-5.9111586814583009E-3</v>
          </cell>
        </row>
        <row r="771">
          <cell r="B771">
            <v>41292</v>
          </cell>
          <cell r="F771">
            <v>7.328598292483314E-3</v>
          </cell>
        </row>
        <row r="772">
          <cell r="B772">
            <v>41296</v>
          </cell>
          <cell r="F772">
            <v>9.5704591054128763E-3</v>
          </cell>
        </row>
        <row r="773">
          <cell r="B773">
            <v>41297</v>
          </cell>
          <cell r="F773">
            <v>7.1010335110827355E-2</v>
          </cell>
        </row>
        <row r="774">
          <cell r="B774">
            <v>41298</v>
          </cell>
          <cell r="F774">
            <v>4.0659144211388581E-2</v>
          </cell>
        </row>
        <row r="775">
          <cell r="B775">
            <v>41299</v>
          </cell>
          <cell r="F775">
            <v>-2.7188469080124525E-2</v>
          </cell>
        </row>
        <row r="776">
          <cell r="B776">
            <v>41302</v>
          </cell>
          <cell r="F776">
            <v>-1.1183439535126198E-2</v>
          </cell>
        </row>
        <row r="777">
          <cell r="B777">
            <v>41303</v>
          </cell>
          <cell r="F777">
            <v>4.5767155588495381E-3</v>
          </cell>
        </row>
        <row r="778">
          <cell r="B778">
            <v>41304</v>
          </cell>
          <cell r="F778">
            <v>6.2761610345387448E-3</v>
          </cell>
        </row>
        <row r="779">
          <cell r="B779">
            <v>41305</v>
          </cell>
          <cell r="F779">
            <v>1.498577265511318E-2</v>
          </cell>
        </row>
        <row r="780">
          <cell r="B780">
            <v>41306</v>
          </cell>
          <cell r="F780">
            <v>4.7910160916929768E-2</v>
          </cell>
        </row>
        <row r="781">
          <cell r="B781">
            <v>41309</v>
          </cell>
          <cell r="F781">
            <v>-3.173657883753133E-3</v>
          </cell>
        </row>
        <row r="782">
          <cell r="B782">
            <v>41310</v>
          </cell>
          <cell r="F782">
            <v>-1.1774192460747379E-2</v>
          </cell>
        </row>
        <row r="783">
          <cell r="B783">
            <v>41311</v>
          </cell>
          <cell r="F783">
            <v>1.3231864827599488E-2</v>
          </cell>
        </row>
        <row r="784">
          <cell r="B784">
            <v>41312</v>
          </cell>
          <cell r="F784">
            <v>-2.5531421472529264E-6</v>
          </cell>
        </row>
        <row r="785">
          <cell r="B785">
            <v>41313</v>
          </cell>
          <cell r="F785">
            <v>1.5421551793027509E-2</v>
          </cell>
        </row>
        <row r="786">
          <cell r="B786">
            <v>41316</v>
          </cell>
          <cell r="F786">
            <v>-2.1239681046527153E-2</v>
          </cell>
        </row>
        <row r="787">
          <cell r="B787">
            <v>41317</v>
          </cell>
          <cell r="F787">
            <v>-2.2986712532068947E-2</v>
          </cell>
        </row>
        <row r="788">
          <cell r="B788">
            <v>41318</v>
          </cell>
          <cell r="F788">
            <v>2.1799496607555886E-2</v>
          </cell>
        </row>
        <row r="789">
          <cell r="B789">
            <v>41319</v>
          </cell>
          <cell r="F789">
            <v>-2.2811360494005156E-2</v>
          </cell>
        </row>
        <row r="790">
          <cell r="B790">
            <v>41320</v>
          </cell>
          <cell r="F790">
            <v>1.8921700384184878E-2</v>
          </cell>
        </row>
        <row r="791">
          <cell r="B791">
            <v>41324</v>
          </cell>
          <cell r="F791">
            <v>1.0429160328373219E-2</v>
          </cell>
        </row>
        <row r="792">
          <cell r="B792">
            <v>41325</v>
          </cell>
          <cell r="F792">
            <v>-2.7612246216616114E-2</v>
          </cell>
        </row>
        <row r="793">
          <cell r="B793">
            <v>41326</v>
          </cell>
          <cell r="F793">
            <v>-2.2009882379978234E-2</v>
          </cell>
        </row>
        <row r="794">
          <cell r="B794">
            <v>41327</v>
          </cell>
          <cell r="F794">
            <v>-2.6940227976598322E-3</v>
          </cell>
        </row>
        <row r="795">
          <cell r="B795">
            <v>41330</v>
          </cell>
          <cell r="F795">
            <v>-8.2328971236985127E-3</v>
          </cell>
        </row>
        <row r="796">
          <cell r="B796">
            <v>41331</v>
          </cell>
          <cell r="F796">
            <v>1.6082582556185723E-4</v>
          </cell>
        </row>
        <row r="797">
          <cell r="B797">
            <v>41332</v>
          </cell>
          <cell r="F797">
            <v>2.2317750439240572E-2</v>
          </cell>
        </row>
        <row r="798">
          <cell r="B798">
            <v>41333</v>
          </cell>
          <cell r="F798">
            <v>-1.1892044117747066E-2</v>
          </cell>
        </row>
        <row r="799">
          <cell r="B799">
            <v>41334</v>
          </cell>
          <cell r="F799">
            <v>-8.4091544304740161E-3</v>
          </cell>
        </row>
        <row r="800">
          <cell r="B800">
            <v>41337</v>
          </cell>
          <cell r="F800">
            <v>2.2899023462943577E-2</v>
          </cell>
        </row>
        <row r="801">
          <cell r="B801">
            <v>41338</v>
          </cell>
          <cell r="F801">
            <v>1.6643606105484605E-2</v>
          </cell>
        </row>
        <row r="802">
          <cell r="B802">
            <v>41339</v>
          </cell>
          <cell r="F802">
            <v>-2.2056255796667118E-2</v>
          </cell>
        </row>
        <row r="803">
          <cell r="B803">
            <v>41340</v>
          </cell>
          <cell r="F803">
            <v>-1.1771025693427225E-2</v>
          </cell>
        </row>
        <row r="804">
          <cell r="B804">
            <v>41341</v>
          </cell>
          <cell r="F804">
            <v>5.368180810615051E-3</v>
          </cell>
        </row>
        <row r="805">
          <cell r="B805">
            <v>41344</v>
          </cell>
          <cell r="F805">
            <v>5.0657271548464489E-4</v>
          </cell>
        </row>
        <row r="806">
          <cell r="B806">
            <v>41345</v>
          </cell>
          <cell r="F806">
            <v>-1.4794458779966681E-2</v>
          </cell>
        </row>
        <row r="807">
          <cell r="B807">
            <v>41346</v>
          </cell>
          <cell r="F807">
            <v>-7.3885790549229691E-3</v>
          </cell>
        </row>
        <row r="808">
          <cell r="B808">
            <v>41347</v>
          </cell>
          <cell r="F808">
            <v>-1.1915071879822017E-2</v>
          </cell>
        </row>
        <row r="809">
          <cell r="B809">
            <v>41348</v>
          </cell>
          <cell r="F809">
            <v>-1.9157365203961354E-2</v>
          </cell>
        </row>
        <row r="810">
          <cell r="B810">
            <v>41351</v>
          </cell>
          <cell r="F810">
            <v>1.3434720752999937E-3</v>
          </cell>
        </row>
        <row r="811">
          <cell r="B811">
            <v>41352</v>
          </cell>
          <cell r="F811">
            <v>2.8484234695805386E-3</v>
          </cell>
        </row>
        <row r="812">
          <cell r="B812">
            <v>41353</v>
          </cell>
          <cell r="F812">
            <v>1.4878037643091441E-2</v>
          </cell>
        </row>
        <row r="813">
          <cell r="B813">
            <v>41354</v>
          </cell>
          <cell r="F813">
            <v>2.0428740689250637E-3</v>
          </cell>
        </row>
        <row r="814">
          <cell r="B814">
            <v>41355</v>
          </cell>
          <cell r="F814">
            <v>-7.4032053226447464E-3</v>
          </cell>
        </row>
        <row r="815">
          <cell r="B815">
            <v>41358</v>
          </cell>
          <cell r="F815">
            <v>1.302630043315431E-2</v>
          </cell>
        </row>
        <row r="816">
          <cell r="B816">
            <v>41359</v>
          </cell>
          <cell r="F816">
            <v>3.8502681221190419E-4</v>
          </cell>
        </row>
        <row r="817">
          <cell r="B817">
            <v>41360</v>
          </cell>
          <cell r="F817">
            <v>-1.7101381245685728E-2</v>
          </cell>
        </row>
        <row r="818">
          <cell r="B818">
            <v>41361</v>
          </cell>
          <cell r="F818">
            <v>-6.7477833004614476E-3</v>
          </cell>
        </row>
        <row r="819">
          <cell r="B819">
            <v>41365</v>
          </cell>
          <cell r="F819">
            <v>2.6567189210308116E-2</v>
          </cell>
        </row>
        <row r="820">
          <cell r="B820">
            <v>41366</v>
          </cell>
          <cell r="F820">
            <v>2.7991004088022197E-2</v>
          </cell>
        </row>
        <row r="821">
          <cell r="B821">
            <v>41367</v>
          </cell>
          <cell r="F821">
            <v>-2.233501208402499E-4</v>
          </cell>
        </row>
        <row r="822">
          <cell r="B822">
            <v>41368</v>
          </cell>
          <cell r="F822">
            <v>-1.3739633936892127E-2</v>
          </cell>
        </row>
        <row r="823">
          <cell r="B823">
            <v>41369</v>
          </cell>
          <cell r="F823">
            <v>-2.5462355250733509E-2</v>
          </cell>
        </row>
        <row r="824">
          <cell r="B824">
            <v>41372</v>
          </cell>
          <cell r="F824">
            <v>3.8515117498141418E-2</v>
          </cell>
        </row>
        <row r="825">
          <cell r="B825">
            <v>41373</v>
          </cell>
          <cell r="F825">
            <v>1.2756679007778509E-2</v>
          </cell>
        </row>
        <row r="826">
          <cell r="B826">
            <v>41374</v>
          </cell>
          <cell r="F826">
            <v>8.2043807857447061E-3</v>
          </cell>
        </row>
        <row r="827">
          <cell r="B827">
            <v>41375</v>
          </cell>
          <cell r="F827">
            <v>-6.1944059050877145E-2</v>
          </cell>
        </row>
        <row r="828">
          <cell r="B828">
            <v>41376</v>
          </cell>
          <cell r="F828">
            <v>-4.0387897016510854E-2</v>
          </cell>
        </row>
        <row r="829">
          <cell r="B829">
            <v>41379</v>
          </cell>
          <cell r="F829">
            <v>7.9975798750636165E-3</v>
          </cell>
        </row>
        <row r="830">
          <cell r="B830">
            <v>41380</v>
          </cell>
          <cell r="F830">
            <v>3.793278461245872E-3</v>
          </cell>
        </row>
        <row r="831">
          <cell r="B831">
            <v>41381</v>
          </cell>
          <cell r="F831">
            <v>-2.2694469864234269E-3</v>
          </cell>
        </row>
        <row r="832">
          <cell r="B832">
            <v>41382</v>
          </cell>
          <cell r="F832">
            <v>-2.6252720311521937E-2</v>
          </cell>
        </row>
        <row r="833">
          <cell r="B833">
            <v>41383</v>
          </cell>
          <cell r="F833">
            <v>4.3547678715890208E-2</v>
          </cell>
        </row>
        <row r="834">
          <cell r="B834">
            <v>41386</v>
          </cell>
          <cell r="F834">
            <v>-9.7034191961030795E-3</v>
          </cell>
        </row>
        <row r="835">
          <cell r="B835">
            <v>41387</v>
          </cell>
          <cell r="F835">
            <v>-3.0061694616822076E-3</v>
          </cell>
        </row>
        <row r="836">
          <cell r="B836">
            <v>41388</v>
          </cell>
          <cell r="F836">
            <v>-3.5624089088146915E-4</v>
          </cell>
        </row>
        <row r="837">
          <cell r="B837">
            <v>41389</v>
          </cell>
          <cell r="F837">
            <v>-2.0548860281893563E-2</v>
          </cell>
        </row>
        <row r="838">
          <cell r="B838">
            <v>41390</v>
          </cell>
          <cell r="F838">
            <v>-1.6038771756220982E-2</v>
          </cell>
        </row>
        <row r="839">
          <cell r="B839">
            <v>41393</v>
          </cell>
          <cell r="F839">
            <v>2.961083561663749E-2</v>
          </cell>
        </row>
        <row r="840">
          <cell r="B840">
            <v>41394</v>
          </cell>
          <cell r="F840">
            <v>2.178165622610833E-2</v>
          </cell>
        </row>
        <row r="841">
          <cell r="B841">
            <v>41395</v>
          </cell>
          <cell r="F841">
            <v>-4.7904373297382313E-2</v>
          </cell>
        </row>
        <row r="842">
          <cell r="B842">
            <v>41396</v>
          </cell>
          <cell r="F842">
            <v>-2.1850729076123721E-2</v>
          </cell>
        </row>
        <row r="843">
          <cell r="B843">
            <v>41397</v>
          </cell>
          <cell r="F843">
            <v>2.6692156922501764E-4</v>
          </cell>
        </row>
        <row r="844">
          <cell r="B844">
            <v>41400</v>
          </cell>
          <cell r="F844">
            <v>2.5935417630199062E-2</v>
          </cell>
        </row>
        <row r="845">
          <cell r="B845">
            <v>41401</v>
          </cell>
          <cell r="F845">
            <v>-9.4909013625073119E-3</v>
          </cell>
        </row>
        <row r="846">
          <cell r="B846">
            <v>41402</v>
          </cell>
          <cell r="F846">
            <v>-5.3797719999149063E-4</v>
          </cell>
        </row>
        <row r="847">
          <cell r="B847">
            <v>41403</v>
          </cell>
          <cell r="F847">
            <v>-3.8440820321095109E-2</v>
          </cell>
        </row>
        <row r="848">
          <cell r="B848">
            <v>41404</v>
          </cell>
          <cell r="F848">
            <v>1.7961958802113376E-2</v>
          </cell>
        </row>
        <row r="849">
          <cell r="B849">
            <v>41407</v>
          </cell>
          <cell r="F849">
            <v>-4.02000320346393E-3</v>
          </cell>
        </row>
        <row r="850">
          <cell r="B850">
            <v>41408</v>
          </cell>
          <cell r="F850">
            <v>9.6011488663278761E-3</v>
          </cell>
        </row>
        <row r="851">
          <cell r="B851">
            <v>41409</v>
          </cell>
          <cell r="F851">
            <v>3.3167501647047751E-2</v>
          </cell>
        </row>
        <row r="852">
          <cell r="B852">
            <v>41410</v>
          </cell>
          <cell r="F852">
            <v>-1.8622962659819716E-2</v>
          </cell>
        </row>
        <row r="853">
          <cell r="B853">
            <v>41411</v>
          </cell>
          <cell r="F853">
            <v>-4.0424525400063029E-3</v>
          </cell>
        </row>
        <row r="854">
          <cell r="B854">
            <v>41414</v>
          </cell>
          <cell r="F854">
            <v>1.1744773674376124E-2</v>
          </cell>
        </row>
        <row r="855">
          <cell r="B855">
            <v>41415</v>
          </cell>
          <cell r="F855">
            <v>-8.8689601762633481E-3</v>
          </cell>
        </row>
        <row r="856">
          <cell r="B856">
            <v>41416</v>
          </cell>
          <cell r="F856">
            <v>-1.70791631219652E-2</v>
          </cell>
        </row>
        <row r="857">
          <cell r="B857">
            <v>41417</v>
          </cell>
          <cell r="F857">
            <v>-4.822024184388627E-3</v>
          </cell>
        </row>
        <row r="858">
          <cell r="B858">
            <v>41418</v>
          </cell>
          <cell r="F858">
            <v>-3.1047173499641426E-3</v>
          </cell>
        </row>
        <row r="859">
          <cell r="B859">
            <v>41422</v>
          </cell>
          <cell r="F859">
            <v>1.4611266609375402E-2</v>
          </cell>
        </row>
        <row r="860">
          <cell r="B860">
            <v>41423</v>
          </cell>
          <cell r="F860">
            <v>-8.7003636707040921E-3</v>
          </cell>
        </row>
        <row r="861">
          <cell r="B861">
            <v>41424</v>
          </cell>
          <cell r="F861">
            <v>-2.0140448220142657E-3</v>
          </cell>
        </row>
        <row r="862">
          <cell r="B862">
            <v>41425</v>
          </cell>
          <cell r="F862">
            <v>9.6483207825296419E-3</v>
          </cell>
        </row>
        <row r="863">
          <cell r="B863">
            <v>41428</v>
          </cell>
          <cell r="F863">
            <v>3.4942370971950106E-3</v>
          </cell>
        </row>
        <row r="864">
          <cell r="B864">
            <v>41429</v>
          </cell>
          <cell r="F864">
            <v>-6.11112630691606E-3</v>
          </cell>
        </row>
        <row r="865">
          <cell r="B865">
            <v>41430</v>
          </cell>
          <cell r="F865">
            <v>-5.1941689202031414E-4</v>
          </cell>
        </row>
        <row r="866">
          <cell r="B866">
            <v>41431</v>
          </cell>
          <cell r="F866">
            <v>1.2200182773173394E-2</v>
          </cell>
        </row>
        <row r="867">
          <cell r="B867">
            <v>41432</v>
          </cell>
          <cell r="F867">
            <v>1.7047313599767154E-2</v>
          </cell>
        </row>
        <row r="868">
          <cell r="B868">
            <v>41435</v>
          </cell>
          <cell r="F868">
            <v>4.1932518479635209E-3</v>
          </cell>
        </row>
        <row r="869">
          <cell r="B869">
            <v>41436</v>
          </cell>
          <cell r="F869">
            <v>-3.7450126710471526E-3</v>
          </cell>
        </row>
        <row r="870">
          <cell r="B870">
            <v>41437</v>
          </cell>
          <cell r="F870">
            <v>-2.1787015064070277E-2</v>
          </cell>
        </row>
        <row r="871">
          <cell r="B871">
            <v>41438</v>
          </cell>
          <cell r="F871">
            <v>1.8198718470474783E-2</v>
          </cell>
        </row>
        <row r="872">
          <cell r="B872">
            <v>41439</v>
          </cell>
          <cell r="F872">
            <v>-8.303980116564684E-3</v>
          </cell>
        </row>
        <row r="873">
          <cell r="B873">
            <v>41442</v>
          </cell>
          <cell r="F873">
            <v>2.6094360320997857E-2</v>
          </cell>
        </row>
        <row r="874">
          <cell r="B874">
            <v>41443</v>
          </cell>
          <cell r="F874">
            <v>3.4531402101898173E-3</v>
          </cell>
        </row>
        <row r="875">
          <cell r="B875">
            <v>41444</v>
          </cell>
          <cell r="F875">
            <v>-1.9650317680962807E-2</v>
          </cell>
        </row>
        <row r="876">
          <cell r="B876">
            <v>41445</v>
          </cell>
          <cell r="F876">
            <v>-1.7736018602516179E-2</v>
          </cell>
        </row>
        <row r="877">
          <cell r="B877">
            <v>41446</v>
          </cell>
          <cell r="F877">
            <v>8.7150487191680788E-3</v>
          </cell>
        </row>
        <row r="878">
          <cell r="B878">
            <v>41449</v>
          </cell>
          <cell r="F878">
            <v>-9.5669237672546051E-3</v>
          </cell>
        </row>
        <row r="879">
          <cell r="B879">
            <v>41450</v>
          </cell>
          <cell r="F879">
            <v>-7.4635228707959468E-3</v>
          </cell>
        </row>
        <row r="880">
          <cell r="B880">
            <v>41451</v>
          </cell>
          <cell r="F880">
            <v>1.6080756443454951E-2</v>
          </cell>
        </row>
        <row r="881">
          <cell r="B881">
            <v>41452</v>
          </cell>
          <cell r="F881">
            <v>1.8452702615146073E-3</v>
          </cell>
        </row>
        <row r="882">
          <cell r="B882">
            <v>41453</v>
          </cell>
          <cell r="F882">
            <v>-1.0689699708279489E-2</v>
          </cell>
        </row>
        <row r="883">
          <cell r="B883">
            <v>41456</v>
          </cell>
          <cell r="F883">
            <v>7.1429295731279445E-3</v>
          </cell>
        </row>
        <row r="884">
          <cell r="B884">
            <v>41457</v>
          </cell>
          <cell r="F884">
            <v>-1.2708492436913656E-2</v>
          </cell>
        </row>
        <row r="885">
          <cell r="B885">
            <v>41458</v>
          </cell>
          <cell r="F885">
            <v>8.0778201825668951E-3</v>
          </cell>
        </row>
        <row r="886">
          <cell r="B886">
            <v>41460</v>
          </cell>
          <cell r="F886">
            <v>1.7680679857366127E-2</v>
          </cell>
        </row>
        <row r="887">
          <cell r="B887">
            <v>41463</v>
          </cell>
          <cell r="F887">
            <v>2.8294181804138684E-2</v>
          </cell>
        </row>
        <row r="888">
          <cell r="B888">
            <v>41464</v>
          </cell>
          <cell r="F888">
            <v>-1.3839610585810111E-2</v>
          </cell>
        </row>
        <row r="889">
          <cell r="B889">
            <v>41465</v>
          </cell>
          <cell r="F889">
            <v>-6.1488079571224291E-3</v>
          </cell>
        </row>
        <row r="890">
          <cell r="B890">
            <v>41466</v>
          </cell>
          <cell r="F890">
            <v>1.1415484337843292E-2</v>
          </cell>
        </row>
        <row r="891">
          <cell r="B891">
            <v>41467</v>
          </cell>
          <cell r="F891">
            <v>-1.3698744534682582E-2</v>
          </cell>
        </row>
        <row r="892">
          <cell r="B892">
            <v>41470</v>
          </cell>
          <cell r="F892">
            <v>8.7721446832217248E-3</v>
          </cell>
        </row>
        <row r="893">
          <cell r="B893">
            <v>41471</v>
          </cell>
          <cell r="F893">
            <v>-6.8201564500302223E-3</v>
          </cell>
        </row>
        <row r="894">
          <cell r="B894">
            <v>41472</v>
          </cell>
          <cell r="F894">
            <v>4.8388527273835434E-4</v>
          </cell>
        </row>
        <row r="895">
          <cell r="B895">
            <v>41473</v>
          </cell>
          <cell r="F895">
            <v>-5.8564527798272174E-3</v>
          </cell>
        </row>
        <row r="896">
          <cell r="B896">
            <v>41474</v>
          </cell>
          <cell r="F896">
            <v>-1.2242196154087438E-2</v>
          </cell>
        </row>
        <row r="897">
          <cell r="B897">
            <v>41477</v>
          </cell>
          <cell r="F897">
            <v>1.9449371134597045E-2</v>
          </cell>
        </row>
        <row r="898">
          <cell r="B898">
            <v>41478</v>
          </cell>
          <cell r="F898">
            <v>8.3655644364930958E-4</v>
          </cell>
        </row>
        <row r="899">
          <cell r="B899">
            <v>41479</v>
          </cell>
          <cell r="F899">
            <v>-8.4647059557903456E-3</v>
          </cell>
        </row>
        <row r="900">
          <cell r="B900">
            <v>41480</v>
          </cell>
          <cell r="F900">
            <v>-1.7952028053322751E-2</v>
          </cell>
        </row>
        <row r="901">
          <cell r="B901">
            <v>41481</v>
          </cell>
          <cell r="F901">
            <v>-1.9042425848268943E-2</v>
          </cell>
        </row>
        <row r="902">
          <cell r="B902">
            <v>41484</v>
          </cell>
          <cell r="F902">
            <v>1.7109584161685846E-2</v>
          </cell>
        </row>
        <row r="903">
          <cell r="B903">
            <v>41485</v>
          </cell>
          <cell r="F903">
            <v>-1.799893773808767E-2</v>
          </cell>
        </row>
        <row r="904">
          <cell r="B904">
            <v>41486</v>
          </cell>
          <cell r="F904">
            <v>-2.3647978743836895E-2</v>
          </cell>
        </row>
        <row r="905">
          <cell r="B905">
            <v>41487</v>
          </cell>
          <cell r="F905">
            <v>2.3419241702774565E-2</v>
          </cell>
        </row>
        <row r="906">
          <cell r="B906">
            <v>41488</v>
          </cell>
          <cell r="F906">
            <v>-1.7010097809448732E-2</v>
          </cell>
        </row>
        <row r="907">
          <cell r="B907">
            <v>41491</v>
          </cell>
          <cell r="F907">
            <v>1.575657744578551E-2</v>
          </cell>
        </row>
        <row r="908">
          <cell r="B908">
            <v>41492</v>
          </cell>
          <cell r="F908">
            <v>1.6167275349468584E-2</v>
          </cell>
        </row>
        <row r="909">
          <cell r="B909">
            <v>41493</v>
          </cell>
          <cell r="F909">
            <v>-1.2321815777831761E-2</v>
          </cell>
        </row>
        <row r="910">
          <cell r="B910">
            <v>41494</v>
          </cell>
          <cell r="F910">
            <v>3.0306932292861986E-3</v>
          </cell>
        </row>
        <row r="911">
          <cell r="B911">
            <v>41495</v>
          </cell>
          <cell r="F911">
            <v>-1.6411306907042209E-2</v>
          </cell>
        </row>
        <row r="912">
          <cell r="B912">
            <v>41498</v>
          </cell>
          <cell r="F912">
            <v>-3.4455996491738493E-2</v>
          </cell>
        </row>
        <row r="913">
          <cell r="B913">
            <v>41499</v>
          </cell>
          <cell r="F913">
            <v>-1.4883602995739827E-2</v>
          </cell>
        </row>
        <row r="914">
          <cell r="B914">
            <v>41500</v>
          </cell>
          <cell r="F914">
            <v>1.8375853375243029E-5</v>
          </cell>
        </row>
        <row r="915">
          <cell r="B915">
            <v>41501</v>
          </cell>
          <cell r="F915">
            <v>-5.7101909061509533E-3</v>
          </cell>
        </row>
        <row r="916">
          <cell r="B916">
            <v>41502</v>
          </cell>
          <cell r="F916">
            <v>-6.0759831167344156E-3</v>
          </cell>
        </row>
        <row r="917">
          <cell r="B917">
            <v>41505</v>
          </cell>
          <cell r="F917">
            <v>1.8398748809413015E-2</v>
          </cell>
        </row>
        <row r="918">
          <cell r="B918">
            <v>41506</v>
          </cell>
          <cell r="F918">
            <v>5.8507747442573671E-3</v>
          </cell>
        </row>
        <row r="919">
          <cell r="B919">
            <v>41507</v>
          </cell>
          <cell r="F919">
            <v>6.9900864203487588E-3</v>
          </cell>
        </row>
        <row r="920">
          <cell r="B920">
            <v>41508</v>
          </cell>
          <cell r="F920">
            <v>1.0516924928181872E-3</v>
          </cell>
        </row>
        <row r="921">
          <cell r="B921">
            <v>41509</v>
          </cell>
          <cell r="F921">
            <v>-1.3943303202435413E-2</v>
          </cell>
        </row>
        <row r="922">
          <cell r="B922">
            <v>41512</v>
          </cell>
          <cell r="F922">
            <v>3.4963682167818335E-4</v>
          </cell>
        </row>
        <row r="923">
          <cell r="B923">
            <v>41513</v>
          </cell>
          <cell r="F923">
            <v>1.6397789381455939E-3</v>
          </cell>
        </row>
        <row r="924">
          <cell r="B924">
            <v>41514</v>
          </cell>
          <cell r="F924">
            <v>4.743578428279064E-2</v>
          </cell>
        </row>
        <row r="925">
          <cell r="B925">
            <v>41515</v>
          </cell>
          <cell r="F925">
            <v>-4.2756815627275312E-4</v>
          </cell>
        </row>
        <row r="926">
          <cell r="B926">
            <v>41516</v>
          </cell>
          <cell r="F926">
            <v>-1.3541095075132516E-2</v>
          </cell>
        </row>
        <row r="927">
          <cell r="B927">
            <v>41520</v>
          </cell>
          <cell r="F927">
            <v>1.3277926781235988E-2</v>
          </cell>
        </row>
        <row r="928">
          <cell r="B928">
            <v>41521</v>
          </cell>
          <cell r="F928">
            <v>2.2104361946609564E-2</v>
          </cell>
        </row>
        <row r="929">
          <cell r="B929">
            <v>41522</v>
          </cell>
          <cell r="F929">
            <v>1.1660404889185407E-2</v>
          </cell>
        </row>
        <row r="930">
          <cell r="B930">
            <v>41523</v>
          </cell>
          <cell r="F930">
            <v>3.3137172763201953E-3</v>
          </cell>
        </row>
        <row r="931">
          <cell r="B931">
            <v>41526</v>
          </cell>
          <cell r="F931">
            <v>-1.2283013093256823E-2</v>
          </cell>
        </row>
        <row r="932">
          <cell r="B932">
            <v>41527</v>
          </cell>
          <cell r="F932">
            <v>-1.7566223910218462E-2</v>
          </cell>
        </row>
        <row r="933">
          <cell r="B933">
            <v>41528</v>
          </cell>
          <cell r="F933">
            <v>1.7774067262244586E-3</v>
          </cell>
        </row>
        <row r="934">
          <cell r="B934">
            <v>41529</v>
          </cell>
          <cell r="F934">
            <v>4.1865748135290039E-3</v>
          </cell>
        </row>
        <row r="935">
          <cell r="B935">
            <v>41530</v>
          </cell>
          <cell r="F935">
            <v>-5.4348657913423151E-2</v>
          </cell>
        </row>
        <row r="936">
          <cell r="B936">
            <v>41533</v>
          </cell>
          <cell r="F936">
            <v>3.1947918868795104E-2</v>
          </cell>
        </row>
        <row r="937">
          <cell r="B937">
            <v>41534</v>
          </cell>
          <cell r="F937">
            <v>1.5694097928230795E-2</v>
          </cell>
        </row>
        <row r="938">
          <cell r="B938">
            <v>41535</v>
          </cell>
          <cell r="F938">
            <v>7.4046783303595726E-3</v>
          </cell>
        </row>
        <row r="939">
          <cell r="B939">
            <v>41536</v>
          </cell>
          <cell r="F939">
            <v>1.3497815538866764E-2</v>
          </cell>
        </row>
        <row r="940">
          <cell r="B940">
            <v>41537</v>
          </cell>
          <cell r="F940">
            <v>8.5062046492808234E-3</v>
          </cell>
        </row>
        <row r="941">
          <cell r="B941">
            <v>41540</v>
          </cell>
          <cell r="F941">
            <v>-1.4139132056021598E-2</v>
          </cell>
        </row>
        <row r="942">
          <cell r="B942">
            <v>41541</v>
          </cell>
          <cell r="F942">
            <v>-3.2265114044440373E-3</v>
          </cell>
        </row>
        <row r="943">
          <cell r="B943">
            <v>41542</v>
          </cell>
          <cell r="F943">
            <v>-2.313863597122592E-3</v>
          </cell>
        </row>
        <row r="944">
          <cell r="B944">
            <v>41543</v>
          </cell>
          <cell r="F944">
            <v>1.5908682038614369E-4</v>
          </cell>
        </row>
        <row r="945">
          <cell r="B945">
            <v>41544</v>
          </cell>
          <cell r="F945">
            <v>9.9303121109845828E-3</v>
          </cell>
        </row>
        <row r="946">
          <cell r="B946">
            <v>41547</v>
          </cell>
          <cell r="F946">
            <v>3.7472369393494277E-2</v>
          </cell>
        </row>
        <row r="947">
          <cell r="B947">
            <v>41548</v>
          </cell>
          <cell r="F947">
            <v>2.356275743253422E-3</v>
          </cell>
        </row>
        <row r="948">
          <cell r="B948">
            <v>41549</v>
          </cell>
          <cell r="F948">
            <v>1.2061856617081312E-3</v>
          </cell>
        </row>
        <row r="949">
          <cell r="B949">
            <v>41550</v>
          </cell>
          <cell r="F949">
            <v>-2.027656978238819E-2</v>
          </cell>
        </row>
        <row r="950">
          <cell r="B950">
            <v>41551</v>
          </cell>
          <cell r="F950">
            <v>-2.850513916626799E-3</v>
          </cell>
        </row>
        <row r="951">
          <cell r="B951">
            <v>41554</v>
          </cell>
          <cell r="F951">
            <v>1.2473656577767387E-3</v>
          </cell>
        </row>
        <row r="952">
          <cell r="B952">
            <v>41555</v>
          </cell>
          <cell r="F952">
            <v>-1.739869037779939E-2</v>
          </cell>
        </row>
        <row r="953">
          <cell r="B953">
            <v>41556</v>
          </cell>
          <cell r="F953">
            <v>1.6721466507079237E-2</v>
          </cell>
        </row>
        <row r="954">
          <cell r="B954">
            <v>41557</v>
          </cell>
          <cell r="F954">
            <v>6.9649509423263863E-3</v>
          </cell>
        </row>
        <row r="955">
          <cell r="B955">
            <v>41558</v>
          </cell>
          <cell r="F955">
            <v>-3.5102552506486749E-3</v>
          </cell>
        </row>
        <row r="956">
          <cell r="B956">
            <v>41561</v>
          </cell>
          <cell r="F956">
            <v>-3.6426238425058778E-3</v>
          </cell>
        </row>
        <row r="957">
          <cell r="B957">
            <v>41562</v>
          </cell>
          <cell r="F957">
            <v>8.8844859450163682E-3</v>
          </cell>
        </row>
        <row r="958">
          <cell r="B958">
            <v>41563</v>
          </cell>
          <cell r="F958">
            <v>2.4413808444752466E-3</v>
          </cell>
        </row>
        <row r="959">
          <cell r="B959">
            <v>41564</v>
          </cell>
          <cell r="F959">
            <v>-2.8970289734963947E-2</v>
          </cell>
        </row>
        <row r="960">
          <cell r="B960">
            <v>41565</v>
          </cell>
          <cell r="F960">
            <v>0.13289045379855477</v>
          </cell>
        </row>
        <row r="961">
          <cell r="B961">
            <v>41568</v>
          </cell>
          <cell r="F961">
            <v>-3.2207840460925135E-3</v>
          </cell>
        </row>
        <row r="962">
          <cell r="B962">
            <v>41569</v>
          </cell>
          <cell r="F962">
            <v>-5.7155062375201703E-2</v>
          </cell>
        </row>
        <row r="963">
          <cell r="B963">
            <v>41570</v>
          </cell>
          <cell r="F963">
            <v>3.7447430287332592E-2</v>
          </cell>
        </row>
        <row r="964">
          <cell r="B964">
            <v>41571</v>
          </cell>
          <cell r="F964">
            <v>1.4042662326188896E-2</v>
          </cell>
        </row>
        <row r="965">
          <cell r="B965">
            <v>41572</v>
          </cell>
          <cell r="F965">
            <v>-6.9136369172188971E-3</v>
          </cell>
        </row>
        <row r="966">
          <cell r="B966">
            <v>41575</v>
          </cell>
          <cell r="F966">
            <v>-4.525498821291064E-3</v>
          </cell>
        </row>
        <row r="967">
          <cell r="B967">
            <v>41576</v>
          </cell>
          <cell r="F967">
            <v>2.5027548120266807E-2</v>
          </cell>
        </row>
        <row r="968">
          <cell r="B968">
            <v>41577</v>
          </cell>
          <cell r="F968">
            <v>3.8543406581100538E-3</v>
          </cell>
        </row>
        <row r="969">
          <cell r="B969">
            <v>41578</v>
          </cell>
          <cell r="F969">
            <v>2.8643456757702798E-2</v>
          </cell>
        </row>
        <row r="970">
          <cell r="B970">
            <v>41579</v>
          </cell>
          <cell r="F970">
            <v>-5.8845205963392912E-3</v>
          </cell>
        </row>
        <row r="971">
          <cell r="B971">
            <v>41582</v>
          </cell>
          <cell r="F971">
            <v>-7.4643353874905326E-3</v>
          </cell>
        </row>
        <row r="972">
          <cell r="B972">
            <v>41583</v>
          </cell>
          <cell r="F972">
            <v>-2.0945978123212996E-2</v>
          </cell>
        </row>
        <row r="973">
          <cell r="B973">
            <v>41584</v>
          </cell>
          <cell r="F973">
            <v>1.3724838188892283E-2</v>
          </cell>
        </row>
        <row r="974">
          <cell r="B974">
            <v>41585</v>
          </cell>
          <cell r="F974">
            <v>-2.1817405578022728E-2</v>
          </cell>
        </row>
        <row r="975">
          <cell r="B975">
            <v>41586</v>
          </cell>
          <cell r="F975">
            <v>2.7237548872001881E-2</v>
          </cell>
        </row>
        <row r="976">
          <cell r="B976">
            <v>41589</v>
          </cell>
          <cell r="F976">
            <v>-1.5881492779520889E-2</v>
          </cell>
        </row>
        <row r="977">
          <cell r="B977">
            <v>41590</v>
          </cell>
          <cell r="F977">
            <v>-9.7694221450790597E-3</v>
          </cell>
        </row>
        <row r="978">
          <cell r="B978">
            <v>41591</v>
          </cell>
          <cell r="F978">
            <v>2.0548404839661055E-3</v>
          </cell>
        </row>
        <row r="979">
          <cell r="B979">
            <v>41592</v>
          </cell>
          <cell r="F979">
            <v>2.318308165203525E-2</v>
          </cell>
        </row>
        <row r="980">
          <cell r="B980">
            <v>41593</v>
          </cell>
          <cell r="F980">
            <v>-7.4821355281834917E-3</v>
          </cell>
        </row>
        <row r="981">
          <cell r="B981">
            <v>41596</v>
          </cell>
          <cell r="F981">
            <v>-9.7545933322692145E-3</v>
          </cell>
        </row>
        <row r="982">
          <cell r="B982">
            <v>41597</v>
          </cell>
          <cell r="F982">
            <v>-9.7840217197588172E-3</v>
          </cell>
        </row>
        <row r="983">
          <cell r="B983">
            <v>41598</v>
          </cell>
          <cell r="F983">
            <v>-5.5542457674413849E-3</v>
          </cell>
        </row>
        <row r="984">
          <cell r="B984">
            <v>41599</v>
          </cell>
          <cell r="F984">
            <v>1.398545861314323E-2</v>
          </cell>
        </row>
        <row r="985">
          <cell r="B985">
            <v>41600</v>
          </cell>
          <cell r="F985">
            <v>2.1876564889396063E-3</v>
          </cell>
        </row>
        <row r="986">
          <cell r="B986">
            <v>41603</v>
          </cell>
          <cell r="F986">
            <v>1.2025101692517959E-2</v>
          </cell>
        </row>
        <row r="987">
          <cell r="B987">
            <v>41604</v>
          </cell>
          <cell r="F987">
            <v>1.6649233602380527E-2</v>
          </cell>
        </row>
        <row r="988">
          <cell r="B988">
            <v>41605</v>
          </cell>
          <cell r="F988">
            <v>-6.9532481427661162E-3</v>
          </cell>
        </row>
        <row r="989">
          <cell r="B989">
            <v>41607</v>
          </cell>
          <cell r="F989">
            <v>-8.642040680125614E-3</v>
          </cell>
        </row>
        <row r="990">
          <cell r="B990">
            <v>41610</v>
          </cell>
          <cell r="F990">
            <v>-1.3047901459737318E-2</v>
          </cell>
        </row>
        <row r="991">
          <cell r="B991">
            <v>41611</v>
          </cell>
          <cell r="F991">
            <v>2.9777991504712418E-2</v>
          </cell>
        </row>
        <row r="992">
          <cell r="B992">
            <v>41612</v>
          </cell>
          <cell r="F992">
            <v>3.1292057192264799E-2</v>
          </cell>
        </row>
        <row r="993">
          <cell r="B993">
            <v>41613</v>
          </cell>
          <cell r="F993">
            <v>-2.4311613160085167E-2</v>
          </cell>
        </row>
        <row r="994">
          <cell r="B994">
            <v>41614</v>
          </cell>
          <cell r="F994">
            <v>2.889701935751034E-2</v>
          </cell>
        </row>
        <row r="995">
          <cell r="B995">
            <v>41617</v>
          </cell>
          <cell r="F995">
            <v>-1.7753036131964346E-2</v>
          </cell>
        </row>
        <row r="996">
          <cell r="B996">
            <v>41618</v>
          </cell>
          <cell r="F996">
            <v>2.7832875551784934E-2</v>
          </cell>
        </row>
        <row r="997">
          <cell r="B997">
            <v>41619</v>
          </cell>
          <cell r="F997">
            <v>3.0117069097287674E-3</v>
          </cell>
        </row>
        <row r="998">
          <cell r="B998">
            <v>41620</v>
          </cell>
          <cell r="F998">
            <v>-2.2831227257450862E-2</v>
          </cell>
        </row>
        <row r="999">
          <cell r="B999">
            <v>41621</v>
          </cell>
          <cell r="F999">
            <v>-3.1325526141834205E-3</v>
          </cell>
        </row>
        <row r="1000">
          <cell r="B1000">
            <v>41624</v>
          </cell>
          <cell r="F1000">
            <v>1.331333696687882E-2</v>
          </cell>
        </row>
        <row r="1001">
          <cell r="B1001">
            <v>41625</v>
          </cell>
          <cell r="F1001">
            <v>-2.3368188616498648E-3</v>
          </cell>
        </row>
        <row r="1002">
          <cell r="B1002">
            <v>41626</v>
          </cell>
          <cell r="F1002">
            <v>1.3188980360586088E-2</v>
          </cell>
        </row>
        <row r="1003">
          <cell r="B1003">
            <v>41627</v>
          </cell>
          <cell r="F1003">
            <v>4.0775991278157115E-3</v>
          </cell>
        </row>
        <row r="1004">
          <cell r="B1004">
            <v>41628</v>
          </cell>
          <cell r="F1004">
            <v>7.8347015634611591E-3</v>
          </cell>
        </row>
        <row r="1005">
          <cell r="B1005">
            <v>41631</v>
          </cell>
          <cell r="F1005">
            <v>1.471104899311558E-2</v>
          </cell>
        </row>
        <row r="1006">
          <cell r="B1006">
            <v>41632</v>
          </cell>
          <cell r="F1006">
            <v>-5.880195584786611E-3</v>
          </cell>
        </row>
        <row r="1007">
          <cell r="B1007">
            <v>41634</v>
          </cell>
          <cell r="F1007">
            <v>-1.1910813048861678E-2</v>
          </cell>
        </row>
        <row r="1008">
          <cell r="B1008">
            <v>41635</v>
          </cell>
          <cell r="F1008">
            <v>4.0915027669528682E-2</v>
          </cell>
        </row>
        <row r="1009">
          <cell r="B1009">
            <v>41638</v>
          </cell>
          <cell r="F1009">
            <v>6.5001137864690764E-2</v>
          </cell>
        </row>
        <row r="1010">
          <cell r="B1010">
            <v>41639</v>
          </cell>
          <cell r="F1010">
            <v>-3.2588392826421175E-2</v>
          </cell>
        </row>
        <row r="1011">
          <cell r="B1011">
            <v>41641</v>
          </cell>
          <cell r="F1011">
            <v>-1.2291477195242533E-2</v>
          </cell>
        </row>
        <row r="1012">
          <cell r="B1012">
            <v>41642</v>
          </cell>
          <cell r="F1012">
            <v>-2.1501432508823557E-2</v>
          </cell>
        </row>
        <row r="1013">
          <cell r="B1013">
            <v>41645</v>
          </cell>
          <cell r="F1013">
            <v>6.507661525760218E-3</v>
          </cell>
        </row>
        <row r="1014">
          <cell r="B1014">
            <v>41646</v>
          </cell>
          <cell r="F1014">
            <v>1.3969995232603115E-2</v>
          </cell>
        </row>
        <row r="1015">
          <cell r="B1015">
            <v>41647</v>
          </cell>
          <cell r="F1015">
            <v>-1.8089606958701848E-2</v>
          </cell>
        </row>
        <row r="1016">
          <cell r="B1016">
            <v>41648</v>
          </cell>
          <cell r="F1016">
            <v>-5.4140004719791419E-3</v>
          </cell>
        </row>
        <row r="1017">
          <cell r="B1017">
            <v>41649</v>
          </cell>
          <cell r="F1017">
            <v>1.1456734148365406E-2</v>
          </cell>
        </row>
        <row r="1018">
          <cell r="B1018">
            <v>41652</v>
          </cell>
          <cell r="F1018">
            <v>-1.0500766069867516E-2</v>
          </cell>
        </row>
        <row r="1019">
          <cell r="B1019">
            <v>41653</v>
          </cell>
          <cell r="F1019">
            <v>2.9032436237252931E-2</v>
          </cell>
        </row>
        <row r="1020">
          <cell r="B1020">
            <v>41654</v>
          </cell>
          <cell r="F1020">
            <v>1.5171602566674509E-2</v>
          </cell>
        </row>
        <row r="1021">
          <cell r="B1021">
            <v>41655</v>
          </cell>
          <cell r="F1021">
            <v>2.2438963264565896E-2</v>
          </cell>
        </row>
        <row r="1022">
          <cell r="B1022">
            <v>41656</v>
          </cell>
          <cell r="F1022">
            <v>2.0464786756758885E-3</v>
          </cell>
        </row>
        <row r="1023">
          <cell r="B1023">
            <v>41660</v>
          </cell>
          <cell r="F1023">
            <v>8.9258082781524563E-4</v>
          </cell>
        </row>
        <row r="1024">
          <cell r="B1024">
            <v>41661</v>
          </cell>
          <cell r="F1024">
            <v>-1.8519206512560347E-3</v>
          </cell>
        </row>
        <row r="1025">
          <cell r="B1025">
            <v>41662</v>
          </cell>
          <cell r="F1025">
            <v>-5.3393425874427823E-3</v>
          </cell>
        </row>
        <row r="1026">
          <cell r="B1026">
            <v>41663</v>
          </cell>
          <cell r="F1026">
            <v>-2.8410321655493811E-2</v>
          </cell>
        </row>
        <row r="1027">
          <cell r="B1027">
            <v>41666</v>
          </cell>
          <cell r="F1027">
            <v>-2.6298540969726173E-2</v>
          </cell>
        </row>
        <row r="1028">
          <cell r="B1028">
            <v>41667</v>
          </cell>
          <cell r="F1028">
            <v>3.2873286042923042E-2</v>
          </cell>
        </row>
        <row r="1029">
          <cell r="B1029">
            <v>41668</v>
          </cell>
          <cell r="F1029">
            <v>-1.0284364618779664E-2</v>
          </cell>
        </row>
        <row r="1030">
          <cell r="B1030">
            <v>41669</v>
          </cell>
          <cell r="F1030">
            <v>4.9283776624963471E-2</v>
          </cell>
        </row>
        <row r="1031">
          <cell r="B1031">
            <v>41670</v>
          </cell>
          <cell r="F1031">
            <v>5.3905322853906007E-2</v>
          </cell>
        </row>
        <row r="1032">
          <cell r="B1032">
            <v>41673</v>
          </cell>
          <cell r="F1032">
            <v>-4.039197328044887E-2</v>
          </cell>
        </row>
        <row r="1033">
          <cell r="B1033">
            <v>41674</v>
          </cell>
          <cell r="F1033">
            <v>-7.2483800811885546E-3</v>
          </cell>
        </row>
        <row r="1034">
          <cell r="B1034">
            <v>41675</v>
          </cell>
          <cell r="F1034">
            <v>3.1727396063539734E-2</v>
          </cell>
        </row>
        <row r="1035">
          <cell r="B1035">
            <v>41676</v>
          </cell>
          <cell r="F1035">
            <v>-2.1782590193038697E-2</v>
          </cell>
        </row>
        <row r="1036">
          <cell r="B1036">
            <v>41677</v>
          </cell>
          <cell r="F1036">
            <v>4.1729931716859778E-3</v>
          </cell>
        </row>
        <row r="1037">
          <cell r="B1037">
            <v>41680</v>
          </cell>
          <cell r="F1037">
            <v>-1.6158967804672731E-2</v>
          </cell>
        </row>
        <row r="1038">
          <cell r="B1038">
            <v>41681</v>
          </cell>
          <cell r="F1038">
            <v>5.3760328375144269E-3</v>
          </cell>
        </row>
        <row r="1039">
          <cell r="B1039">
            <v>41682</v>
          </cell>
          <cell r="F1039">
            <v>2.917971246386728E-3</v>
          </cell>
        </row>
        <row r="1040">
          <cell r="B1040">
            <v>41683</v>
          </cell>
          <cell r="F1040">
            <v>1.9889568107093233E-2</v>
          </cell>
        </row>
        <row r="1041">
          <cell r="B1041">
            <v>41684</v>
          </cell>
          <cell r="F1041">
            <v>2.0734517398979264E-2</v>
          </cell>
        </row>
        <row r="1042">
          <cell r="B1042">
            <v>41688</v>
          </cell>
          <cell r="F1042">
            <v>2.3031538208634787E-2</v>
          </cell>
        </row>
        <row r="1043">
          <cell r="B1043">
            <v>41689</v>
          </cell>
          <cell r="F1043">
            <v>-2.45709048305797E-2</v>
          </cell>
        </row>
        <row r="1044">
          <cell r="B1044">
            <v>41690</v>
          </cell>
          <cell r="F1044">
            <v>1.8598039968896858E-3</v>
          </cell>
        </row>
        <row r="1045">
          <cell r="B1045">
            <v>41691</v>
          </cell>
          <cell r="F1045">
            <v>-7.3638290658728425E-4</v>
          </cell>
        </row>
        <row r="1046">
          <cell r="B1046">
            <v>41694</v>
          </cell>
          <cell r="F1046">
            <v>1.6469141739413181E-3</v>
          </cell>
        </row>
        <row r="1047">
          <cell r="B1047">
            <v>41695</v>
          </cell>
          <cell r="F1047">
            <v>1.1929723400562364E-2</v>
          </cell>
        </row>
        <row r="1048">
          <cell r="B1048">
            <v>41696</v>
          </cell>
          <cell r="F1048">
            <v>1.4793831844531443E-2</v>
          </cell>
        </row>
        <row r="1049">
          <cell r="B1049">
            <v>41697</v>
          </cell>
          <cell r="F1049">
            <v>1.7103325610654585E-2</v>
          </cell>
        </row>
        <row r="1050">
          <cell r="B1050">
            <v>41698</v>
          </cell>
          <cell r="F1050">
            <v>-4.2519376100839728E-3</v>
          </cell>
        </row>
        <row r="1051">
          <cell r="B1051">
            <v>41701</v>
          </cell>
          <cell r="F1051">
            <v>-9.7142873065557585E-3</v>
          </cell>
        </row>
        <row r="1052">
          <cell r="B1052">
            <v>41702</v>
          </cell>
          <cell r="F1052">
            <v>1.5624293213231845E-2</v>
          </cell>
        </row>
        <row r="1053">
          <cell r="B1053">
            <v>41703</v>
          </cell>
          <cell r="F1053">
            <v>-6.5108528793628813E-3</v>
          </cell>
        </row>
        <row r="1054">
          <cell r="B1054">
            <v>41704</v>
          </cell>
          <cell r="F1054">
            <v>-8.5167428698369671E-3</v>
          </cell>
        </row>
        <row r="1055">
          <cell r="B1055">
            <v>41705</v>
          </cell>
          <cell r="F1055">
            <v>-7.31530848465624E-3</v>
          </cell>
        </row>
        <row r="1056">
          <cell r="B1056">
            <v>41708</v>
          </cell>
          <cell r="F1056">
            <v>-2.7899015571913326E-3</v>
          </cell>
        </row>
        <row r="1057">
          <cell r="B1057">
            <v>41709</v>
          </cell>
          <cell r="F1057">
            <v>-7.6348712665112485E-3</v>
          </cell>
        </row>
        <row r="1058">
          <cell r="B1058">
            <v>41710</v>
          </cell>
          <cell r="F1058">
            <v>7.3530627492868596E-3</v>
          </cell>
        </row>
        <row r="1059">
          <cell r="B1059">
            <v>41711</v>
          </cell>
          <cell r="F1059">
            <v>-1.0713920544078165E-2</v>
          </cell>
        </row>
        <row r="1060">
          <cell r="B1060">
            <v>41712</v>
          </cell>
          <cell r="F1060">
            <v>-1.3459817442007322E-2</v>
          </cell>
        </row>
        <row r="1061">
          <cell r="B1061">
            <v>41715</v>
          </cell>
          <cell r="F1061">
            <v>4.5462108637441823E-3</v>
          </cell>
        </row>
        <row r="1062">
          <cell r="B1062">
            <v>41716</v>
          </cell>
          <cell r="F1062">
            <v>-1.6120828287767425E-2</v>
          </cell>
        </row>
        <row r="1063">
          <cell r="B1063">
            <v>41717</v>
          </cell>
          <cell r="F1063">
            <v>4.7799341100022118E-4</v>
          </cell>
        </row>
        <row r="1064">
          <cell r="B1064">
            <v>41718</v>
          </cell>
          <cell r="F1064">
            <v>3.2293951552775824E-3</v>
          </cell>
        </row>
        <row r="1065">
          <cell r="B1065">
            <v>41719</v>
          </cell>
          <cell r="F1065">
            <v>-1.530245990127535E-2</v>
          </cell>
        </row>
        <row r="1066">
          <cell r="B1066">
            <v>41722</v>
          </cell>
          <cell r="F1066">
            <v>-1.7254806308963384E-2</v>
          </cell>
        </row>
        <row r="1067">
          <cell r="B1067">
            <v>41723</v>
          </cell>
          <cell r="F1067">
            <v>2.5503078122196265E-3</v>
          </cell>
        </row>
        <row r="1068">
          <cell r="B1068">
            <v>41724</v>
          </cell>
          <cell r="F1068">
            <v>-3.2869056100569352E-2</v>
          </cell>
        </row>
        <row r="1069">
          <cell r="B1069">
            <v>41725</v>
          </cell>
          <cell r="F1069">
            <v>-5.5668996343912286E-2</v>
          </cell>
        </row>
        <row r="1070">
          <cell r="B1070">
            <v>41726</v>
          </cell>
          <cell r="F1070">
            <v>2.2289823811986686E-2</v>
          </cell>
        </row>
        <row r="1071">
          <cell r="B1071">
            <v>41729</v>
          </cell>
          <cell r="F1071">
            <v>1.8815554619259434E-2</v>
          </cell>
        </row>
        <row r="1072">
          <cell r="B1072">
            <v>41730</v>
          </cell>
          <cell r="F1072">
            <v>1.9861786921542907E-2</v>
          </cell>
        </row>
        <row r="1073">
          <cell r="B1073">
            <v>41731</v>
          </cell>
          <cell r="F1073">
            <v>9.1192552508508624E-3</v>
          </cell>
        </row>
        <row r="1074">
          <cell r="B1074">
            <v>41732</v>
          </cell>
          <cell r="F1074">
            <v>1.2352320374155379E-3</v>
          </cell>
        </row>
        <row r="1075">
          <cell r="B1075">
            <v>41733</v>
          </cell>
          <cell r="F1075">
            <v>-5.2625630963094187E-2</v>
          </cell>
        </row>
        <row r="1076">
          <cell r="B1076">
            <v>41736</v>
          </cell>
          <cell r="F1076">
            <v>7.7096625191876433E-3</v>
          </cell>
        </row>
        <row r="1077">
          <cell r="B1077">
            <v>41737</v>
          </cell>
          <cell r="F1077">
            <v>4.0981262421632504E-2</v>
          </cell>
        </row>
        <row r="1078">
          <cell r="B1078">
            <v>41738</v>
          </cell>
          <cell r="F1078">
            <v>3.2400817570316959E-2</v>
          </cell>
        </row>
        <row r="1079">
          <cell r="B1079">
            <v>41739</v>
          </cell>
          <cell r="F1079">
            <v>-4.4546924419634905E-2</v>
          </cell>
        </row>
        <row r="1080">
          <cell r="B1080">
            <v>41740</v>
          </cell>
          <cell r="F1080">
            <v>-4.5737832457510182E-2</v>
          </cell>
        </row>
        <row r="1081">
          <cell r="B1081">
            <v>41743</v>
          </cell>
          <cell r="F1081">
            <v>4.9942649904281267E-2</v>
          </cell>
        </row>
        <row r="1082">
          <cell r="B1082">
            <v>41744</v>
          </cell>
          <cell r="F1082">
            <v>3.7821808836222541E-2</v>
          </cell>
        </row>
        <row r="1083">
          <cell r="B1083">
            <v>41745</v>
          </cell>
          <cell r="F1083">
            <v>9.3250377027969816E-3</v>
          </cell>
        </row>
        <row r="1084">
          <cell r="B1084">
            <v>41746</v>
          </cell>
          <cell r="F1084">
            <v>-2.9432224880998416E-2</v>
          </cell>
        </row>
        <row r="1085">
          <cell r="B1085">
            <v>41750</v>
          </cell>
          <cell r="F1085">
            <v>-1.760187096706187E-2</v>
          </cell>
        </row>
        <row r="1086">
          <cell r="B1086">
            <v>41751</v>
          </cell>
          <cell r="F1086">
            <v>2.9146847051191541E-2</v>
          </cell>
        </row>
        <row r="1087">
          <cell r="B1087">
            <v>41752</v>
          </cell>
          <cell r="F1087">
            <v>-1.077296643380703E-2</v>
          </cell>
        </row>
        <row r="1088">
          <cell r="B1088">
            <v>41753</v>
          </cell>
          <cell r="F1088">
            <v>-1.479795146954904E-2</v>
          </cell>
        </row>
        <row r="1089">
          <cell r="B1089">
            <v>41754</v>
          </cell>
          <cell r="F1089">
            <v>-2.3251425872661817E-2</v>
          </cell>
        </row>
        <row r="1090">
          <cell r="B1090">
            <v>41757</v>
          </cell>
          <cell r="F1090">
            <v>3.9766086285936086E-2</v>
          </cell>
        </row>
        <row r="1091">
          <cell r="B1091">
            <v>41758</v>
          </cell>
          <cell r="F1091">
            <v>5.1187890804151648E-2</v>
          </cell>
        </row>
        <row r="1092">
          <cell r="B1092">
            <v>41759</v>
          </cell>
          <cell r="F1092">
            <v>1.6417828930171262E-2</v>
          </cell>
        </row>
        <row r="1093">
          <cell r="B1093">
            <v>41760</v>
          </cell>
          <cell r="F1093">
            <v>2.279246003889986E-3</v>
          </cell>
        </row>
        <row r="1094">
          <cell r="B1094">
            <v>41761</v>
          </cell>
          <cell r="F1094">
            <v>-6.2603644314089017E-3</v>
          </cell>
        </row>
        <row r="1095">
          <cell r="B1095">
            <v>41764</v>
          </cell>
          <cell r="F1095">
            <v>-7.4139091731668392E-3</v>
          </cell>
        </row>
        <row r="1096">
          <cell r="B1096">
            <v>41765</v>
          </cell>
          <cell r="F1096">
            <v>-1.4144581170664576E-3</v>
          </cell>
        </row>
        <row r="1097">
          <cell r="B1097">
            <v>41766</v>
          </cell>
          <cell r="F1097">
            <v>4.0899956877814933E-2</v>
          </cell>
        </row>
        <row r="1098">
          <cell r="B1098">
            <v>41767</v>
          </cell>
          <cell r="F1098">
            <v>-7.2299355594874617E-2</v>
          </cell>
        </row>
        <row r="1099">
          <cell r="B1099">
            <v>41768</v>
          </cell>
          <cell r="F1099">
            <v>6.4025205602727078E-2</v>
          </cell>
        </row>
        <row r="1100">
          <cell r="B1100">
            <v>41771</v>
          </cell>
          <cell r="F1100">
            <v>-3.2362997279120134E-3</v>
          </cell>
        </row>
        <row r="1101">
          <cell r="B1101">
            <v>41772</v>
          </cell>
          <cell r="F1101">
            <v>-1.7816709238849326E-2</v>
          </cell>
        </row>
        <row r="1102">
          <cell r="B1102">
            <v>41773</v>
          </cell>
          <cell r="F1102">
            <v>-3.3665857071461879E-2</v>
          </cell>
        </row>
        <row r="1103">
          <cell r="B1103">
            <v>41774</v>
          </cell>
          <cell r="F1103">
            <v>-4.908273231958981E-3</v>
          </cell>
        </row>
        <row r="1104">
          <cell r="B1104">
            <v>41775</v>
          </cell>
          <cell r="F1104">
            <v>-2.0042834087209659E-3</v>
          </cell>
        </row>
        <row r="1105">
          <cell r="B1105">
            <v>41778</v>
          </cell>
          <cell r="F1105">
            <v>4.255615835279275E-2</v>
          </cell>
        </row>
        <row r="1106">
          <cell r="B1106">
            <v>41779</v>
          </cell>
          <cell r="F1106">
            <v>-4.5194387165625169E-2</v>
          </cell>
        </row>
        <row r="1107">
          <cell r="B1107">
            <v>41780</v>
          </cell>
          <cell r="F1107">
            <v>-3.6936779072918799E-2</v>
          </cell>
        </row>
        <row r="1108">
          <cell r="B1108">
            <v>41781</v>
          </cell>
          <cell r="F1108">
            <v>-8.7762601581214093E-4</v>
          </cell>
        </row>
        <row r="1109">
          <cell r="B1109">
            <v>41782</v>
          </cell>
          <cell r="F1109">
            <v>1.3537158541354795E-2</v>
          </cell>
        </row>
        <row r="1110">
          <cell r="B1110">
            <v>41786</v>
          </cell>
          <cell r="F1110">
            <v>3.0515003870913184E-2</v>
          </cell>
        </row>
        <row r="1111">
          <cell r="B1111">
            <v>41787</v>
          </cell>
          <cell r="F1111">
            <v>1.1995944442217276E-2</v>
          </cell>
        </row>
        <row r="1112">
          <cell r="B1112">
            <v>41788</v>
          </cell>
          <cell r="F1112">
            <v>5.560679637625128E-2</v>
          </cell>
        </row>
        <row r="1113">
          <cell r="B1113">
            <v>41789</v>
          </cell>
          <cell r="F1113">
            <v>3.2520880232760089E-3</v>
          </cell>
        </row>
        <row r="1114">
          <cell r="B1114">
            <v>41792</v>
          </cell>
          <cell r="F1114">
            <v>-1.2219232837057836E-2</v>
          </cell>
        </row>
        <row r="1115">
          <cell r="B1115">
            <v>41793</v>
          </cell>
          <cell r="F1115">
            <v>-8.2472492781936503E-3</v>
          </cell>
        </row>
        <row r="1116">
          <cell r="B1116">
            <v>41794</v>
          </cell>
          <cell r="F1116">
            <v>8.7937803423384867E-3</v>
          </cell>
        </row>
        <row r="1117">
          <cell r="B1117">
            <v>41795</v>
          </cell>
          <cell r="F1117">
            <v>3.2778370432524975E-2</v>
          </cell>
        </row>
        <row r="1118">
          <cell r="B1118">
            <v>41796</v>
          </cell>
          <cell r="F1118">
            <v>-1.4771683251498819E-3</v>
          </cell>
        </row>
        <row r="1119">
          <cell r="B1119">
            <v>41799</v>
          </cell>
          <cell r="F1119">
            <v>2.1242029339451074E-3</v>
          </cell>
        </row>
        <row r="1120">
          <cell r="B1120">
            <v>41800</v>
          </cell>
          <cell r="F1120">
            <v>-5.5699037152577352E-3</v>
          </cell>
        </row>
        <row r="1121">
          <cell r="B1121">
            <v>41801</v>
          </cell>
          <cell r="F1121">
            <v>-5.6506192635012919E-3</v>
          </cell>
        </row>
        <row r="1122">
          <cell r="B1122">
            <v>41802</v>
          </cell>
          <cell r="F1122">
            <v>-4.8514537116361393E-3</v>
          </cell>
        </row>
        <row r="1123">
          <cell r="B1123">
            <v>41803</v>
          </cell>
          <cell r="F1123">
            <v>1.3766076991727232E-2</v>
          </cell>
        </row>
        <row r="1124">
          <cell r="B1124">
            <v>41806</v>
          </cell>
          <cell r="F1124">
            <v>-1.7109866401605896E-2</v>
          </cell>
        </row>
        <row r="1125">
          <cell r="B1125">
            <v>41807</v>
          </cell>
          <cell r="F1125">
            <v>-2.5821078945543617E-3</v>
          </cell>
        </row>
        <row r="1126">
          <cell r="B1126">
            <v>41808</v>
          </cell>
          <cell r="F1126">
            <v>2.4924960002623456E-2</v>
          </cell>
        </row>
        <row r="1127">
          <cell r="B1127">
            <v>41809</v>
          </cell>
          <cell r="F1127">
            <v>1.0735204432605712E-3</v>
          </cell>
        </row>
        <row r="1128">
          <cell r="B1128">
            <v>41810</v>
          </cell>
          <cell r="F1128">
            <v>-3.0630399168363525E-3</v>
          </cell>
        </row>
        <row r="1129">
          <cell r="B1129">
            <v>41813</v>
          </cell>
          <cell r="F1129">
            <v>1.0118105550519787E-2</v>
          </cell>
        </row>
        <row r="1130">
          <cell r="B1130">
            <v>41814</v>
          </cell>
          <cell r="F1130">
            <v>-2.3756626140917152E-2</v>
          </cell>
        </row>
        <row r="1131">
          <cell r="B1131">
            <v>41815</v>
          </cell>
          <cell r="F1131">
            <v>-1.2543155539355078E-2</v>
          </cell>
        </row>
        <row r="1132">
          <cell r="B1132">
            <v>41816</v>
          </cell>
          <cell r="F1132">
            <v>-4.1299270644112925E-3</v>
          </cell>
        </row>
        <row r="1133">
          <cell r="B1133">
            <v>41817</v>
          </cell>
          <cell r="F1133">
            <v>-8.957673816189126E-3</v>
          </cell>
        </row>
        <row r="1134">
          <cell r="B1134">
            <v>41820</v>
          </cell>
          <cell r="F1134">
            <v>5.6339795951992153E-3</v>
          </cell>
        </row>
        <row r="1135">
          <cell r="B1135">
            <v>41821</v>
          </cell>
          <cell r="F1135">
            <v>-2.3221297334044596E-3</v>
          </cell>
        </row>
        <row r="1136">
          <cell r="B1136">
            <v>41822</v>
          </cell>
          <cell r="F1136">
            <v>2.5964401342952644E-3</v>
          </cell>
        </row>
        <row r="1137">
          <cell r="B1137">
            <v>41823</v>
          </cell>
          <cell r="F1137">
            <v>1.3780244543646885E-3</v>
          </cell>
        </row>
        <row r="1138">
          <cell r="B1138">
            <v>41827</v>
          </cell>
          <cell r="F1138">
            <v>-1.016699242736255E-2</v>
          </cell>
        </row>
        <row r="1139">
          <cell r="B1139">
            <v>41828</v>
          </cell>
          <cell r="F1139">
            <v>-3.5084518755189857E-2</v>
          </cell>
        </row>
        <row r="1140">
          <cell r="B1140">
            <v>41829</v>
          </cell>
          <cell r="F1140">
            <v>1.4255481428267418E-2</v>
          </cell>
        </row>
        <row r="1141">
          <cell r="B1141">
            <v>41830</v>
          </cell>
          <cell r="F1141">
            <v>2.540264635073437E-3</v>
          </cell>
        </row>
        <row r="1142">
          <cell r="B1142">
            <v>41831</v>
          </cell>
          <cell r="F1142">
            <v>1.8469531547507828E-2</v>
          </cell>
        </row>
        <row r="1143">
          <cell r="B1143">
            <v>41834</v>
          </cell>
          <cell r="F1143">
            <v>2.8400221926867638E-2</v>
          </cell>
        </row>
        <row r="1144">
          <cell r="B1144">
            <v>41835</v>
          </cell>
          <cell r="F1144">
            <v>-5.8405753893745679E-3</v>
          </cell>
        </row>
        <row r="1145">
          <cell r="B1145">
            <v>41836</v>
          </cell>
          <cell r="F1145">
            <v>-6.5299899855786542E-3</v>
          </cell>
        </row>
        <row r="1146">
          <cell r="B1146">
            <v>41837</v>
          </cell>
          <cell r="F1146">
            <v>-7.8545201268000811E-3</v>
          </cell>
        </row>
        <row r="1147">
          <cell r="B1147">
            <v>41838</v>
          </cell>
          <cell r="F1147">
            <v>5.9380147648205997E-2</v>
          </cell>
        </row>
        <row r="1148">
          <cell r="B1148">
            <v>41841</v>
          </cell>
          <cell r="F1148">
            <v>-1.8897486673206877E-2</v>
          </cell>
        </row>
        <row r="1149">
          <cell r="B1149">
            <v>41842</v>
          </cell>
          <cell r="F1149">
            <v>-4.7097932651002528E-3</v>
          </cell>
        </row>
        <row r="1150">
          <cell r="B1150">
            <v>41843</v>
          </cell>
          <cell r="F1150">
            <v>1.0123793660582154E-2</v>
          </cell>
        </row>
        <row r="1151">
          <cell r="B1151">
            <v>41844</v>
          </cell>
          <cell r="F1151">
            <v>-1.3283066712456406E-2</v>
          </cell>
        </row>
        <row r="1152">
          <cell r="B1152">
            <v>41845</v>
          </cell>
          <cell r="F1152">
            <v>-7.6502053862887659E-3</v>
          </cell>
        </row>
        <row r="1153">
          <cell r="B1153">
            <v>41848</v>
          </cell>
          <cell r="F1153">
            <v>4.7114272437854664E-4</v>
          </cell>
        </row>
        <row r="1154">
          <cell r="B1154">
            <v>41849</v>
          </cell>
          <cell r="F1154">
            <v>1.3497500328665023E-2</v>
          </cell>
        </row>
        <row r="1155">
          <cell r="B1155">
            <v>41850</v>
          </cell>
          <cell r="F1155">
            <v>-2.31959906035549E-4</v>
          </cell>
        </row>
        <row r="1156">
          <cell r="B1156">
            <v>41851</v>
          </cell>
          <cell r="F1156">
            <v>-1.8544312382957721E-2</v>
          </cell>
        </row>
        <row r="1157">
          <cell r="B1157">
            <v>41852</v>
          </cell>
          <cell r="F1157">
            <v>-4.3162456411983408E-2</v>
          </cell>
        </row>
        <row r="1158">
          <cell r="B1158">
            <v>41855</v>
          </cell>
          <cell r="F1158">
            <v>1.3932652570028676E-2</v>
          </cell>
        </row>
        <row r="1159">
          <cell r="B1159">
            <v>41856</v>
          </cell>
          <cell r="F1159">
            <v>-1.1904982634740793E-2</v>
          </cell>
        </row>
        <row r="1160">
          <cell r="B1160">
            <v>41857</v>
          </cell>
          <cell r="F1160">
            <v>9.3524257171659223E-4</v>
          </cell>
        </row>
        <row r="1161">
          <cell r="B1161">
            <v>41858</v>
          </cell>
          <cell r="F1161">
            <v>-4.3988217938094737E-3</v>
          </cell>
        </row>
        <row r="1162">
          <cell r="B1162">
            <v>41859</v>
          </cell>
          <cell r="F1162">
            <v>1.0328654038856792E-3</v>
          </cell>
        </row>
        <row r="1163">
          <cell r="B1163">
            <v>41862</v>
          </cell>
          <cell r="F1163">
            <v>1.5721886117415836E-3</v>
          </cell>
        </row>
        <row r="1164">
          <cell r="B1164">
            <v>41863</v>
          </cell>
          <cell r="F1164">
            <v>-1.5201283728572618E-2</v>
          </cell>
        </row>
        <row r="1165">
          <cell r="B1165">
            <v>41864</v>
          </cell>
          <cell r="F1165">
            <v>2.7852239206919528E-2</v>
          </cell>
        </row>
        <row r="1166">
          <cell r="B1166">
            <v>41865</v>
          </cell>
          <cell r="F1166">
            <v>-1.7455768844954447E-2</v>
          </cell>
        </row>
        <row r="1167">
          <cell r="B1167">
            <v>41866</v>
          </cell>
          <cell r="F1167">
            <v>1.3173388037483087E-2</v>
          </cell>
        </row>
        <row r="1168">
          <cell r="B1168">
            <v>41869</v>
          </cell>
          <cell r="F1168">
            <v>2.0264125068545608E-2</v>
          </cell>
        </row>
        <row r="1169">
          <cell r="B1169">
            <v>41870</v>
          </cell>
          <cell r="F1169">
            <v>3.3400982481869941E-3</v>
          </cell>
        </row>
        <row r="1170">
          <cell r="B1170">
            <v>41871</v>
          </cell>
          <cell r="F1170">
            <v>-8.0412635959439434E-3</v>
          </cell>
        </row>
        <row r="1171">
          <cell r="B1171">
            <v>41872</v>
          </cell>
          <cell r="F1171">
            <v>-3.0014158741889993E-3</v>
          </cell>
        </row>
        <row r="1172">
          <cell r="B1172">
            <v>41873</v>
          </cell>
          <cell r="F1172">
            <v>-1.0358828040845598E-2</v>
          </cell>
        </row>
        <row r="1173">
          <cell r="B1173">
            <v>41876</v>
          </cell>
          <cell r="F1173">
            <v>-4.1515981827425399E-2</v>
          </cell>
        </row>
        <row r="1174">
          <cell r="B1174">
            <v>41877</v>
          </cell>
          <cell r="F1174">
            <v>9.5271548094372251E-3</v>
          </cell>
        </row>
        <row r="1175">
          <cell r="B1175">
            <v>41878</v>
          </cell>
          <cell r="F1175">
            <v>-2.4250274583060605E-2</v>
          </cell>
        </row>
        <row r="1176">
          <cell r="B1176">
            <v>41879</v>
          </cell>
          <cell r="F1176">
            <v>-6.1556974677306076E-3</v>
          </cell>
        </row>
        <row r="1177">
          <cell r="B1177">
            <v>41880</v>
          </cell>
          <cell r="F1177">
            <v>-6.4932460561311625E-3</v>
          </cell>
        </row>
        <row r="1178">
          <cell r="B1178">
            <v>41884</v>
          </cell>
          <cell r="F1178">
            <v>-1.1067367193731361E-2</v>
          </cell>
        </row>
        <row r="1179">
          <cell r="B1179">
            <v>41885</v>
          </cell>
          <cell r="F1179">
            <v>-2.8843481805194335E-2</v>
          </cell>
        </row>
        <row r="1180">
          <cell r="B1180">
            <v>41886</v>
          </cell>
          <cell r="F1180">
            <v>-1.1188362063787293E-2</v>
          </cell>
        </row>
        <row r="1181">
          <cell r="B1181">
            <v>41887</v>
          </cell>
          <cell r="F1181">
            <v>5.1896159090405666E-3</v>
          </cell>
        </row>
        <row r="1182">
          <cell r="B1182">
            <v>41890</v>
          </cell>
          <cell r="F1182">
            <v>4.0654822357692726E-3</v>
          </cell>
        </row>
        <row r="1183">
          <cell r="B1183">
            <v>41891</v>
          </cell>
          <cell r="F1183">
            <v>-2.1155267542923017E-2</v>
          </cell>
        </row>
        <row r="1184">
          <cell r="B1184">
            <v>41892</v>
          </cell>
          <cell r="F1184">
            <v>-5.1289168298543951E-3</v>
          </cell>
        </row>
        <row r="1185">
          <cell r="B1185">
            <v>41893</v>
          </cell>
          <cell r="F1185">
            <v>-1.5025699066490468E-2</v>
          </cell>
        </row>
        <row r="1186">
          <cell r="B1186">
            <v>41894</v>
          </cell>
          <cell r="F1186">
            <v>2.3367786912546207E-2</v>
          </cell>
        </row>
        <row r="1187">
          <cell r="B1187">
            <v>41897</v>
          </cell>
          <cell r="F1187">
            <v>8.3555332915739716E-3</v>
          </cell>
        </row>
        <row r="1188">
          <cell r="B1188">
            <v>41898</v>
          </cell>
          <cell r="F1188">
            <v>1.6085589853321494E-2</v>
          </cell>
        </row>
        <row r="1189">
          <cell r="B1189">
            <v>41899</v>
          </cell>
          <cell r="F1189">
            <v>1.2042954642607639E-2</v>
          </cell>
        </row>
        <row r="1190">
          <cell r="B1190">
            <v>41900</v>
          </cell>
          <cell r="F1190">
            <v>-4.2818894748612385E-3</v>
          </cell>
        </row>
        <row r="1191">
          <cell r="B1191">
            <v>41901</v>
          </cell>
          <cell r="F1191">
            <v>1.5999987401752652E-2</v>
          </cell>
        </row>
        <row r="1192">
          <cell r="B1192">
            <v>41904</v>
          </cell>
          <cell r="F1192">
            <v>-3.6151996235987631E-2</v>
          </cell>
        </row>
        <row r="1193">
          <cell r="B1193">
            <v>41905</v>
          </cell>
          <cell r="F1193">
            <v>-6.2659181348675333E-2</v>
          </cell>
        </row>
        <row r="1194">
          <cell r="B1194">
            <v>41906</v>
          </cell>
          <cell r="F1194">
            <v>1.5869207139566181E-2</v>
          </cell>
        </row>
        <row r="1195">
          <cell r="B1195">
            <v>41907</v>
          </cell>
          <cell r="F1195">
            <v>-9.7505968184138942E-3</v>
          </cell>
        </row>
        <row r="1196">
          <cell r="B1196">
            <v>41908</v>
          </cell>
          <cell r="F1196">
            <v>1.718273950192303E-2</v>
          </cell>
        </row>
        <row r="1197">
          <cell r="B1197">
            <v>41911</v>
          </cell>
          <cell r="F1197">
            <v>8.8372664932578823E-3</v>
          </cell>
        </row>
        <row r="1198">
          <cell r="B1198">
            <v>41912</v>
          </cell>
          <cell r="F1198">
            <v>1.07603869302151E-2</v>
          </cell>
        </row>
        <row r="1199">
          <cell r="B1199">
            <v>41913</v>
          </cell>
          <cell r="F1199">
            <v>-1.255121164882054E-2</v>
          </cell>
        </row>
        <row r="1200">
          <cell r="B1200">
            <v>41914</v>
          </cell>
          <cell r="F1200">
            <v>6.1214714263411966E-3</v>
          </cell>
        </row>
        <row r="1201">
          <cell r="B1201">
            <v>41915</v>
          </cell>
          <cell r="F1201">
            <v>1.6437157296602098E-2</v>
          </cell>
        </row>
        <row r="1202">
          <cell r="B1202">
            <v>41918</v>
          </cell>
          <cell r="F1202">
            <v>6.0638141634785665E-3</v>
          </cell>
        </row>
        <row r="1203">
          <cell r="B1203">
            <v>41919</v>
          </cell>
          <cell r="F1203">
            <v>-3.1879219531376748E-2</v>
          </cell>
        </row>
        <row r="1204">
          <cell r="B1204">
            <v>41920</v>
          </cell>
          <cell r="F1204">
            <v>1.9634546447242184E-2</v>
          </cell>
        </row>
        <row r="1205">
          <cell r="B1205">
            <v>41921</v>
          </cell>
          <cell r="F1205">
            <v>-1.0385448241628894E-2</v>
          </cell>
        </row>
        <row r="1206">
          <cell r="B1206">
            <v>41922</v>
          </cell>
          <cell r="F1206">
            <v>-4.4174492246523436E-2</v>
          </cell>
        </row>
        <row r="1207">
          <cell r="B1207">
            <v>41925</v>
          </cell>
          <cell r="F1207">
            <v>-2.0311251949772444E-3</v>
          </cell>
        </row>
        <row r="1208">
          <cell r="B1208">
            <v>41926</v>
          </cell>
          <cell r="F1208">
            <v>3.1373435721564619E-2</v>
          </cell>
        </row>
        <row r="1209">
          <cell r="B1209">
            <v>41927</v>
          </cell>
          <cell r="F1209">
            <v>3.9757748736073475E-3</v>
          </cell>
        </row>
        <row r="1210">
          <cell r="B1210">
            <v>41928</v>
          </cell>
          <cell r="F1210">
            <v>-1.5373024053528956E-2</v>
          </cell>
        </row>
        <row r="1211">
          <cell r="B1211">
            <v>41929</v>
          </cell>
          <cell r="F1211">
            <v>-1.9478433918368645E-2</v>
          </cell>
        </row>
        <row r="1212">
          <cell r="B1212">
            <v>41932</v>
          </cell>
          <cell r="F1212">
            <v>3.0044850642421315E-2</v>
          </cell>
        </row>
        <row r="1213">
          <cell r="B1213">
            <v>41933</v>
          </cell>
          <cell r="F1213">
            <v>6.2425365102959138E-2</v>
          </cell>
        </row>
        <row r="1214">
          <cell r="B1214">
            <v>41934</v>
          </cell>
          <cell r="F1214">
            <v>-8.3982026361397594E-4</v>
          </cell>
        </row>
        <row r="1215">
          <cell r="B1215">
            <v>41935</v>
          </cell>
          <cell r="F1215">
            <v>8.1860162575855995E-3</v>
          </cell>
        </row>
        <row r="1216">
          <cell r="B1216">
            <v>41936</v>
          </cell>
          <cell r="F1216">
            <v>-2.6886391869321416E-2</v>
          </cell>
        </row>
        <row r="1217">
          <cell r="B1217">
            <v>41939</v>
          </cell>
          <cell r="F1217">
            <v>2.6020367342017665E-3</v>
          </cell>
        </row>
        <row r="1218">
          <cell r="B1218">
            <v>41940</v>
          </cell>
          <cell r="F1218">
            <v>2.7132593873518157E-2</v>
          </cell>
        </row>
        <row r="1219">
          <cell r="B1219">
            <v>41941</v>
          </cell>
          <cell r="F1219">
            <v>1.3036676214382079E-2</v>
          </cell>
        </row>
        <row r="1220">
          <cell r="B1220">
            <v>41942</v>
          </cell>
          <cell r="F1220">
            <v>-1.5232516973838216E-2</v>
          </cell>
        </row>
        <row r="1221">
          <cell r="B1221">
            <v>41943</v>
          </cell>
          <cell r="F1221">
            <v>1.1535203544296019E-3</v>
          </cell>
        </row>
        <row r="1222">
          <cell r="B1222">
            <v>41946</v>
          </cell>
          <cell r="F1222">
            <v>-6.1233079947897243E-3</v>
          </cell>
        </row>
        <row r="1223">
          <cell r="B1223">
            <v>41947</v>
          </cell>
          <cell r="F1223">
            <v>-7.031053954572296E-3</v>
          </cell>
        </row>
        <row r="1224">
          <cell r="B1224">
            <v>41948</v>
          </cell>
          <cell r="F1224">
            <v>-9.6294722584795937E-3</v>
          </cell>
        </row>
        <row r="1225">
          <cell r="B1225">
            <v>41949</v>
          </cell>
          <cell r="F1225">
            <v>2.1915295753964035E-3</v>
          </cell>
        </row>
        <row r="1226">
          <cell r="B1226">
            <v>41950</v>
          </cell>
          <cell r="F1226">
            <v>8.9760882681593126E-3</v>
          </cell>
        </row>
        <row r="1227">
          <cell r="B1227">
            <v>41953</v>
          </cell>
          <cell r="F1227">
            <v>8.9530987607838609E-3</v>
          </cell>
        </row>
        <row r="1228">
          <cell r="B1228">
            <v>41954</v>
          </cell>
          <cell r="F1228">
            <v>8.8604834842333485E-3</v>
          </cell>
        </row>
        <row r="1229">
          <cell r="B1229">
            <v>41955</v>
          </cell>
          <cell r="F1229">
            <v>-1.4943648538436606E-2</v>
          </cell>
        </row>
        <row r="1230">
          <cell r="B1230">
            <v>41956</v>
          </cell>
          <cell r="F1230">
            <v>-2.4084644997631112E-2</v>
          </cell>
        </row>
        <row r="1231">
          <cell r="B1231">
            <v>41957</v>
          </cell>
          <cell r="F1231">
            <v>2.7908693596165976E-2</v>
          </cell>
        </row>
        <row r="1232">
          <cell r="B1232">
            <v>41960</v>
          </cell>
          <cell r="F1232">
            <v>-4.5482278373770463E-3</v>
          </cell>
        </row>
        <row r="1233">
          <cell r="B1233">
            <v>41961</v>
          </cell>
          <cell r="F1233">
            <v>5.1584253095267076E-3</v>
          </cell>
        </row>
        <row r="1234">
          <cell r="B1234">
            <v>41962</v>
          </cell>
          <cell r="F1234">
            <v>-6.0971767466612408E-3</v>
          </cell>
        </row>
        <row r="1235">
          <cell r="B1235">
            <v>41963</v>
          </cell>
          <cell r="F1235">
            <v>1.6770933016679274E-2</v>
          </cell>
        </row>
        <row r="1236">
          <cell r="B1236">
            <v>41964</v>
          </cell>
          <cell r="F1236">
            <v>1.2177068410546363E-2</v>
          </cell>
        </row>
        <row r="1237">
          <cell r="B1237">
            <v>41967</v>
          </cell>
          <cell r="F1237">
            <v>2.2282595993976424E-3</v>
          </cell>
        </row>
        <row r="1238">
          <cell r="B1238">
            <v>41968</v>
          </cell>
          <cell r="F1238">
            <v>2.5101534700451662E-3</v>
          </cell>
        </row>
        <row r="1239">
          <cell r="B1239">
            <v>41969</v>
          </cell>
          <cell r="F1239">
            <v>-7.977185310948506E-3</v>
          </cell>
        </row>
        <row r="1240">
          <cell r="B1240">
            <v>41971</v>
          </cell>
          <cell r="F1240">
            <v>3.0607305871912481E-2</v>
          </cell>
        </row>
        <row r="1241">
          <cell r="B1241">
            <v>41974</v>
          </cell>
          <cell r="F1241">
            <v>-6.6760291702386565E-3</v>
          </cell>
        </row>
        <row r="1242">
          <cell r="B1242">
            <v>41975</v>
          </cell>
          <cell r="F1242">
            <v>-3.3383414198875434E-3</v>
          </cell>
        </row>
        <row r="1243">
          <cell r="B1243">
            <v>41976</v>
          </cell>
          <cell r="F1243">
            <v>-8.1676278039821432E-4</v>
          </cell>
        </row>
        <row r="1244">
          <cell r="B1244">
            <v>41977</v>
          </cell>
          <cell r="F1244">
            <v>2.5262079459981792E-2</v>
          </cell>
        </row>
        <row r="1245">
          <cell r="B1245">
            <v>41978</v>
          </cell>
          <cell r="F1245">
            <v>-7.895691351609449E-2</v>
          </cell>
        </row>
        <row r="1246">
          <cell r="B1246">
            <v>41981</v>
          </cell>
          <cell r="F1246">
            <v>-6.6006824500152272E-2</v>
          </cell>
        </row>
        <row r="1247">
          <cell r="B1247">
            <v>41982</v>
          </cell>
          <cell r="F1247">
            <v>5.4194477979891839E-2</v>
          </cell>
        </row>
        <row r="1248">
          <cell r="B1248">
            <v>41983</v>
          </cell>
          <cell r="F1248">
            <v>1.667329966226045E-2</v>
          </cell>
        </row>
        <row r="1249">
          <cell r="B1249">
            <v>41984</v>
          </cell>
          <cell r="F1249">
            <v>4.1776355544411822E-2</v>
          </cell>
        </row>
        <row r="1250">
          <cell r="B1250">
            <v>41985</v>
          </cell>
          <cell r="F1250">
            <v>2.1502090800051655E-2</v>
          </cell>
        </row>
        <row r="1251">
          <cell r="B1251">
            <v>41988</v>
          </cell>
          <cell r="F1251">
            <v>1.2455314029214537E-2</v>
          </cell>
        </row>
        <row r="1252">
          <cell r="B1252">
            <v>41989</v>
          </cell>
          <cell r="F1252">
            <v>-1.5163746554223402E-2</v>
          </cell>
        </row>
        <row r="1253">
          <cell r="B1253">
            <v>41990</v>
          </cell>
          <cell r="F1253">
            <v>3.4112405260172861E-2</v>
          </cell>
        </row>
        <row r="1254">
          <cell r="B1254">
            <v>41991</v>
          </cell>
          <cell r="F1254">
            <v>2.5731827203821375E-2</v>
          </cell>
        </row>
        <row r="1255">
          <cell r="B1255">
            <v>41992</v>
          </cell>
          <cell r="F1255">
            <v>1.8017161337404563E-3</v>
          </cell>
        </row>
        <row r="1256">
          <cell r="B1256">
            <v>41995</v>
          </cell>
          <cell r="F1256">
            <v>6.2821319120001939E-3</v>
          </cell>
        </row>
        <row r="1257">
          <cell r="B1257">
            <v>41996</v>
          </cell>
          <cell r="F1257">
            <v>1.7090584582611226E-2</v>
          </cell>
        </row>
        <row r="1258">
          <cell r="B1258">
            <v>41997</v>
          </cell>
          <cell r="F1258">
            <v>-1.330629915830667E-2</v>
          </cell>
        </row>
        <row r="1259">
          <cell r="B1259">
            <v>41999</v>
          </cell>
          <cell r="F1259">
            <v>1.9978581266824381E-2</v>
          </cell>
        </row>
        <row r="1260">
          <cell r="B1260">
            <v>42002</v>
          </cell>
          <cell r="F1260">
            <v>5.6232409089875854E-2</v>
          </cell>
        </row>
        <row r="1261">
          <cell r="B1261">
            <v>42003</v>
          </cell>
          <cell r="F1261">
            <v>3.2611239856954341E-2</v>
          </cell>
        </row>
        <row r="1262">
          <cell r="B1262">
            <v>42004</v>
          </cell>
          <cell r="F1262">
            <v>-1.1829649601344092E-2</v>
          </cell>
        </row>
        <row r="1263">
          <cell r="B1263">
            <v>42006</v>
          </cell>
          <cell r="F1263">
            <v>5.8027935495045735E-3</v>
          </cell>
        </row>
        <row r="1264">
          <cell r="B1264">
            <v>42009</v>
          </cell>
          <cell r="F1264">
            <v>-1.8750564665660267E-2</v>
          </cell>
        </row>
        <row r="1265">
          <cell r="B1265">
            <v>42010</v>
          </cell>
          <cell r="F1265">
            <v>-3.0409419403227628E-2</v>
          </cell>
        </row>
        <row r="1266">
          <cell r="B1266">
            <v>42011</v>
          </cell>
          <cell r="F1266">
            <v>2.8269675980706556E-3</v>
          </cell>
        </row>
        <row r="1267">
          <cell r="B1267">
            <v>42012</v>
          </cell>
          <cell r="F1267">
            <v>7.4176813607512281E-3</v>
          </cell>
        </row>
        <row r="1268">
          <cell r="B1268">
            <v>42013</v>
          </cell>
          <cell r="F1268">
            <v>-1.6677829470115278E-2</v>
          </cell>
        </row>
        <row r="1269">
          <cell r="B1269">
            <v>42016</v>
          </cell>
          <cell r="F1269">
            <v>-4.9860583712773385E-3</v>
          </cell>
        </row>
        <row r="1270">
          <cell r="B1270">
            <v>42017</v>
          </cell>
          <cell r="F1270">
            <v>1.9423077774648523E-2</v>
          </cell>
        </row>
        <row r="1271">
          <cell r="B1271">
            <v>42018</v>
          </cell>
          <cell r="F1271">
            <v>1.6720018943852208E-2</v>
          </cell>
        </row>
        <row r="1272">
          <cell r="B1272">
            <v>42019</v>
          </cell>
          <cell r="F1272">
            <v>6.1165698918766607E-3</v>
          </cell>
        </row>
        <row r="1273">
          <cell r="B1273">
            <v>42020</v>
          </cell>
          <cell r="F1273">
            <v>-1.6897016759880545E-2</v>
          </cell>
        </row>
        <row r="1274">
          <cell r="B1274">
            <v>42024</v>
          </cell>
          <cell r="F1274">
            <v>-1.2801832754305366E-2</v>
          </cell>
        </row>
        <row r="1275">
          <cell r="B1275">
            <v>42025</v>
          </cell>
          <cell r="F1275">
            <v>2.2507159773118693E-2</v>
          </cell>
        </row>
        <row r="1276">
          <cell r="B1276">
            <v>42026</v>
          </cell>
          <cell r="F1276">
            <v>3.4288683209078491E-2</v>
          </cell>
        </row>
        <row r="1277">
          <cell r="B1277">
            <v>42027</v>
          </cell>
          <cell r="F1277">
            <v>1.2062624403363214E-2</v>
          </cell>
        </row>
        <row r="1278">
          <cell r="B1278">
            <v>42030</v>
          </cell>
          <cell r="F1278">
            <v>1.1476216079469524E-2</v>
          </cell>
        </row>
        <row r="1279">
          <cell r="B1279">
            <v>42031</v>
          </cell>
          <cell r="F1279">
            <v>-2.2081265694974497E-2</v>
          </cell>
        </row>
        <row r="1280">
          <cell r="B1280">
            <v>42032</v>
          </cell>
          <cell r="F1280">
            <v>-4.6176578981197453E-2</v>
          </cell>
        </row>
        <row r="1281">
          <cell r="B1281">
            <v>42033</v>
          </cell>
          <cell r="F1281">
            <v>-5.2865081002706302E-2</v>
          </cell>
        </row>
        <row r="1282">
          <cell r="B1282">
            <v>42034</v>
          </cell>
          <cell r="F1282">
            <v>5.8805446362824164E-2</v>
          </cell>
        </row>
        <row r="1283">
          <cell r="B1283">
            <v>42037</v>
          </cell>
          <cell r="F1283">
            <v>-3.0234744811578305E-3</v>
          </cell>
        </row>
        <row r="1284">
          <cell r="B1284">
            <v>42038</v>
          </cell>
          <cell r="F1284">
            <v>1.1790392848164126E-2</v>
          </cell>
        </row>
        <row r="1285">
          <cell r="B1285">
            <v>42039</v>
          </cell>
          <cell r="F1285">
            <v>4.0848149867589653E-2</v>
          </cell>
        </row>
        <row r="1286">
          <cell r="B1286">
            <v>42040</v>
          </cell>
          <cell r="F1286">
            <v>5.4492346783904029E-2</v>
          </cell>
        </row>
        <row r="1287">
          <cell r="B1287">
            <v>42041</v>
          </cell>
          <cell r="F1287">
            <v>-1.7651556531835692E-2</v>
          </cell>
        </row>
        <row r="1288">
          <cell r="B1288">
            <v>42044</v>
          </cell>
          <cell r="F1288">
            <v>-2.0035869424546975E-2</v>
          </cell>
        </row>
        <row r="1289">
          <cell r="B1289">
            <v>42045</v>
          </cell>
          <cell r="F1289">
            <v>1.522595319174383E-2</v>
          </cell>
        </row>
        <row r="1290">
          <cell r="B1290">
            <v>42046</v>
          </cell>
          <cell r="F1290">
            <v>3.9290304346897989E-3</v>
          </cell>
        </row>
        <row r="1291">
          <cell r="B1291">
            <v>42047</v>
          </cell>
          <cell r="F1291">
            <v>4.982289178088491E-3</v>
          </cell>
        </row>
        <row r="1292">
          <cell r="B1292">
            <v>42048</v>
          </cell>
          <cell r="F1292">
            <v>1.2028281182477308E-2</v>
          </cell>
        </row>
        <row r="1293">
          <cell r="B1293">
            <v>42052</v>
          </cell>
          <cell r="F1293">
            <v>-1.73774370278716E-2</v>
          </cell>
        </row>
        <row r="1294">
          <cell r="B1294">
            <v>42053</v>
          </cell>
          <cell r="F1294">
            <v>-1.0030001482748796E-2</v>
          </cell>
        </row>
        <row r="1295">
          <cell r="B1295">
            <v>42054</v>
          </cell>
          <cell r="F1295">
            <v>1.3762705531221558E-2</v>
          </cell>
        </row>
        <row r="1296">
          <cell r="B1296">
            <v>42055</v>
          </cell>
          <cell r="F1296">
            <v>-9.2170819194047297E-3</v>
          </cell>
        </row>
        <row r="1297">
          <cell r="B1297">
            <v>42058</v>
          </cell>
          <cell r="F1297">
            <v>-6.424727073763457E-3</v>
          </cell>
        </row>
        <row r="1298">
          <cell r="B1298">
            <v>42059</v>
          </cell>
          <cell r="F1298">
            <v>1.8717056805716694E-2</v>
          </cell>
        </row>
        <row r="1299">
          <cell r="B1299">
            <v>42060</v>
          </cell>
          <cell r="F1299">
            <v>1.1044247264765054E-2</v>
          </cell>
        </row>
        <row r="1300">
          <cell r="B1300">
            <v>42061</v>
          </cell>
          <cell r="F1300">
            <v>4.5536979967775677E-2</v>
          </cell>
        </row>
        <row r="1301">
          <cell r="B1301">
            <v>42062</v>
          </cell>
          <cell r="F1301">
            <v>-1.0344537879936756E-2</v>
          </cell>
        </row>
        <row r="1302">
          <cell r="B1302">
            <v>42065</v>
          </cell>
          <cell r="F1302">
            <v>7.8646099717925768E-3</v>
          </cell>
        </row>
        <row r="1303">
          <cell r="B1303">
            <v>42066</v>
          </cell>
          <cell r="F1303">
            <v>1.6185674185779462E-2</v>
          </cell>
        </row>
        <row r="1304">
          <cell r="B1304">
            <v>42067</v>
          </cell>
          <cell r="F1304">
            <v>-1.3692100403424522E-2</v>
          </cell>
        </row>
        <row r="1305">
          <cell r="B1305">
            <v>42068</v>
          </cell>
          <cell r="F1305">
            <v>1.5431607592819993E-2</v>
          </cell>
        </row>
        <row r="1306">
          <cell r="B1306">
            <v>42069</v>
          </cell>
          <cell r="F1306">
            <v>-3.803306347584752E-2</v>
          </cell>
        </row>
        <row r="1307">
          <cell r="B1307">
            <v>42072</v>
          </cell>
          <cell r="F1307">
            <v>1.0256456376640787E-2</v>
          </cell>
        </row>
        <row r="1308">
          <cell r="B1308">
            <v>42073</v>
          </cell>
          <cell r="F1308">
            <v>-4.0568983857874191E-3</v>
          </cell>
        </row>
        <row r="1309">
          <cell r="B1309">
            <v>42074</v>
          </cell>
          <cell r="F1309">
            <v>-1.3712831790359231E-2</v>
          </cell>
        </row>
        <row r="1310">
          <cell r="B1310">
            <v>42075</v>
          </cell>
          <cell r="F1310">
            <v>2.3559595025627073E-2</v>
          </cell>
        </row>
        <row r="1311">
          <cell r="B1311">
            <v>42076</v>
          </cell>
          <cell r="F1311">
            <v>-1.0009124836195047E-2</v>
          </cell>
        </row>
        <row r="1312">
          <cell r="B1312">
            <v>42079</v>
          </cell>
          <cell r="F1312">
            <v>8.7552410552569279E-3</v>
          </cell>
        </row>
        <row r="1313">
          <cell r="B1313">
            <v>42080</v>
          </cell>
          <cell r="F1313">
            <v>-7.7525318776029608E-4</v>
          </cell>
        </row>
        <row r="1314">
          <cell r="B1314">
            <v>42081</v>
          </cell>
          <cell r="F1314">
            <v>9.3650814391958714E-3</v>
          </cell>
        </row>
        <row r="1315">
          <cell r="B1315">
            <v>42082</v>
          </cell>
          <cell r="F1315">
            <v>1.9611720479499458E-3</v>
          </cell>
        </row>
        <row r="1316">
          <cell r="B1316">
            <v>42083</v>
          </cell>
          <cell r="F1316">
            <v>-1.2195173321953615E-2</v>
          </cell>
        </row>
        <row r="1317">
          <cell r="B1317">
            <v>42086</v>
          </cell>
          <cell r="F1317">
            <v>1.690793943701448E-2</v>
          </cell>
        </row>
        <row r="1318">
          <cell r="B1318">
            <v>42087</v>
          </cell>
          <cell r="F1318">
            <v>2.1693504725531262E-2</v>
          </cell>
        </row>
        <row r="1319">
          <cell r="B1319">
            <v>42088</v>
          </cell>
          <cell r="F1319">
            <v>-1.1790546602762686E-2</v>
          </cell>
        </row>
        <row r="1320">
          <cell r="B1320">
            <v>42089</v>
          </cell>
          <cell r="F1320">
            <v>-2.3440856060877566E-2</v>
          </cell>
        </row>
        <row r="1321">
          <cell r="B1321">
            <v>42090</v>
          </cell>
          <cell r="F1321">
            <v>-8.1598085586102459E-3</v>
          </cell>
        </row>
        <row r="1322">
          <cell r="B1322">
            <v>42093</v>
          </cell>
          <cell r="F1322">
            <v>1.1623875856736458E-2</v>
          </cell>
        </row>
        <row r="1323">
          <cell r="B1323">
            <v>42094</v>
          </cell>
          <cell r="F1323">
            <v>6.9435654682291044E-3</v>
          </cell>
        </row>
        <row r="1324">
          <cell r="B1324">
            <v>42095</v>
          </cell>
          <cell r="F1324">
            <v>3.9693931012216386E-3</v>
          </cell>
        </row>
        <row r="1325">
          <cell r="B1325">
            <v>42096</v>
          </cell>
          <cell r="F1325">
            <v>-1.7062343916357317E-2</v>
          </cell>
        </row>
        <row r="1326">
          <cell r="B1326">
            <v>42100</v>
          </cell>
          <cell r="F1326">
            <v>1.9747685021942699E-2</v>
          </cell>
        </row>
        <row r="1327">
          <cell r="B1327">
            <v>42101</v>
          </cell>
          <cell r="F1327">
            <v>-2.7912401517040252E-3</v>
          </cell>
        </row>
        <row r="1328">
          <cell r="B1328">
            <v>42102</v>
          </cell>
          <cell r="F1328">
            <v>-5.426524815719605E-4</v>
          </cell>
        </row>
        <row r="1329">
          <cell r="B1329">
            <v>42103</v>
          </cell>
          <cell r="F1329">
            <v>1.5819955310584562E-2</v>
          </cell>
        </row>
        <row r="1330">
          <cell r="B1330">
            <v>42104</v>
          </cell>
          <cell r="F1330">
            <v>-1.8159363434130861E-2</v>
          </cell>
        </row>
        <row r="1331">
          <cell r="B1331">
            <v>42107</v>
          </cell>
          <cell r="F1331">
            <v>-1.7072695563693577E-2</v>
          </cell>
        </row>
        <row r="1332">
          <cell r="B1332">
            <v>42108</v>
          </cell>
          <cell r="F1332">
            <v>-6.2272667181086497E-2</v>
          </cell>
        </row>
        <row r="1333">
          <cell r="B1333">
            <v>42109</v>
          </cell>
          <cell r="F1333">
            <v>-2.1449289944711868E-2</v>
          </cell>
        </row>
        <row r="1334">
          <cell r="B1334">
            <v>42110</v>
          </cell>
          <cell r="F1334">
            <v>8.175849769734166E-3</v>
          </cell>
        </row>
        <row r="1335">
          <cell r="B1335">
            <v>42111</v>
          </cell>
          <cell r="F1335">
            <v>-2.0083622674921555E-2</v>
          </cell>
        </row>
        <row r="1336">
          <cell r="B1336">
            <v>42114</v>
          </cell>
          <cell r="F1336">
            <v>1.7448739701254143E-2</v>
          </cell>
        </row>
        <row r="1337">
          <cell r="B1337">
            <v>42115</v>
          </cell>
          <cell r="F1337">
            <v>2.2879685754577089E-2</v>
          </cell>
        </row>
        <row r="1338">
          <cell r="B1338">
            <v>42116</v>
          </cell>
          <cell r="F1338">
            <v>-3.3428653229055562E-2</v>
          </cell>
        </row>
        <row r="1339">
          <cell r="B1339">
            <v>42117</v>
          </cell>
          <cell r="F1339">
            <v>2.6415448603893894E-2</v>
          </cell>
        </row>
        <row r="1340">
          <cell r="B1340">
            <v>42118</v>
          </cell>
          <cell r="F1340">
            <v>1.9377668531674892E-2</v>
          </cell>
        </row>
        <row r="1341">
          <cell r="B1341">
            <v>42121</v>
          </cell>
          <cell r="F1341">
            <v>-1.9652946399595E-2</v>
          </cell>
        </row>
        <row r="1342">
          <cell r="B1342">
            <v>42122</v>
          </cell>
          <cell r="F1342">
            <v>-1.7108529709908556E-2</v>
          </cell>
        </row>
        <row r="1343">
          <cell r="B1343">
            <v>42123</v>
          </cell>
          <cell r="F1343">
            <v>3.0995560163751563E-3</v>
          </cell>
        </row>
        <row r="1344">
          <cell r="B1344">
            <v>42124</v>
          </cell>
          <cell r="F1344">
            <v>-1.8156308983355164E-2</v>
          </cell>
        </row>
        <row r="1345">
          <cell r="B1345">
            <v>42125</v>
          </cell>
          <cell r="F1345">
            <v>-5.5976611564420367E-3</v>
          </cell>
        </row>
        <row r="1346">
          <cell r="B1346">
            <v>42128</v>
          </cell>
          <cell r="F1346">
            <v>6.5851481819021729E-2</v>
          </cell>
        </row>
        <row r="1347">
          <cell r="B1347">
            <v>42129</v>
          </cell>
          <cell r="F1347">
            <v>-3.974276110888704E-2</v>
          </cell>
        </row>
        <row r="1348">
          <cell r="B1348">
            <v>42130</v>
          </cell>
          <cell r="F1348">
            <v>-1.121385912319391E-2</v>
          </cell>
        </row>
        <row r="1349">
          <cell r="B1349">
            <v>42131</v>
          </cell>
          <cell r="F1349">
            <v>1.4055040558584544E-2</v>
          </cell>
        </row>
        <row r="1350">
          <cell r="B1350">
            <v>42132</v>
          </cell>
          <cell r="F1350">
            <v>1.3738889351384483E-2</v>
          </cell>
        </row>
        <row r="1351">
          <cell r="B1351">
            <v>42135</v>
          </cell>
          <cell r="F1351">
            <v>-2.0249669855604297E-2</v>
          </cell>
        </row>
        <row r="1352">
          <cell r="B1352">
            <v>42136</v>
          </cell>
          <cell r="F1352">
            <v>5.710216656826311E-3</v>
          </cell>
        </row>
        <row r="1353">
          <cell r="B1353">
            <v>42137</v>
          </cell>
          <cell r="F1353">
            <v>-7.826377138057377E-3</v>
          </cell>
        </row>
        <row r="1354">
          <cell r="B1354">
            <v>42138</v>
          </cell>
          <cell r="F1354">
            <v>2.903265050147532E-2</v>
          </cell>
        </row>
        <row r="1355">
          <cell r="B1355">
            <v>42139</v>
          </cell>
          <cell r="F1355">
            <v>-1.2892569833371526E-2</v>
          </cell>
        </row>
        <row r="1356">
          <cell r="B1356">
            <v>42142</v>
          </cell>
          <cell r="F1356">
            <v>-7.2982437504331456E-5</v>
          </cell>
        </row>
        <row r="1357">
          <cell r="B1357">
            <v>42143</v>
          </cell>
          <cell r="F1357">
            <v>2.3801671687574466E-2</v>
          </cell>
        </row>
        <row r="1358">
          <cell r="B1358">
            <v>42144</v>
          </cell>
          <cell r="F1358">
            <v>1.6748916554777799E-2</v>
          </cell>
        </row>
        <row r="1359">
          <cell r="B1359">
            <v>42145</v>
          </cell>
          <cell r="F1359">
            <v>2.5362893887304446E-2</v>
          </cell>
        </row>
        <row r="1360">
          <cell r="B1360">
            <v>42146</v>
          </cell>
          <cell r="F1360">
            <v>-1.3629948520809473E-2</v>
          </cell>
        </row>
        <row r="1361">
          <cell r="B1361">
            <v>42150</v>
          </cell>
          <cell r="F1361">
            <v>-2.3090990755716939E-2</v>
          </cell>
        </row>
        <row r="1362">
          <cell r="B1362">
            <v>42151</v>
          </cell>
          <cell r="F1362">
            <v>1.3426577055325409E-2</v>
          </cell>
        </row>
        <row r="1363">
          <cell r="B1363">
            <v>42152</v>
          </cell>
          <cell r="F1363">
            <v>5.4473698753759953E-3</v>
          </cell>
        </row>
        <row r="1364">
          <cell r="B1364">
            <v>42153</v>
          </cell>
          <cell r="F1364">
            <v>-2.5070996183539751E-2</v>
          </cell>
        </row>
        <row r="1365">
          <cell r="B1365">
            <v>42156</v>
          </cell>
          <cell r="F1365">
            <v>-2.3277791035148598E-2</v>
          </cell>
        </row>
        <row r="1366">
          <cell r="B1366">
            <v>42157</v>
          </cell>
          <cell r="F1366">
            <v>-4.1095922578266945E-3</v>
          </cell>
        </row>
        <row r="1367">
          <cell r="B1367">
            <v>42158</v>
          </cell>
          <cell r="F1367">
            <v>1.5635161621653675E-2</v>
          </cell>
        </row>
        <row r="1368">
          <cell r="B1368">
            <v>42159</v>
          </cell>
          <cell r="F1368">
            <v>-1.077392104432531E-2</v>
          </cell>
        </row>
        <row r="1369">
          <cell r="B1369">
            <v>42160</v>
          </cell>
          <cell r="F1369">
            <v>-9.127486526273175E-3</v>
          </cell>
        </row>
        <row r="1370">
          <cell r="B1370">
            <v>42163</v>
          </cell>
          <cell r="F1370">
            <v>-9.351646061612668E-3</v>
          </cell>
        </row>
        <row r="1371">
          <cell r="B1371">
            <v>42164</v>
          </cell>
          <cell r="F1371">
            <v>3.9350604515959488E-3</v>
          </cell>
        </row>
        <row r="1372">
          <cell r="B1372">
            <v>42165</v>
          </cell>
          <cell r="F1372">
            <v>1.9980001780472621E-2</v>
          </cell>
        </row>
        <row r="1373">
          <cell r="B1373">
            <v>42166</v>
          </cell>
          <cell r="F1373">
            <v>-5.6435035409117514E-4</v>
          </cell>
        </row>
        <row r="1374">
          <cell r="B1374">
            <v>42167</v>
          </cell>
          <cell r="F1374">
            <v>-2.1591798097083694E-2</v>
          </cell>
        </row>
        <row r="1375">
          <cell r="B1375">
            <v>42170</v>
          </cell>
          <cell r="F1375">
            <v>-5.6221286224293919E-2</v>
          </cell>
        </row>
        <row r="1376">
          <cell r="B1376">
            <v>42171</v>
          </cell>
          <cell r="F1376">
            <v>4.557587220173441E-2</v>
          </cell>
        </row>
        <row r="1377">
          <cell r="B1377">
            <v>42172</v>
          </cell>
          <cell r="F1377">
            <v>3.4987797592858937E-2</v>
          </cell>
        </row>
        <row r="1378">
          <cell r="B1378">
            <v>42173</v>
          </cell>
          <cell r="F1378">
            <v>-1.3317769941883268E-2</v>
          </cell>
        </row>
        <row r="1379">
          <cell r="B1379">
            <v>42174</v>
          </cell>
          <cell r="F1379">
            <v>-4.225356718409469E-2</v>
          </cell>
        </row>
        <row r="1380">
          <cell r="B1380">
            <v>42177</v>
          </cell>
          <cell r="F1380">
            <v>6.4729216252045682E-2</v>
          </cell>
        </row>
        <row r="1381">
          <cell r="B1381">
            <v>42178</v>
          </cell>
          <cell r="F1381">
            <v>-1.4800307443193512E-2</v>
          </cell>
        </row>
        <row r="1382">
          <cell r="B1382">
            <v>42179</v>
          </cell>
          <cell r="F1382">
            <v>-9.7281969368888683E-3</v>
          </cell>
        </row>
        <row r="1383">
          <cell r="B1383">
            <v>42180</v>
          </cell>
          <cell r="F1383">
            <v>-3.3144914177842305E-3</v>
          </cell>
        </row>
        <row r="1384">
          <cell r="B1384">
            <v>42181</v>
          </cell>
          <cell r="F1384">
            <v>-2.159036610519096E-2</v>
          </cell>
        </row>
        <row r="1385">
          <cell r="B1385">
            <v>42184</v>
          </cell>
          <cell r="F1385">
            <v>-8.9158162379641796E-3</v>
          </cell>
        </row>
        <row r="1386">
          <cell r="B1386">
            <v>42185</v>
          </cell>
          <cell r="F1386">
            <v>7.5391474901102193E-3</v>
          </cell>
        </row>
        <row r="1387">
          <cell r="B1387">
            <v>42186</v>
          </cell>
          <cell r="F1387">
            <v>-1.2563953226767049E-2</v>
          </cell>
        </row>
        <row r="1388">
          <cell r="B1388">
            <v>42187</v>
          </cell>
          <cell r="F1388">
            <v>3.4625212071522922E-2</v>
          </cell>
        </row>
        <row r="1389">
          <cell r="B1389">
            <v>42191</v>
          </cell>
          <cell r="F1389">
            <v>1.3749259995226949E-2</v>
          </cell>
        </row>
        <row r="1390">
          <cell r="B1390">
            <v>42192</v>
          </cell>
          <cell r="F1390">
            <v>9.3995944472337022E-3</v>
          </cell>
        </row>
        <row r="1391">
          <cell r="B1391">
            <v>42193</v>
          </cell>
          <cell r="F1391">
            <v>-1.1942252030715719E-3</v>
          </cell>
        </row>
        <row r="1392">
          <cell r="B1392">
            <v>42194</v>
          </cell>
          <cell r="F1392">
            <v>6.3114686028997429E-3</v>
          </cell>
        </row>
        <row r="1393">
          <cell r="B1393">
            <v>42195</v>
          </cell>
          <cell r="F1393">
            <v>2.885886024798074E-2</v>
          </cell>
        </row>
        <row r="1394">
          <cell r="B1394">
            <v>42198</v>
          </cell>
          <cell r="F1394">
            <v>2.8621440053795594E-2</v>
          </cell>
        </row>
        <row r="1395">
          <cell r="B1395">
            <v>42199</v>
          </cell>
          <cell r="F1395">
            <v>1.5781819957523233E-2</v>
          </cell>
        </row>
        <row r="1396">
          <cell r="B1396">
            <v>42200</v>
          </cell>
          <cell r="F1396">
            <v>6.5654026767914542E-3</v>
          </cell>
        </row>
        <row r="1397">
          <cell r="B1397">
            <v>42201</v>
          </cell>
          <cell r="F1397">
            <v>3.527103041941447E-3</v>
          </cell>
        </row>
        <row r="1398">
          <cell r="B1398">
            <v>42202</v>
          </cell>
          <cell r="F1398">
            <v>0.1612026518960864</v>
          </cell>
        </row>
        <row r="1399">
          <cell r="B1399">
            <v>42205</v>
          </cell>
          <cell r="F1399">
            <v>-3.0702879123763991E-2</v>
          </cell>
        </row>
        <row r="1400">
          <cell r="B1400">
            <v>42206</v>
          </cell>
          <cell r="F1400">
            <v>-7.1807755958957858E-2</v>
          </cell>
        </row>
        <row r="1401">
          <cell r="B1401">
            <v>42207</v>
          </cell>
          <cell r="F1401">
            <v>6.0992843864971199E-3</v>
          </cell>
        </row>
        <row r="1402">
          <cell r="B1402">
            <v>42208</v>
          </cell>
          <cell r="F1402">
            <v>-2.7795193721467829E-2</v>
          </cell>
        </row>
        <row r="1403">
          <cell r="B1403">
            <v>42209</v>
          </cell>
          <cell r="F1403">
            <v>-3.8607077496275913E-2</v>
          </cell>
        </row>
        <row r="1404">
          <cell r="B1404">
            <v>42212</v>
          </cell>
          <cell r="F1404">
            <v>8.8370327700982229E-3</v>
          </cell>
        </row>
        <row r="1405">
          <cell r="B1405">
            <v>42213</v>
          </cell>
          <cell r="F1405">
            <v>7.2448553584675834E-3</v>
          </cell>
        </row>
        <row r="1406">
          <cell r="B1406">
            <v>42214</v>
          </cell>
          <cell r="F1406">
            <v>1.7062323839148227E-2</v>
          </cell>
        </row>
        <row r="1407">
          <cell r="B1407">
            <v>42215</v>
          </cell>
          <cell r="F1407">
            <v>-8.4136280869566305E-3</v>
          </cell>
        </row>
        <row r="1408">
          <cell r="B1408">
            <v>42216</v>
          </cell>
          <cell r="F1408">
            <v>-1.0645685975170793E-2</v>
          </cell>
        </row>
        <row r="1409">
          <cell r="B1409">
            <v>42219</v>
          </cell>
          <cell r="F1409">
            <v>7.7760149328966136E-3</v>
          </cell>
        </row>
        <row r="1410">
          <cell r="B1410">
            <v>42220</v>
          </cell>
          <cell r="F1410">
            <v>6.789266159788543E-3</v>
          </cell>
        </row>
        <row r="1411">
          <cell r="B1411">
            <v>42221</v>
          </cell>
          <cell r="F1411">
            <v>8.4088111488671551E-3</v>
          </cell>
        </row>
        <row r="1412">
          <cell r="B1412">
            <v>42222</v>
          </cell>
          <cell r="F1412">
            <v>-1.1745300954070276E-3</v>
          </cell>
        </row>
        <row r="1413">
          <cell r="B1413">
            <v>42223</v>
          </cell>
          <cell r="F1413">
            <v>-2.3280407124124887E-2</v>
          </cell>
        </row>
        <row r="1414">
          <cell r="B1414">
            <v>42226</v>
          </cell>
          <cell r="F1414">
            <v>8.0943623595150574E-3</v>
          </cell>
        </row>
        <row r="1415">
          <cell r="B1415">
            <v>42227</v>
          </cell>
          <cell r="F1415">
            <v>5.1232336233849957E-2</v>
          </cell>
        </row>
        <row r="1416">
          <cell r="B1416">
            <v>42228</v>
          </cell>
          <cell r="F1416">
            <v>-2.7017072752754624E-3</v>
          </cell>
        </row>
        <row r="1417">
          <cell r="B1417">
            <v>42229</v>
          </cell>
          <cell r="F1417">
            <v>-2.3600875026749811E-2</v>
          </cell>
        </row>
        <row r="1418">
          <cell r="B1418">
            <v>42230</v>
          </cell>
          <cell r="F1418">
            <v>1.0182888155795032E-3</v>
          </cell>
        </row>
        <row r="1419">
          <cell r="B1419">
            <v>42233</v>
          </cell>
          <cell r="F1419">
            <v>3.8044946057473783E-3</v>
          </cell>
        </row>
        <row r="1420">
          <cell r="B1420">
            <v>42234</v>
          </cell>
          <cell r="F1420">
            <v>7.9096748276051964E-3</v>
          </cell>
        </row>
        <row r="1421">
          <cell r="B1421">
            <v>42235</v>
          </cell>
          <cell r="F1421">
            <v>-1.8398435990753081E-2</v>
          </cell>
        </row>
        <row r="1422">
          <cell r="B1422">
            <v>42236</v>
          </cell>
          <cell r="F1422">
            <v>-1.7853334119884393E-2</v>
          </cell>
        </row>
        <row r="1423">
          <cell r="B1423">
            <v>42237</v>
          </cell>
          <cell r="F1423">
            <v>-5.9539413153856455E-2</v>
          </cell>
        </row>
        <row r="1424">
          <cell r="B1424">
            <v>42240</v>
          </cell>
          <cell r="F1424">
            <v>-3.4577134265736192E-2</v>
          </cell>
        </row>
        <row r="1425">
          <cell r="B1425">
            <v>42241</v>
          </cell>
          <cell r="F1425">
            <v>2.2667618359347802E-2</v>
          </cell>
        </row>
        <row r="1426">
          <cell r="B1426">
            <v>42242</v>
          </cell>
          <cell r="F1426">
            <v>7.7928641251132136E-2</v>
          </cell>
        </row>
        <row r="1427">
          <cell r="B1427">
            <v>42243</v>
          </cell>
          <cell r="F1427">
            <v>1.662800193840484E-2</v>
          </cell>
        </row>
        <row r="1428">
          <cell r="B1428">
            <v>42244</v>
          </cell>
          <cell r="F1428">
            <v>-4.8221727254568719E-2</v>
          </cell>
        </row>
        <row r="1429">
          <cell r="B1429">
            <v>42247</v>
          </cell>
          <cell r="F1429">
            <v>-3.3408851251436625E-2</v>
          </cell>
        </row>
        <row r="1430">
          <cell r="B1430">
            <v>42248</v>
          </cell>
          <cell r="F1430">
            <v>-1.2179462750994928E-2</v>
          </cell>
        </row>
        <row r="1431">
          <cell r="B1431">
            <v>42249</v>
          </cell>
          <cell r="F1431">
            <v>1.7809090972934226E-2</v>
          </cell>
        </row>
        <row r="1432">
          <cell r="B1432">
            <v>42250</v>
          </cell>
          <cell r="F1432">
            <v>4.8990077124441853E-2</v>
          </cell>
        </row>
        <row r="1433">
          <cell r="B1433">
            <v>42251</v>
          </cell>
          <cell r="F1433">
            <v>-6.0630834636912379E-2</v>
          </cell>
        </row>
        <row r="1434">
          <cell r="B1434">
            <v>42255</v>
          </cell>
          <cell r="F1434">
            <v>7.3555034647426507E-2</v>
          </cell>
        </row>
        <row r="1435">
          <cell r="B1435">
            <v>42256</v>
          </cell>
          <cell r="F1435">
            <v>-5.5031025666593389E-2</v>
          </cell>
        </row>
        <row r="1436">
          <cell r="B1436">
            <v>42257</v>
          </cell>
          <cell r="F1436">
            <v>-3.2933941109732343E-2</v>
          </cell>
        </row>
        <row r="1437">
          <cell r="B1437">
            <v>42258</v>
          </cell>
          <cell r="F1437">
            <v>4.5592458494992494E-2</v>
          </cell>
        </row>
        <row r="1438">
          <cell r="B1438">
            <v>42261</v>
          </cell>
          <cell r="F1438">
            <v>4.4901782460746983E-2</v>
          </cell>
        </row>
        <row r="1439">
          <cell r="B1439">
            <v>42262</v>
          </cell>
          <cell r="F1439">
            <v>-1.0733304133387158E-2</v>
          </cell>
        </row>
        <row r="1440">
          <cell r="B1440">
            <v>42263</v>
          </cell>
          <cell r="F1440">
            <v>1.33244953396334E-2</v>
          </cell>
        </row>
        <row r="1441">
          <cell r="B1441">
            <v>42264</v>
          </cell>
          <cell r="F1441">
            <v>2.2623562700590745E-2</v>
          </cell>
        </row>
        <row r="1442">
          <cell r="B1442">
            <v>42265</v>
          </cell>
          <cell r="F1442">
            <v>-2.7983757245504993E-2</v>
          </cell>
        </row>
        <row r="1443">
          <cell r="B1443">
            <v>42268</v>
          </cell>
          <cell r="F1443">
            <v>-4.7613801810191606E-3</v>
          </cell>
        </row>
        <row r="1444">
          <cell r="B1444">
            <v>42269</v>
          </cell>
          <cell r="F1444">
            <v>2.8699666650042772E-2</v>
          </cell>
        </row>
        <row r="1445">
          <cell r="B1445">
            <v>42270</v>
          </cell>
          <cell r="F1445">
            <v>-6.5978730873499515E-4</v>
          </cell>
        </row>
        <row r="1446">
          <cell r="B1446">
            <v>42271</v>
          </cell>
          <cell r="F1446">
            <v>7.8776778145640981E-3</v>
          </cell>
        </row>
        <row r="1447">
          <cell r="B1447">
            <v>42272</v>
          </cell>
          <cell r="F1447">
            <v>2.1140702722419052E-3</v>
          </cell>
        </row>
        <row r="1448">
          <cell r="B1448">
            <v>42275</v>
          </cell>
          <cell r="F1448">
            <v>-4.5547304129821123E-2</v>
          </cell>
        </row>
        <row r="1449">
          <cell r="B1449">
            <v>42276</v>
          </cell>
          <cell r="F1449">
            <v>7.6309440075129483E-3</v>
          </cell>
        </row>
        <row r="1450">
          <cell r="B1450">
            <v>42277</v>
          </cell>
          <cell r="F1450">
            <v>3.1894015653278797E-2</v>
          </cell>
        </row>
        <row r="1451">
          <cell r="B1451">
            <v>42278</v>
          </cell>
          <cell r="F1451">
            <v>3.181040478953661E-4</v>
          </cell>
        </row>
        <row r="1452">
          <cell r="B1452">
            <v>42279</v>
          </cell>
          <cell r="F1452">
            <v>1.6180765177677553E-3</v>
          </cell>
        </row>
        <row r="1453">
          <cell r="B1453">
            <v>42282</v>
          </cell>
          <cell r="F1453">
            <v>1.4996690025713608E-2</v>
          </cell>
        </row>
        <row r="1454">
          <cell r="B1454">
            <v>42283</v>
          </cell>
          <cell r="F1454">
            <v>-1.6375838622106009E-2</v>
          </cell>
        </row>
        <row r="1455">
          <cell r="B1455">
            <v>42284</v>
          </cell>
          <cell r="F1455">
            <v>-1.1696035848840988E-2</v>
          </cell>
        </row>
        <row r="1456">
          <cell r="B1456">
            <v>42285</v>
          </cell>
          <cell r="F1456">
            <v>-6.1689475162686998E-3</v>
          </cell>
        </row>
        <row r="1457">
          <cell r="B1457">
            <v>42286</v>
          </cell>
          <cell r="F1457">
            <v>2.208986030949117E-3</v>
          </cell>
        </row>
        <row r="1458">
          <cell r="B1458">
            <v>42289</v>
          </cell>
          <cell r="F1458">
            <v>-1.6722302251254689E-2</v>
          </cell>
        </row>
        <row r="1459">
          <cell r="B1459">
            <v>42290</v>
          </cell>
          <cell r="F1459">
            <v>-4.2544234668530009E-4</v>
          </cell>
        </row>
        <row r="1460">
          <cell r="B1460">
            <v>42291</v>
          </cell>
          <cell r="F1460">
            <v>-2.9496694523586347E-3</v>
          </cell>
        </row>
        <row r="1461">
          <cell r="B1461">
            <v>42292</v>
          </cell>
          <cell r="F1461">
            <v>1.2124685588967107E-2</v>
          </cell>
        </row>
        <row r="1462">
          <cell r="B1462">
            <v>42293</v>
          </cell>
          <cell r="F1462">
            <v>-1.167600427771419E-3</v>
          </cell>
        </row>
        <row r="1463">
          <cell r="B1463">
            <v>42296</v>
          </cell>
          <cell r="F1463">
            <v>4.0061547569085094E-3</v>
          </cell>
        </row>
        <row r="1464">
          <cell r="B1464">
            <v>42297</v>
          </cell>
          <cell r="F1464">
            <v>-2.1993710135454102E-2</v>
          </cell>
        </row>
        <row r="1465">
          <cell r="B1465">
            <v>42298</v>
          </cell>
          <cell r="F1465">
            <v>-1.1756277080944864E-2</v>
          </cell>
        </row>
        <row r="1466">
          <cell r="B1466">
            <v>42299</v>
          </cell>
          <cell r="F1466">
            <v>2.9563348852316637E-2</v>
          </cell>
        </row>
        <row r="1467">
          <cell r="B1467">
            <v>42300</v>
          </cell>
          <cell r="F1467">
            <v>8.0358290912897284E-2</v>
          </cell>
        </row>
        <row r="1468">
          <cell r="B1468">
            <v>42303</v>
          </cell>
          <cell r="F1468">
            <v>1.2736468434174995E-2</v>
          </cell>
        </row>
        <row r="1469">
          <cell r="B1469">
            <v>42304</v>
          </cell>
          <cell r="F1469">
            <v>-5.8795701990769167E-2</v>
          </cell>
        </row>
        <row r="1470">
          <cell r="B1470">
            <v>42305</v>
          </cell>
          <cell r="F1470">
            <v>-8.4408870165540058E-3</v>
          </cell>
        </row>
        <row r="1471">
          <cell r="B1471">
            <v>42306</v>
          </cell>
          <cell r="F1471">
            <v>6.7663209640822126E-3</v>
          </cell>
        </row>
        <row r="1472">
          <cell r="B1472">
            <v>42307</v>
          </cell>
          <cell r="F1472">
            <v>-9.9551651479926097E-3</v>
          </cell>
        </row>
        <row r="1473">
          <cell r="B1473">
            <v>42310</v>
          </cell>
          <cell r="F1473">
            <v>1.559045388208978E-2</v>
          </cell>
        </row>
        <row r="1474">
          <cell r="B1474">
            <v>42311</v>
          </cell>
          <cell r="F1474">
            <v>1.9373786714881963E-2</v>
          </cell>
        </row>
        <row r="1475">
          <cell r="B1475">
            <v>42312</v>
          </cell>
          <cell r="F1475">
            <v>-1.7632079473345826E-2</v>
          </cell>
        </row>
        <row r="1476">
          <cell r="B1476">
            <v>42313</v>
          </cell>
          <cell r="F1476">
            <v>2.2117994488167026E-2</v>
          </cell>
        </row>
        <row r="1477">
          <cell r="B1477">
            <v>42314</v>
          </cell>
          <cell r="F1477">
            <v>9.9566000358182949E-4</v>
          </cell>
        </row>
        <row r="1478">
          <cell r="B1478">
            <v>42317</v>
          </cell>
          <cell r="F1478">
            <v>-6.4366209053941682E-3</v>
          </cell>
        </row>
        <row r="1479">
          <cell r="B1479">
            <v>42318</v>
          </cell>
          <cell r="F1479">
            <v>6.4356980994099092E-3</v>
          </cell>
        </row>
        <row r="1480">
          <cell r="B1480">
            <v>42319</v>
          </cell>
          <cell r="F1480">
            <v>1.3523008478120005E-2</v>
          </cell>
        </row>
        <row r="1481">
          <cell r="B1481">
            <v>42320</v>
          </cell>
          <cell r="F1481">
            <v>-8.7850401345179029E-3</v>
          </cell>
        </row>
        <row r="1482">
          <cell r="B1482">
            <v>42321</v>
          </cell>
          <cell r="F1482">
            <v>-2.5381189167353789E-2</v>
          </cell>
        </row>
        <row r="1483">
          <cell r="B1483">
            <v>42324</v>
          </cell>
          <cell r="F1483">
            <v>2.2864764116991981E-2</v>
          </cell>
        </row>
        <row r="1484">
          <cell r="B1484">
            <v>42325</v>
          </cell>
          <cell r="F1484">
            <v>-2.9415430062478161E-3</v>
          </cell>
        </row>
        <row r="1485">
          <cell r="B1485">
            <v>42326</v>
          </cell>
          <cell r="F1485">
            <v>5.8888626286575721E-4</v>
          </cell>
        </row>
        <row r="1486">
          <cell r="B1486">
            <v>42327</v>
          </cell>
          <cell r="F1486">
            <v>-4.7382019814799971E-3</v>
          </cell>
        </row>
        <row r="1487">
          <cell r="B1487">
            <v>42328</v>
          </cell>
          <cell r="F1487">
            <v>1.3878067794131914E-2</v>
          </cell>
        </row>
        <row r="1488">
          <cell r="B1488">
            <v>42331</v>
          </cell>
          <cell r="F1488">
            <v>6.6838227306346906E-3</v>
          </cell>
        </row>
        <row r="1489">
          <cell r="B1489">
            <v>42332</v>
          </cell>
          <cell r="F1489">
            <v>-7.6548526908940002E-3</v>
          </cell>
        </row>
        <row r="1490">
          <cell r="B1490">
            <v>42333</v>
          </cell>
          <cell r="F1490">
            <v>8.4417632176746506E-3</v>
          </cell>
        </row>
        <row r="1491">
          <cell r="B1491">
            <v>42335</v>
          </cell>
          <cell r="F1491">
            <v>1.847446411534745E-2</v>
          </cell>
        </row>
        <row r="1492">
          <cell r="B1492">
            <v>42338</v>
          </cell>
          <cell r="F1492">
            <v>-2.6913440660423789E-2</v>
          </cell>
        </row>
        <row r="1493">
          <cell r="B1493">
            <v>42339</v>
          </cell>
          <cell r="F1493">
            <v>6.7138589527049986E-2</v>
          </cell>
        </row>
        <row r="1494">
          <cell r="B1494">
            <v>42340</v>
          </cell>
          <cell r="F1494">
            <v>-5.9459819762657018E-2</v>
          </cell>
        </row>
        <row r="1495">
          <cell r="B1495">
            <v>42341</v>
          </cell>
          <cell r="F1495">
            <v>-2.7820673068251929E-2</v>
          </cell>
        </row>
        <row r="1496">
          <cell r="B1496">
            <v>42342</v>
          </cell>
          <cell r="F1496">
            <v>2.7119836417013578E-2</v>
          </cell>
        </row>
        <row r="1497">
          <cell r="B1497">
            <v>42345</v>
          </cell>
          <cell r="F1497">
            <v>4.3775168272799725E-3</v>
          </cell>
        </row>
        <row r="1498">
          <cell r="B1498">
            <v>42346</v>
          </cell>
          <cell r="F1498">
            <v>-1.163025738882011E-2</v>
          </cell>
        </row>
        <row r="1499">
          <cell r="B1499">
            <v>42347</v>
          </cell>
          <cell r="F1499">
            <v>-1.5611762900286119E-2</v>
          </cell>
        </row>
        <row r="1500">
          <cell r="B1500">
            <v>42348</v>
          </cell>
          <cell r="F1500">
            <v>-1.9345266360363402E-2</v>
          </cell>
        </row>
        <row r="1501">
          <cell r="B1501">
            <v>42349</v>
          </cell>
          <cell r="F1501">
            <v>-3.2365757829267955E-2</v>
          </cell>
        </row>
        <row r="1502">
          <cell r="B1502">
            <v>42352</v>
          </cell>
          <cell r="F1502">
            <v>3.6750988083145541E-3</v>
          </cell>
        </row>
        <row r="1503">
          <cell r="B1503">
            <v>42353</v>
          </cell>
          <cell r="F1503">
            <v>-7.8808610390937381E-3</v>
          </cell>
        </row>
        <row r="1504">
          <cell r="B1504">
            <v>42354</v>
          </cell>
          <cell r="F1504">
            <v>1.6875655769828427E-2</v>
          </cell>
        </row>
        <row r="1505">
          <cell r="B1505">
            <v>42355</v>
          </cell>
          <cell r="F1505">
            <v>-6.1956721574300041E-3</v>
          </cell>
        </row>
        <row r="1506">
          <cell r="B1506">
            <v>42356</v>
          </cell>
          <cell r="F1506">
            <v>-1.5925506301495945E-2</v>
          </cell>
        </row>
        <row r="1507">
          <cell r="B1507">
            <v>42359</v>
          </cell>
          <cell r="F1507">
            <v>2.9760727316463759E-2</v>
          </cell>
        </row>
        <row r="1508">
          <cell r="B1508">
            <v>42360</v>
          </cell>
          <cell r="F1508">
            <v>-2.0271227796839767E-2</v>
          </cell>
        </row>
        <row r="1509">
          <cell r="B1509">
            <v>42361</v>
          </cell>
          <cell r="F1509">
            <v>-2.9489270955908756E-2</v>
          </cell>
        </row>
        <row r="1510">
          <cell r="B1510">
            <v>42362</v>
          </cell>
          <cell r="F1510">
            <v>-4.0205783024067424E-3</v>
          </cell>
        </row>
        <row r="1511">
          <cell r="B1511">
            <v>42366</v>
          </cell>
          <cell r="F1511">
            <v>1.5145713448068088E-2</v>
          </cell>
        </row>
        <row r="1512">
          <cell r="B1512">
            <v>42367</v>
          </cell>
          <cell r="F1512">
            <v>3.475560357298807E-2</v>
          </cell>
        </row>
        <row r="1513">
          <cell r="B1513">
            <v>42368</v>
          </cell>
          <cell r="F1513">
            <v>-1.5599737357275982E-2</v>
          </cell>
        </row>
        <row r="1514">
          <cell r="B1514">
            <v>42369</v>
          </cell>
          <cell r="F1514">
            <v>-2.4500994497071864E-2</v>
          </cell>
        </row>
        <row r="1515">
          <cell r="B1515">
            <v>42373</v>
          </cell>
          <cell r="F1515">
            <v>-2.0832495022128601E-2</v>
          </cell>
        </row>
        <row r="1516">
          <cell r="B1516">
            <v>42374</v>
          </cell>
          <cell r="F1516">
            <v>-1.4084710983765703E-2</v>
          </cell>
        </row>
        <row r="1517">
          <cell r="B1517">
            <v>42375</v>
          </cell>
          <cell r="F1517">
            <v>1.9918802405286793E-2</v>
          </cell>
        </row>
        <row r="1518">
          <cell r="B1518">
            <v>42376</v>
          </cell>
          <cell r="F1518">
            <v>-2.6608551267446715E-2</v>
          </cell>
        </row>
        <row r="1519">
          <cell r="B1519">
            <v>42377</v>
          </cell>
          <cell r="F1519">
            <v>-2.6229061807225174E-2</v>
          </cell>
        </row>
        <row r="1520">
          <cell r="B1520">
            <v>42380</v>
          </cell>
          <cell r="F1520">
            <v>2.2972848765674767E-4</v>
          </cell>
        </row>
        <row r="1521">
          <cell r="B1521">
            <v>42381</v>
          </cell>
          <cell r="F1521">
            <v>1.8473689006549672E-2</v>
          </cell>
        </row>
        <row r="1522">
          <cell r="B1522">
            <v>42382</v>
          </cell>
          <cell r="F1522">
            <v>-2.9397226388000307E-2</v>
          </cell>
        </row>
        <row r="1523">
          <cell r="B1523">
            <v>42383</v>
          </cell>
          <cell r="F1523">
            <v>-2.6547441600528104E-2</v>
          </cell>
        </row>
        <row r="1524">
          <cell r="B1524">
            <v>42384</v>
          </cell>
          <cell r="F1524">
            <v>-4.4908993733987004E-2</v>
          </cell>
        </row>
        <row r="1525">
          <cell r="B1525">
            <v>42388</v>
          </cell>
          <cell r="F1525">
            <v>2.8179495918595138E-3</v>
          </cell>
        </row>
        <row r="1526">
          <cell r="B1526">
            <v>42389</v>
          </cell>
          <cell r="F1526">
            <v>1.1971490673533989E-2</v>
          </cell>
        </row>
        <row r="1527">
          <cell r="B1527">
            <v>42390</v>
          </cell>
          <cell r="F1527">
            <v>-3.4944582156334357E-2</v>
          </cell>
        </row>
        <row r="1528">
          <cell r="B1528">
            <v>42391</v>
          </cell>
          <cell r="F1528">
            <v>1.0985590469596502E-2</v>
          </cell>
        </row>
        <row r="1529">
          <cell r="B1529">
            <v>42394</v>
          </cell>
          <cell r="F1529">
            <v>-2.9463244046116319E-2</v>
          </cell>
        </row>
        <row r="1530">
          <cell r="B1530">
            <v>42395</v>
          </cell>
          <cell r="F1530">
            <v>-1.3132385799217701E-2</v>
          </cell>
        </row>
        <row r="1531">
          <cell r="B1531">
            <v>42396</v>
          </cell>
          <cell r="F1531">
            <v>-9.7014764625689993E-3</v>
          </cell>
        </row>
        <row r="1532">
          <cell r="B1532">
            <v>42397</v>
          </cell>
          <cell r="F1532">
            <v>4.6297211736962163E-2</v>
          </cell>
        </row>
        <row r="1533">
          <cell r="B1533">
            <v>42398</v>
          </cell>
          <cell r="F1533">
            <v>6.1796946177067203E-3</v>
          </cell>
        </row>
        <row r="1534">
          <cell r="B1534">
            <v>42401</v>
          </cell>
          <cell r="F1534">
            <v>-8.3469877869790168E-3</v>
          </cell>
        </row>
        <row r="1535">
          <cell r="B1535">
            <v>42402</v>
          </cell>
          <cell r="F1535">
            <v>9.7777569195157746E-3</v>
          </cell>
        </row>
        <row r="1536">
          <cell r="B1536">
            <v>42403</v>
          </cell>
          <cell r="F1536">
            <v>-5.7726764590167574E-2</v>
          </cell>
        </row>
        <row r="1537">
          <cell r="B1537">
            <v>42404</v>
          </cell>
          <cell r="F1537">
            <v>-3.2630593185353676E-2</v>
          </cell>
        </row>
        <row r="1538">
          <cell r="B1538">
            <v>42405</v>
          </cell>
          <cell r="F1538">
            <v>-1.290308007378695E-2</v>
          </cell>
        </row>
        <row r="1539">
          <cell r="B1539">
            <v>42408</v>
          </cell>
          <cell r="F1539">
            <v>1.8752381853193577E-2</v>
          </cell>
        </row>
        <row r="1540">
          <cell r="B1540">
            <v>42409</v>
          </cell>
          <cell r="F1540">
            <v>3.9889201562875447E-2</v>
          </cell>
        </row>
        <row r="1541">
          <cell r="B1541">
            <v>42410</v>
          </cell>
          <cell r="F1541">
            <v>-2.7621889958022325E-2</v>
          </cell>
        </row>
        <row r="1542">
          <cell r="B1542">
            <v>42411</v>
          </cell>
          <cell r="F1542">
            <v>-7.7495548448254601E-5</v>
          </cell>
        </row>
        <row r="1543">
          <cell r="B1543">
            <v>42412</v>
          </cell>
          <cell r="F1543">
            <v>-2.4248853064422586E-2</v>
          </cell>
        </row>
        <row r="1544">
          <cell r="B1544">
            <v>42416</v>
          </cell>
          <cell r="F1544">
            <v>8.0028537338763858E-3</v>
          </cell>
        </row>
        <row r="1545">
          <cell r="B1545">
            <v>42417</v>
          </cell>
          <cell r="F1545">
            <v>2.0715354988107167E-2</v>
          </cell>
        </row>
        <row r="1546">
          <cell r="B1546">
            <v>42418</v>
          </cell>
          <cell r="F1546">
            <v>-1.6047912763976512E-2</v>
          </cell>
        </row>
        <row r="1547">
          <cell r="B1547">
            <v>42419</v>
          </cell>
          <cell r="F1547">
            <v>5.0688764616261331E-3</v>
          </cell>
        </row>
        <row r="1548">
          <cell r="B1548">
            <v>42422</v>
          </cell>
          <cell r="F1548">
            <v>-9.3025742965434678E-3</v>
          </cell>
        </row>
        <row r="1549">
          <cell r="B1549">
            <v>42423</v>
          </cell>
          <cell r="F1549">
            <v>-2.7871698178547736E-2</v>
          </cell>
        </row>
        <row r="1550">
          <cell r="B1550">
            <v>42424</v>
          </cell>
          <cell r="F1550">
            <v>-5.3600293545472653E-5</v>
          </cell>
        </row>
        <row r="1551">
          <cell r="B1551">
            <v>42425</v>
          </cell>
          <cell r="F1551">
            <v>1.8543252231057759E-2</v>
          </cell>
        </row>
        <row r="1552">
          <cell r="B1552">
            <v>42426</v>
          </cell>
          <cell r="F1552">
            <v>-1.0443715722882194E-2</v>
          </cell>
        </row>
        <row r="1553">
          <cell r="B1553">
            <v>42429</v>
          </cell>
          <cell r="F1553">
            <v>-3.3226164364126856E-2</v>
          </cell>
        </row>
        <row r="1554">
          <cell r="B1554">
            <v>42430</v>
          </cell>
          <cell r="F1554">
            <v>6.3772644483850796E-3</v>
          </cell>
        </row>
        <row r="1555">
          <cell r="B1555">
            <v>42431</v>
          </cell>
          <cell r="F1555">
            <v>2.7766892189757912E-2</v>
          </cell>
        </row>
        <row r="1556">
          <cell r="B1556">
            <v>42432</v>
          </cell>
          <cell r="F1556">
            <v>-8.4287399860342518E-3</v>
          </cell>
        </row>
        <row r="1557">
          <cell r="B1557">
            <v>42433</v>
          </cell>
          <cell r="F1557">
            <v>-1.8350054710102825E-2</v>
          </cell>
        </row>
        <row r="1558">
          <cell r="B1558">
            <v>42436</v>
          </cell>
          <cell r="F1558">
            <v>-3.0175540891273351E-2</v>
          </cell>
        </row>
        <row r="1559">
          <cell r="B1559">
            <v>42437</v>
          </cell>
          <cell r="F1559">
            <v>-1.5287390337947149E-2</v>
          </cell>
        </row>
        <row r="1560">
          <cell r="B1560">
            <v>42438</v>
          </cell>
          <cell r="F1560">
            <v>6.6397083376094984E-2</v>
          </cell>
        </row>
        <row r="1561">
          <cell r="B1561">
            <v>42439</v>
          </cell>
          <cell r="F1561">
            <v>-8.9497739689030492E-3</v>
          </cell>
        </row>
        <row r="1562">
          <cell r="B1562">
            <v>42440</v>
          </cell>
          <cell r="F1562">
            <v>-4.356620668706377E-3</v>
          </cell>
        </row>
        <row r="1563">
          <cell r="B1563">
            <v>42443</v>
          </cell>
          <cell r="F1563">
            <v>-2.5106981431781417E-4</v>
          </cell>
        </row>
        <row r="1564">
          <cell r="B1564">
            <v>42444</v>
          </cell>
          <cell r="F1564">
            <v>-1.4551433146854337E-2</v>
          </cell>
        </row>
        <row r="1565">
          <cell r="B1565">
            <v>42445</v>
          </cell>
          <cell r="F1565">
            <v>6.8560108664524055E-4</v>
          </cell>
        </row>
        <row r="1566">
          <cell r="B1566">
            <v>42446</v>
          </cell>
          <cell r="F1566">
            <v>7.0903477805621187E-3</v>
          </cell>
        </row>
        <row r="1567">
          <cell r="B1567">
            <v>42447</v>
          </cell>
          <cell r="F1567">
            <v>-1.7306826388655962E-2</v>
          </cell>
        </row>
        <row r="1568">
          <cell r="B1568">
            <v>42450</v>
          </cell>
          <cell r="F1568">
            <v>1.8860312071585346E-2</v>
          </cell>
        </row>
        <row r="1569">
          <cell r="B1569">
            <v>42451</v>
          </cell>
          <cell r="F1569">
            <v>-4.0081295997146842E-3</v>
          </cell>
        </row>
        <row r="1570">
          <cell r="B1570">
            <v>42452</v>
          </cell>
          <cell r="F1570">
            <v>2.0013254339168321E-4</v>
          </cell>
        </row>
        <row r="1571">
          <cell r="B1571">
            <v>42453</v>
          </cell>
          <cell r="F1571">
            <v>2.1851249734986598E-3</v>
          </cell>
        </row>
        <row r="1572">
          <cell r="B1572">
            <v>42457</v>
          </cell>
          <cell r="F1572">
            <v>-3.0152585393960103E-3</v>
          </cell>
        </row>
        <row r="1573">
          <cell r="B1573">
            <v>42458</v>
          </cell>
          <cell r="F1573">
            <v>1.7726695891055293E-2</v>
          </cell>
        </row>
        <row r="1574">
          <cell r="B1574">
            <v>42459</v>
          </cell>
          <cell r="F1574">
            <v>1.5877421371945484E-2</v>
          </cell>
        </row>
        <row r="1575">
          <cell r="B1575">
            <v>42460</v>
          </cell>
          <cell r="F1575">
            <v>-4.9554440803837856E-2</v>
          </cell>
        </row>
        <row r="1576">
          <cell r="B1576">
            <v>42461</v>
          </cell>
          <cell r="F1576">
            <v>-1.5779021603084989E-2</v>
          </cell>
        </row>
        <row r="1577">
          <cell r="B1577">
            <v>42464</v>
          </cell>
          <cell r="F1577">
            <v>-2.1982771954900159E-3</v>
          </cell>
        </row>
        <row r="1578">
          <cell r="B1578">
            <v>42465</v>
          </cell>
          <cell r="F1578">
            <v>-1.9509626441215174E-2</v>
          </cell>
        </row>
        <row r="1579">
          <cell r="B1579">
            <v>42466</v>
          </cell>
          <cell r="F1579">
            <v>1.5490116745843087E-2</v>
          </cell>
        </row>
        <row r="1580">
          <cell r="B1580">
            <v>42467</v>
          </cell>
          <cell r="F1580">
            <v>-1.8333560216276645E-3</v>
          </cell>
        </row>
        <row r="1581">
          <cell r="B1581">
            <v>42468</v>
          </cell>
          <cell r="F1581">
            <v>-5.5618213744239144E-3</v>
          </cell>
        </row>
        <row r="1582">
          <cell r="B1582">
            <v>42471</v>
          </cell>
          <cell r="F1582">
            <v>-2.2780922785754923E-3</v>
          </cell>
        </row>
        <row r="1583">
          <cell r="B1583">
            <v>42472</v>
          </cell>
          <cell r="F1583">
            <v>6.4522659788836924E-3</v>
          </cell>
        </row>
        <row r="1584">
          <cell r="B1584">
            <v>42473</v>
          </cell>
          <cell r="F1584">
            <v>1.5632244003316993E-2</v>
          </cell>
        </row>
        <row r="1585">
          <cell r="B1585">
            <v>42474</v>
          </cell>
          <cell r="F1585">
            <v>-1.3578097770329898E-2</v>
          </cell>
        </row>
        <row r="1586">
          <cell r="B1586">
            <v>42475</v>
          </cell>
          <cell r="F1586">
            <v>2.3698626096479471E-2</v>
          </cell>
        </row>
        <row r="1587">
          <cell r="B1587">
            <v>42478</v>
          </cell>
          <cell r="F1587">
            <v>2.1730945891828054E-3</v>
          </cell>
        </row>
        <row r="1588">
          <cell r="B1588">
            <v>42479</v>
          </cell>
          <cell r="F1588">
            <v>-2.5213618535384962E-2</v>
          </cell>
        </row>
        <row r="1589">
          <cell r="B1589">
            <v>42480</v>
          </cell>
          <cell r="F1589">
            <v>-2.0843650809633674E-2</v>
          </cell>
        </row>
        <row r="1590">
          <cell r="B1590">
            <v>42481</v>
          </cell>
          <cell r="F1590">
            <v>1.892554127356226E-2</v>
          </cell>
        </row>
        <row r="1591">
          <cell r="B1591">
            <v>42482</v>
          </cell>
          <cell r="F1591">
            <v>-5.8384121040802421E-2</v>
          </cell>
        </row>
        <row r="1592">
          <cell r="B1592">
            <v>42485</v>
          </cell>
          <cell r="F1592">
            <v>4.2545172117840141E-3</v>
          </cell>
        </row>
        <row r="1593">
          <cell r="B1593">
            <v>42486</v>
          </cell>
          <cell r="F1593">
            <v>6.0313369232159707E-3</v>
          </cell>
        </row>
        <row r="1594">
          <cell r="B1594">
            <v>42487</v>
          </cell>
          <cell r="F1594">
            <v>-4.5915170892015843E-3</v>
          </cell>
        </row>
        <row r="1595">
          <cell r="B1595">
            <v>42488</v>
          </cell>
          <cell r="F1595">
            <v>-9.2797238238388757E-3</v>
          </cell>
        </row>
        <row r="1596">
          <cell r="B1596">
            <v>42489</v>
          </cell>
          <cell r="F1596">
            <v>-6.0907182794639071E-3</v>
          </cell>
        </row>
        <row r="1597">
          <cell r="B1597">
            <v>42492</v>
          </cell>
          <cell r="F1597">
            <v>7.0962286781167993E-3</v>
          </cell>
        </row>
        <row r="1598">
          <cell r="B1598">
            <v>42493</v>
          </cell>
          <cell r="F1598">
            <v>-6.0900959233632004E-3</v>
          </cell>
        </row>
        <row r="1599">
          <cell r="B1599">
            <v>42494</v>
          </cell>
          <cell r="F1599">
            <v>1.0869872646383496E-3</v>
          </cell>
        </row>
        <row r="1600">
          <cell r="B1600">
            <v>42495</v>
          </cell>
          <cell r="F1600">
            <v>1.4803600673158572E-2</v>
          </cell>
        </row>
        <row r="1601">
          <cell r="B1601">
            <v>42496</v>
          </cell>
          <cell r="F1601">
            <v>1.8408934973169783E-2</v>
          </cell>
        </row>
        <row r="1602">
          <cell r="B1602">
            <v>42499</v>
          </cell>
          <cell r="F1602">
            <v>-2.2432877836895161E-3</v>
          </cell>
        </row>
        <row r="1603">
          <cell r="B1603">
            <v>42500</v>
          </cell>
          <cell r="F1603">
            <v>1.2625828273190125E-2</v>
          </cell>
        </row>
        <row r="1604">
          <cell r="B1604">
            <v>42501</v>
          </cell>
          <cell r="F1604">
            <v>-3.6955362833617549E-2</v>
          </cell>
        </row>
        <row r="1605">
          <cell r="B1605">
            <v>42502</v>
          </cell>
          <cell r="F1605">
            <v>4.8927152877700306E-3</v>
          </cell>
        </row>
        <row r="1606">
          <cell r="B1606">
            <v>42503</v>
          </cell>
          <cell r="F1606">
            <v>2.1982009505646678E-2</v>
          </cell>
        </row>
        <row r="1607">
          <cell r="B1607">
            <v>42506</v>
          </cell>
          <cell r="F1607">
            <v>5.9834746522111938E-4</v>
          </cell>
        </row>
        <row r="1608">
          <cell r="B1608">
            <v>42507</v>
          </cell>
          <cell r="F1608">
            <v>-1.971415286499913E-2</v>
          </cell>
        </row>
        <row r="1609">
          <cell r="B1609">
            <v>42508</v>
          </cell>
          <cell r="F1609">
            <v>-4.0807457664349303E-2</v>
          </cell>
        </row>
        <row r="1610">
          <cell r="B1610">
            <v>42509</v>
          </cell>
          <cell r="F1610">
            <v>-3.2366364813095995E-2</v>
          </cell>
        </row>
        <row r="1611">
          <cell r="B1611">
            <v>42510</v>
          </cell>
          <cell r="F1611">
            <v>2.6397768314499616E-2</v>
          </cell>
        </row>
        <row r="1612">
          <cell r="B1612">
            <v>42513</v>
          </cell>
          <cell r="F1612">
            <v>-8.0026436351567937E-3</v>
          </cell>
        </row>
        <row r="1613">
          <cell r="B1613">
            <v>42514</v>
          </cell>
          <cell r="F1613">
            <v>1.310882235925306E-2</v>
          </cell>
        </row>
        <row r="1614">
          <cell r="B1614">
            <v>42515</v>
          </cell>
          <cell r="F1614">
            <v>8.0827699403096514E-3</v>
          </cell>
        </row>
        <row r="1615">
          <cell r="B1615">
            <v>42516</v>
          </cell>
          <cell r="F1615">
            <v>-7.1362944236879507E-3</v>
          </cell>
        </row>
        <row r="1616">
          <cell r="B1616">
            <v>42517</v>
          </cell>
          <cell r="F1616">
            <v>1.1576977617773803E-2</v>
          </cell>
        </row>
        <row r="1617">
          <cell r="B1617">
            <v>42521</v>
          </cell>
          <cell r="F1617">
            <v>4.7045199854097259E-3</v>
          </cell>
        </row>
        <row r="1618">
          <cell r="B1618">
            <v>42522</v>
          </cell>
          <cell r="F1618">
            <v>-7.1707562120198413E-3</v>
          </cell>
        </row>
        <row r="1619">
          <cell r="B1619">
            <v>42523</v>
          </cell>
          <cell r="F1619">
            <v>-1.0614554086221011E-2</v>
          </cell>
        </row>
        <row r="1620">
          <cell r="B1620">
            <v>42524</v>
          </cell>
          <cell r="F1620">
            <v>-6.6629604807747003E-3</v>
          </cell>
        </row>
        <row r="1621">
          <cell r="B1621">
            <v>42527</v>
          </cell>
          <cell r="F1621">
            <v>-7.0209269048639774E-3</v>
          </cell>
        </row>
        <row r="1622">
          <cell r="B1622">
            <v>42528</v>
          </cell>
          <cell r="F1622">
            <v>1.5935544465510403E-3</v>
          </cell>
        </row>
        <row r="1623">
          <cell r="B1623">
            <v>42529</v>
          </cell>
          <cell r="F1623">
            <v>2.488708652128796E-2</v>
          </cell>
        </row>
        <row r="1624">
          <cell r="B1624">
            <v>42530</v>
          </cell>
          <cell r="F1624">
            <v>1.7938736554277766E-3</v>
          </cell>
        </row>
        <row r="1625">
          <cell r="B1625">
            <v>42531</v>
          </cell>
          <cell r="F1625">
            <v>-2.3006491090056855E-2</v>
          </cell>
        </row>
        <row r="1626">
          <cell r="B1626">
            <v>42534</v>
          </cell>
          <cell r="F1626">
            <v>-5.4059975436564732E-3</v>
          </cell>
        </row>
        <row r="1627">
          <cell r="B1627">
            <v>42535</v>
          </cell>
          <cell r="F1627">
            <v>-6.2452609623072702E-3</v>
          </cell>
        </row>
        <row r="1628">
          <cell r="B1628">
            <v>42536</v>
          </cell>
          <cell r="F1628">
            <v>2.4330510391398419E-3</v>
          </cell>
        </row>
        <row r="1629">
          <cell r="B1629">
            <v>42537</v>
          </cell>
          <cell r="F1629">
            <v>-1.5390835096708841E-2</v>
          </cell>
        </row>
        <row r="1630">
          <cell r="B1630">
            <v>42538</v>
          </cell>
          <cell r="F1630">
            <v>-2.3210614727693181E-2</v>
          </cell>
        </row>
        <row r="1631">
          <cell r="B1631">
            <v>42541</v>
          </cell>
          <cell r="F1631">
            <v>-2.5329263118151709E-3</v>
          </cell>
        </row>
        <row r="1632">
          <cell r="B1632">
            <v>42542</v>
          </cell>
          <cell r="F1632">
            <v>-3.8337265498912228E-3</v>
          </cell>
        </row>
        <row r="1633">
          <cell r="B1633">
            <v>42543</v>
          </cell>
          <cell r="F1633">
            <v>1.1798652636582415E-2</v>
          </cell>
        </row>
        <row r="1634">
          <cell r="B1634">
            <v>42544</v>
          </cell>
          <cell r="F1634">
            <v>1.9900649710633676E-2</v>
          </cell>
        </row>
        <row r="1635">
          <cell r="B1635">
            <v>42545</v>
          </cell>
          <cell r="F1635">
            <v>-4.7042503386403811E-2</v>
          </cell>
        </row>
        <row r="1636">
          <cell r="B1636">
            <v>42548</v>
          </cell>
          <cell r="F1636">
            <v>-1.5261239970414829E-2</v>
          </cell>
        </row>
        <row r="1637">
          <cell r="B1637">
            <v>42549</v>
          </cell>
          <cell r="F1637">
            <v>3.1703021266068547E-2</v>
          </cell>
        </row>
        <row r="1638">
          <cell r="B1638">
            <v>42550</v>
          </cell>
          <cell r="F1638">
            <v>2.2737757514558411E-2</v>
          </cell>
        </row>
        <row r="1639">
          <cell r="B1639">
            <v>42551</v>
          </cell>
          <cell r="F1639">
            <v>3.3481443772409858E-3</v>
          </cell>
        </row>
        <row r="1640">
          <cell r="B1640">
            <v>42552</v>
          </cell>
          <cell r="F1640">
            <v>7.0295667676613296E-3</v>
          </cell>
        </row>
        <row r="1641">
          <cell r="B1641">
            <v>42556</v>
          </cell>
          <cell r="F1641">
            <v>-9.2247686714115526E-3</v>
          </cell>
        </row>
        <row r="1642">
          <cell r="B1642">
            <v>42557</v>
          </cell>
          <cell r="F1642">
            <v>9.4522579406789431E-3</v>
          </cell>
        </row>
        <row r="1643">
          <cell r="B1643">
            <v>42558</v>
          </cell>
          <cell r="F1643">
            <v>-7.2874766269888994E-3</v>
          </cell>
        </row>
        <row r="1644">
          <cell r="B1644">
            <v>42559</v>
          </cell>
          <cell r="F1644">
            <v>1.7062278331433752E-2</v>
          </cell>
        </row>
        <row r="1645">
          <cell r="B1645">
            <v>42562</v>
          </cell>
          <cell r="F1645">
            <v>4.3546336601848847E-2</v>
          </cell>
        </row>
        <row r="1646">
          <cell r="B1646">
            <v>42563</v>
          </cell>
          <cell r="F1646">
            <v>4.5176710604791365E-3</v>
          </cell>
        </row>
        <row r="1647">
          <cell r="B1647">
            <v>42564</v>
          </cell>
          <cell r="F1647">
            <v>-7.5898156690204499E-3</v>
          </cell>
        </row>
        <row r="1648">
          <cell r="B1648">
            <v>42565</v>
          </cell>
          <cell r="F1648">
            <v>-2.0568696439109526E-3</v>
          </cell>
        </row>
        <row r="1649">
          <cell r="B1649">
            <v>42566</v>
          </cell>
          <cell r="F1649">
            <v>7.7856055510086737E-3</v>
          </cell>
        </row>
        <row r="1650">
          <cell r="B1650">
            <v>42569</v>
          </cell>
          <cell r="F1650">
            <v>1.9310501474814872E-2</v>
          </cell>
        </row>
        <row r="1651">
          <cell r="B1651">
            <v>42570</v>
          </cell>
          <cell r="F1651">
            <v>2.1069690247970925E-3</v>
          </cell>
        </row>
        <row r="1652">
          <cell r="B1652">
            <v>42571</v>
          </cell>
          <cell r="F1652">
            <v>-1.9321146855768735E-3</v>
          </cell>
        </row>
        <row r="1653">
          <cell r="B1653">
            <v>42572</v>
          </cell>
          <cell r="F1653">
            <v>-5.4322782742108316E-3</v>
          </cell>
        </row>
        <row r="1654">
          <cell r="B1654">
            <v>42573</v>
          </cell>
          <cell r="F1654">
            <v>1.0104216072299157E-3</v>
          </cell>
        </row>
        <row r="1655">
          <cell r="B1655">
            <v>42576</v>
          </cell>
          <cell r="F1655">
            <v>-1.4611597801981999E-2</v>
          </cell>
        </row>
        <row r="1656">
          <cell r="B1656">
            <v>42577</v>
          </cell>
          <cell r="F1656">
            <v>2.1193243880843791E-2</v>
          </cell>
        </row>
        <row r="1657">
          <cell r="B1657">
            <v>42578</v>
          </cell>
          <cell r="F1657">
            <v>-9.5553259721226774E-4</v>
          </cell>
        </row>
        <row r="1658">
          <cell r="B1658">
            <v>42579</v>
          </cell>
          <cell r="F1658">
            <v>3.2611514894027478E-3</v>
          </cell>
        </row>
        <row r="1659">
          <cell r="B1659">
            <v>42580</v>
          </cell>
          <cell r="F1659">
            <v>3.7352590696640625E-2</v>
          </cell>
        </row>
        <row r="1660">
          <cell r="B1660">
            <v>42583</v>
          </cell>
          <cell r="F1660">
            <v>-2.6022469045204864E-2</v>
          </cell>
        </row>
        <row r="1661">
          <cell r="B1661">
            <v>42584</v>
          </cell>
          <cell r="F1661">
            <v>1.1270836347960752E-4</v>
          </cell>
        </row>
        <row r="1662">
          <cell r="B1662">
            <v>42585</v>
          </cell>
          <cell r="F1662">
            <v>7.8331053102260809E-3</v>
          </cell>
        </row>
        <row r="1663">
          <cell r="B1663">
            <v>42586</v>
          </cell>
          <cell r="F1663">
            <v>-4.0938865404389633E-3</v>
          </cell>
        </row>
        <row r="1664">
          <cell r="B1664">
            <v>42587</v>
          </cell>
          <cell r="F1664">
            <v>5.4622052372036468E-3</v>
          </cell>
        </row>
        <row r="1665">
          <cell r="B1665">
            <v>42590</v>
          </cell>
          <cell r="F1665">
            <v>3.2863325273264129E-3</v>
          </cell>
        </row>
        <row r="1666">
          <cell r="B1666">
            <v>42591</v>
          </cell>
          <cell r="F1666">
            <v>-7.823887452344299E-4</v>
          </cell>
        </row>
        <row r="1667">
          <cell r="B1667">
            <v>42592</v>
          </cell>
          <cell r="F1667">
            <v>7.5856202766014609E-3</v>
          </cell>
        </row>
        <row r="1668">
          <cell r="B1668">
            <v>42593</v>
          </cell>
          <cell r="F1668">
            <v>-2.0527743222112271E-2</v>
          </cell>
        </row>
        <row r="1669">
          <cell r="B1669">
            <v>42594</v>
          </cell>
          <cell r="F1669">
            <v>1.21839537840433E-2</v>
          </cell>
        </row>
        <row r="1670">
          <cell r="B1670">
            <v>42597</v>
          </cell>
          <cell r="F1670">
            <v>2.8441050634667651E-2</v>
          </cell>
        </row>
        <row r="1671">
          <cell r="B1671">
            <v>42598</v>
          </cell>
          <cell r="F1671">
            <v>-2.839931096958034E-3</v>
          </cell>
        </row>
        <row r="1672">
          <cell r="B1672">
            <v>42599</v>
          </cell>
          <cell r="F1672">
            <v>1.2737518556211372E-2</v>
          </cell>
        </row>
        <row r="1673">
          <cell r="B1673">
            <v>42600</v>
          </cell>
          <cell r="F1673">
            <v>-5.9203854255454168E-3</v>
          </cell>
        </row>
        <row r="1674">
          <cell r="B1674">
            <v>42601</v>
          </cell>
          <cell r="F1674">
            <v>1.4053736273975137E-2</v>
          </cell>
        </row>
        <row r="1675">
          <cell r="B1675">
            <v>42604</v>
          </cell>
          <cell r="F1675">
            <v>-1.6656990199709627E-2</v>
          </cell>
        </row>
        <row r="1676">
          <cell r="B1676">
            <v>42605</v>
          </cell>
          <cell r="F1676">
            <v>1.6331075906870288E-2</v>
          </cell>
        </row>
        <row r="1677">
          <cell r="B1677">
            <v>42606</v>
          </cell>
          <cell r="F1677">
            <v>-2.5789806290830136E-2</v>
          </cell>
        </row>
        <row r="1678">
          <cell r="B1678">
            <v>42607</v>
          </cell>
          <cell r="F1678">
            <v>9.0230609890922936E-3</v>
          </cell>
        </row>
        <row r="1679">
          <cell r="B1679">
            <v>42608</v>
          </cell>
          <cell r="F1679">
            <v>-1.2258650762589494E-2</v>
          </cell>
        </row>
        <row r="1680">
          <cell r="B1680">
            <v>42611</v>
          </cell>
          <cell r="F1680">
            <v>-7.3706686360142035E-3</v>
          </cell>
        </row>
        <row r="1681">
          <cell r="B1681">
            <v>42612</v>
          </cell>
          <cell r="F1681">
            <v>6.2964563111473212E-3</v>
          </cell>
        </row>
        <row r="1682">
          <cell r="B1682">
            <v>42613</v>
          </cell>
          <cell r="F1682">
            <v>-3.6449240105004582E-2</v>
          </cell>
        </row>
        <row r="1683">
          <cell r="B1683">
            <v>42614</v>
          </cell>
          <cell r="F1683">
            <v>2.7603123169700809E-2</v>
          </cell>
        </row>
        <row r="1684">
          <cell r="B1684">
            <v>42615</v>
          </cell>
          <cell r="F1684">
            <v>-1.496441001996609E-2</v>
          </cell>
        </row>
        <row r="1685">
          <cell r="B1685">
            <v>42619</v>
          </cell>
          <cell r="F1685">
            <v>2.1000972473883411E-2</v>
          </cell>
        </row>
        <row r="1686">
          <cell r="B1686">
            <v>42620</v>
          </cell>
          <cell r="F1686">
            <v>-3.9454348707637686E-3</v>
          </cell>
        </row>
        <row r="1687">
          <cell r="B1687">
            <v>42621</v>
          </cell>
          <cell r="F1687">
            <v>-7.6323908561890599E-3</v>
          </cell>
        </row>
        <row r="1688">
          <cell r="B1688">
            <v>42622</v>
          </cell>
          <cell r="F1688">
            <v>-2.6118896415541153E-2</v>
          </cell>
        </row>
        <row r="1689">
          <cell r="B1689">
            <v>42625</v>
          </cell>
          <cell r="F1689">
            <v>1.9951802610209048E-2</v>
          </cell>
        </row>
        <row r="1690">
          <cell r="B1690">
            <v>42626</v>
          </cell>
          <cell r="F1690">
            <v>-1.4977725995230548E-2</v>
          </cell>
        </row>
        <row r="1691">
          <cell r="B1691">
            <v>42627</v>
          </cell>
          <cell r="F1691">
            <v>-1.8944694350713364E-3</v>
          </cell>
        </row>
        <row r="1692">
          <cell r="B1692">
            <v>42628</v>
          </cell>
          <cell r="F1692">
            <v>2.1301536099932031E-2</v>
          </cell>
        </row>
        <row r="1693">
          <cell r="B1693">
            <v>42629</v>
          </cell>
          <cell r="F1693">
            <v>-1.7441253924015708E-2</v>
          </cell>
        </row>
        <row r="1694">
          <cell r="B1694">
            <v>42632</v>
          </cell>
          <cell r="F1694">
            <v>-1.6916051645805563E-2</v>
          </cell>
        </row>
        <row r="1695">
          <cell r="B1695">
            <v>42633</v>
          </cell>
          <cell r="F1695">
            <v>1.3263968706130499E-2</v>
          </cell>
        </row>
        <row r="1696">
          <cell r="B1696">
            <v>42634</v>
          </cell>
          <cell r="F1696">
            <v>1.3679259865453385E-2</v>
          </cell>
        </row>
        <row r="1697">
          <cell r="B1697">
            <v>42635</v>
          </cell>
          <cell r="F1697">
            <v>1.6817731764307654E-2</v>
          </cell>
        </row>
        <row r="1698">
          <cell r="B1698">
            <v>42636</v>
          </cell>
          <cell r="F1698">
            <v>9.2954769520129342E-3</v>
          </cell>
        </row>
        <row r="1699">
          <cell r="B1699">
            <v>42639</v>
          </cell>
          <cell r="F1699">
            <v>-4.9505205227051395E-3</v>
          </cell>
        </row>
        <row r="1700">
          <cell r="B1700">
            <v>42640</v>
          </cell>
          <cell r="F1700">
            <v>-5.1408667291386531E-3</v>
          </cell>
        </row>
        <row r="1701">
          <cell r="B1701">
            <v>42641</v>
          </cell>
          <cell r="F1701">
            <v>-9.2032628412873786E-3</v>
          </cell>
        </row>
        <row r="1702">
          <cell r="B1702">
            <v>42642</v>
          </cell>
          <cell r="F1702">
            <v>-1.2146599102424828E-2</v>
          </cell>
        </row>
        <row r="1703">
          <cell r="B1703">
            <v>42643</v>
          </cell>
          <cell r="F1703">
            <v>9.0362619451878866E-3</v>
          </cell>
        </row>
        <row r="1704">
          <cell r="B1704">
            <v>42646</v>
          </cell>
          <cell r="F1704">
            <v>-2.4502319150695766E-2</v>
          </cell>
        </row>
        <row r="1705">
          <cell r="B1705">
            <v>42647</v>
          </cell>
          <cell r="F1705">
            <v>2.1372767014038598E-2</v>
          </cell>
        </row>
        <row r="1706">
          <cell r="B1706">
            <v>42648</v>
          </cell>
          <cell r="F1706">
            <v>-7.5481715475973835E-3</v>
          </cell>
        </row>
        <row r="1707">
          <cell r="B1707">
            <v>42649</v>
          </cell>
          <cell r="F1707">
            <v>1.2442166310596079E-2</v>
          </cell>
        </row>
        <row r="1708">
          <cell r="B1708">
            <v>42650</v>
          </cell>
          <cell r="F1708">
            <v>7.5542125636897358E-3</v>
          </cell>
        </row>
        <row r="1709">
          <cell r="B1709">
            <v>42653</v>
          </cell>
          <cell r="F1709">
            <v>-4.2428962965868067E-3</v>
          </cell>
        </row>
        <row r="1710">
          <cell r="B1710">
            <v>42654</v>
          </cell>
          <cell r="F1710">
            <v>-1.6670838141789449E-2</v>
          </cell>
        </row>
        <row r="1711">
          <cell r="B1711">
            <v>42655</v>
          </cell>
          <cell r="F1711">
            <v>-2.0565868517137586E-3</v>
          </cell>
        </row>
        <row r="1712">
          <cell r="B1712">
            <v>42656</v>
          </cell>
          <cell r="F1712">
            <v>-8.6008679967578758E-3</v>
          </cell>
        </row>
        <row r="1713">
          <cell r="B1713">
            <v>42657</v>
          </cell>
          <cell r="F1713">
            <v>-1.7687068474716195E-4</v>
          </cell>
        </row>
        <row r="1714">
          <cell r="B1714">
            <v>42660</v>
          </cell>
          <cell r="F1714">
            <v>8.0692906150880046E-3</v>
          </cell>
        </row>
        <row r="1715">
          <cell r="B1715">
            <v>42661</v>
          </cell>
          <cell r="F1715">
            <v>2.0510637639540915E-2</v>
          </cell>
        </row>
        <row r="1716">
          <cell r="B1716">
            <v>42662</v>
          </cell>
          <cell r="F1716">
            <v>5.1834987488307057E-3</v>
          </cell>
        </row>
        <row r="1717">
          <cell r="B1717">
            <v>42663</v>
          </cell>
          <cell r="F1717">
            <v>-1.1133177033976937E-2</v>
          </cell>
        </row>
        <row r="1718">
          <cell r="B1718">
            <v>42664</v>
          </cell>
          <cell r="F1718">
            <v>-3.3356499348717161E-3</v>
          </cell>
        </row>
        <row r="1719">
          <cell r="B1719">
            <v>42667</v>
          </cell>
          <cell r="F1719">
            <v>1.0246168995595262E-2</v>
          </cell>
        </row>
        <row r="1720">
          <cell r="B1720">
            <v>42668</v>
          </cell>
          <cell r="F1720">
            <v>-8.5862820337368057E-3</v>
          </cell>
        </row>
        <row r="1721">
          <cell r="B1721">
            <v>42669</v>
          </cell>
          <cell r="F1721">
            <v>-1.9897820113983316E-2</v>
          </cell>
        </row>
        <row r="1722">
          <cell r="B1722">
            <v>42670</v>
          </cell>
          <cell r="F1722">
            <v>-1.2118143095544955E-2</v>
          </cell>
        </row>
        <row r="1723">
          <cell r="B1723">
            <v>42671</v>
          </cell>
          <cell r="F1723">
            <v>-1.0592958593776999E-2</v>
          </cell>
        </row>
        <row r="1724">
          <cell r="B1724">
            <v>42674</v>
          </cell>
          <cell r="F1724">
            <v>1.2131311291792238E-3</v>
          </cell>
        </row>
        <row r="1725">
          <cell r="B1725">
            <v>42675</v>
          </cell>
          <cell r="F1725">
            <v>1.7583512626417001E-2</v>
          </cell>
        </row>
        <row r="1726">
          <cell r="B1726">
            <v>42676</v>
          </cell>
          <cell r="F1726">
            <v>-1.4925084363268254E-3</v>
          </cell>
        </row>
        <row r="1727">
          <cell r="B1727">
            <v>42677</v>
          </cell>
          <cell r="F1727">
            <v>4.4204117120992398E-3</v>
          </cell>
        </row>
        <row r="1728">
          <cell r="B1728">
            <v>42678</v>
          </cell>
          <cell r="F1728">
            <v>6.7954001617614758E-3</v>
          </cell>
        </row>
        <row r="1729">
          <cell r="B1729">
            <v>42681</v>
          </cell>
          <cell r="F1729">
            <v>3.8320115666880594E-2</v>
          </cell>
        </row>
        <row r="1730">
          <cell r="B1730">
            <v>42682</v>
          </cell>
          <cell r="F1730">
            <v>2.1203706202380178E-2</v>
          </cell>
        </row>
        <row r="1731">
          <cell r="B1731">
            <v>42683</v>
          </cell>
          <cell r="F1731">
            <v>-3.1825195107239648E-4</v>
          </cell>
        </row>
        <row r="1732">
          <cell r="B1732">
            <v>42684</v>
          </cell>
          <cell r="F1732">
            <v>-5.5723862578612282E-2</v>
          </cell>
        </row>
        <row r="1733">
          <cell r="B1733">
            <v>42685</v>
          </cell>
          <cell r="F1733">
            <v>-7.651957869642104E-3</v>
          </cell>
        </row>
        <row r="1734">
          <cell r="B1734">
            <v>42688</v>
          </cell>
          <cell r="F1734">
            <v>-1.6772033459456118E-2</v>
          </cell>
        </row>
        <row r="1735">
          <cell r="B1735">
            <v>42689</v>
          </cell>
          <cell r="F1735">
            <v>5.5010710475700664E-2</v>
          </cell>
        </row>
        <row r="1736">
          <cell r="B1736">
            <v>42690</v>
          </cell>
          <cell r="F1736">
            <v>3.4870324996656987E-2</v>
          </cell>
        </row>
        <row r="1737">
          <cell r="B1737">
            <v>42691</v>
          </cell>
          <cell r="F1737">
            <v>1.5350391291035968E-2</v>
          </cell>
        </row>
        <row r="1738">
          <cell r="B1738">
            <v>42692</v>
          </cell>
          <cell r="F1738">
            <v>-2.9124575832295475E-2</v>
          </cell>
        </row>
        <row r="1739">
          <cell r="B1739">
            <v>42695</v>
          </cell>
          <cell r="F1739">
            <v>2.3053211783129669E-2</v>
          </cell>
        </row>
        <row r="1740">
          <cell r="B1740">
            <v>42696</v>
          </cell>
          <cell r="F1740">
            <v>-6.2980523391116035E-3</v>
          </cell>
        </row>
        <row r="1741">
          <cell r="B1741">
            <v>42697</v>
          </cell>
          <cell r="F1741">
            <v>-2.4745169827413871E-2</v>
          </cell>
        </row>
        <row r="1742">
          <cell r="B1742">
            <v>42699</v>
          </cell>
          <cell r="F1742">
            <v>1.028582345906208E-2</v>
          </cell>
        </row>
        <row r="1743">
          <cell r="B1743">
            <v>42702</v>
          </cell>
          <cell r="F1743">
            <v>8.6353374304884364E-3</v>
          </cell>
        </row>
        <row r="1744">
          <cell r="B1744">
            <v>42703</v>
          </cell>
          <cell r="F1744">
            <v>-9.0620746275721017E-4</v>
          </cell>
        </row>
        <row r="1745">
          <cell r="B1745">
            <v>42704</v>
          </cell>
          <cell r="F1745">
            <v>-2.1575656508906589E-2</v>
          </cell>
        </row>
        <row r="1746">
          <cell r="B1746">
            <v>42705</v>
          </cell>
          <cell r="F1746">
            <v>-9.980449400684056E-3</v>
          </cell>
        </row>
        <row r="1747">
          <cell r="B1747">
            <v>42706</v>
          </cell>
          <cell r="F1747">
            <v>2.7773918212922556E-2</v>
          </cell>
        </row>
        <row r="1748">
          <cell r="B1748">
            <v>42709</v>
          </cell>
          <cell r="F1748">
            <v>1.3611388590453535E-3</v>
          </cell>
        </row>
        <row r="1749">
          <cell r="B1749">
            <v>42710</v>
          </cell>
          <cell r="F1749">
            <v>-4.6695439067627298E-2</v>
          </cell>
        </row>
        <row r="1750">
          <cell r="B1750">
            <v>42711</v>
          </cell>
          <cell r="F1750">
            <v>7.5233811900796269E-2</v>
          </cell>
        </row>
        <row r="1751">
          <cell r="B1751">
            <v>42712</v>
          </cell>
          <cell r="F1751">
            <v>-6.6343044992437086E-3</v>
          </cell>
        </row>
        <row r="1752">
          <cell r="B1752">
            <v>42713</v>
          </cell>
          <cell r="F1752">
            <v>1.0937868755880202E-2</v>
          </cell>
        </row>
        <row r="1753">
          <cell r="B1753">
            <v>42716</v>
          </cell>
          <cell r="F1753">
            <v>-5.8038514354937247E-4</v>
          </cell>
        </row>
        <row r="1754">
          <cell r="B1754">
            <v>42717</v>
          </cell>
          <cell r="F1754">
            <v>-1.0126921536000293E-3</v>
          </cell>
        </row>
        <row r="1755">
          <cell r="B1755">
            <v>42718</v>
          </cell>
          <cell r="F1755">
            <v>-1.8960857171611807E-3</v>
          </cell>
        </row>
        <row r="1756">
          <cell r="B1756">
            <v>42719</v>
          </cell>
          <cell r="F1756">
            <v>-5.3223243989253752E-3</v>
          </cell>
        </row>
        <row r="1757">
          <cell r="B1757">
            <v>42720</v>
          </cell>
          <cell r="F1757">
            <v>-1.1849474457289193E-2</v>
          </cell>
        </row>
        <row r="1758">
          <cell r="B1758">
            <v>42723</v>
          </cell>
          <cell r="F1758">
            <v>6.3634561602126799E-3</v>
          </cell>
        </row>
        <row r="1759">
          <cell r="B1759">
            <v>42724</v>
          </cell>
          <cell r="F1759">
            <v>-3.4677114581091028E-5</v>
          </cell>
        </row>
        <row r="1760">
          <cell r="B1760">
            <v>42725</v>
          </cell>
          <cell r="F1760">
            <v>-1.233773962812248E-2</v>
          </cell>
        </row>
        <row r="1761">
          <cell r="B1761">
            <v>42726</v>
          </cell>
          <cell r="F1761">
            <v>2.9307956534102087E-3</v>
          </cell>
        </row>
        <row r="1762">
          <cell r="B1762">
            <v>42727</v>
          </cell>
          <cell r="F1762">
            <v>1.8849621200208035E-2</v>
          </cell>
        </row>
        <row r="1763">
          <cell r="B1763">
            <v>42731</v>
          </cell>
          <cell r="F1763">
            <v>1.2525443163183887E-2</v>
          </cell>
        </row>
        <row r="1764">
          <cell r="B1764">
            <v>42732</v>
          </cell>
          <cell r="F1764">
            <v>-4.5283424614768822E-5</v>
          </cell>
        </row>
        <row r="1765">
          <cell r="B1765">
            <v>42733</v>
          </cell>
          <cell r="F1765">
            <v>-3.6147203440693582E-3</v>
          </cell>
        </row>
        <row r="1766">
          <cell r="B1766">
            <v>42734</v>
          </cell>
          <cell r="F1766">
            <v>-9.3613514147417309E-3</v>
          </cell>
        </row>
      </sheetData>
      <sheetData sheetId="3">
        <row r="2">
          <cell r="A2">
            <v>40182</v>
          </cell>
        </row>
        <row r="3">
          <cell r="A3">
            <v>40183</v>
          </cell>
        </row>
        <row r="4">
          <cell r="A4">
            <v>40184</v>
          </cell>
        </row>
        <row r="5">
          <cell r="A5">
            <v>40185</v>
          </cell>
        </row>
        <row r="6">
          <cell r="A6">
            <v>40186</v>
          </cell>
        </row>
        <row r="7">
          <cell r="A7">
            <v>40189</v>
          </cell>
        </row>
        <row r="8">
          <cell r="A8">
            <v>40190</v>
          </cell>
        </row>
        <row r="9">
          <cell r="A9">
            <v>40191</v>
          </cell>
        </row>
        <row r="10">
          <cell r="A10">
            <v>40192</v>
          </cell>
        </row>
        <row r="11">
          <cell r="A11">
            <v>40193</v>
          </cell>
        </row>
        <row r="12">
          <cell r="A12">
            <v>40197</v>
          </cell>
        </row>
        <row r="13">
          <cell r="A13">
            <v>40198</v>
          </cell>
        </row>
        <row r="14">
          <cell r="A14">
            <v>40199</v>
          </cell>
        </row>
        <row r="15">
          <cell r="A15">
            <v>40200</v>
          </cell>
        </row>
        <row r="16">
          <cell r="A16">
            <v>40203</v>
          </cell>
        </row>
        <row r="17">
          <cell r="A17">
            <v>40204</v>
          </cell>
        </row>
        <row r="18">
          <cell r="A18">
            <v>40205</v>
          </cell>
        </row>
        <row r="19">
          <cell r="A19">
            <v>40206</v>
          </cell>
        </row>
        <row r="20">
          <cell r="A20">
            <v>40207</v>
          </cell>
        </row>
        <row r="21">
          <cell r="A21">
            <v>40210</v>
          </cell>
        </row>
        <row r="22">
          <cell r="A22">
            <v>40211</v>
          </cell>
        </row>
        <row r="23">
          <cell r="A23">
            <v>40212</v>
          </cell>
        </row>
        <row r="24">
          <cell r="A24">
            <v>40213</v>
          </cell>
        </row>
        <row r="25">
          <cell r="A25">
            <v>40214</v>
          </cell>
        </row>
        <row r="26">
          <cell r="A26">
            <v>40217</v>
          </cell>
        </row>
        <row r="27">
          <cell r="A27">
            <v>40218</v>
          </cell>
        </row>
        <row r="28">
          <cell r="A28">
            <v>40219</v>
          </cell>
        </row>
        <row r="29">
          <cell r="A29">
            <v>40220</v>
          </cell>
        </row>
        <row r="30">
          <cell r="A30">
            <v>40221</v>
          </cell>
        </row>
        <row r="31">
          <cell r="A31">
            <v>40225</v>
          </cell>
        </row>
        <row r="32">
          <cell r="A32">
            <v>40226</v>
          </cell>
        </row>
        <row r="33">
          <cell r="A33">
            <v>40227</v>
          </cell>
        </row>
        <row r="34">
          <cell r="A34">
            <v>40228</v>
          </cell>
        </row>
        <row r="35">
          <cell r="A35">
            <v>40231</v>
          </cell>
        </row>
        <row r="36">
          <cell r="A36">
            <v>40232</v>
          </cell>
        </row>
        <row r="37">
          <cell r="A37">
            <v>40233</v>
          </cell>
        </row>
        <row r="38">
          <cell r="A38">
            <v>40234</v>
          </cell>
        </row>
        <row r="39">
          <cell r="A39">
            <v>40235</v>
          </cell>
        </row>
        <row r="40">
          <cell r="A40">
            <v>40238</v>
          </cell>
        </row>
        <row r="41">
          <cell r="A41">
            <v>40239</v>
          </cell>
        </row>
        <row r="42">
          <cell r="A42">
            <v>40240</v>
          </cell>
        </row>
        <row r="43">
          <cell r="A43">
            <v>40241</v>
          </cell>
        </row>
        <row r="44">
          <cell r="A44">
            <v>40242</v>
          </cell>
        </row>
        <row r="45">
          <cell r="A45">
            <v>40245</v>
          </cell>
        </row>
        <row r="46">
          <cell r="A46">
            <v>40246</v>
          </cell>
        </row>
        <row r="47">
          <cell r="A47">
            <v>40247</v>
          </cell>
        </row>
        <row r="48">
          <cell r="A48">
            <v>40248</v>
          </cell>
        </row>
        <row r="49">
          <cell r="A49">
            <v>40249</v>
          </cell>
        </row>
        <row r="50">
          <cell r="A50">
            <v>40252</v>
          </cell>
        </row>
        <row r="51">
          <cell r="A51">
            <v>40253</v>
          </cell>
        </row>
        <row r="52">
          <cell r="A52">
            <v>40254</v>
          </cell>
        </row>
        <row r="53">
          <cell r="A53">
            <v>40255</v>
          </cell>
        </row>
        <row r="54">
          <cell r="A54">
            <v>40256</v>
          </cell>
        </row>
        <row r="55">
          <cell r="A55">
            <v>40259</v>
          </cell>
        </row>
        <row r="56">
          <cell r="A56">
            <v>40260</v>
          </cell>
        </row>
        <row r="57">
          <cell r="A57">
            <v>40261</v>
          </cell>
        </row>
        <row r="58">
          <cell r="A58">
            <v>40262</v>
          </cell>
        </row>
        <row r="59">
          <cell r="A59">
            <v>40263</v>
          </cell>
        </row>
        <row r="60">
          <cell r="A60">
            <v>40266</v>
          </cell>
        </row>
        <row r="61">
          <cell r="A61">
            <v>40267</v>
          </cell>
        </row>
        <row r="62">
          <cell r="A62">
            <v>40268</v>
          </cell>
        </row>
        <row r="63">
          <cell r="A63">
            <v>40269</v>
          </cell>
        </row>
        <row r="64">
          <cell r="A64">
            <v>40273</v>
          </cell>
        </row>
        <row r="65">
          <cell r="A65">
            <v>40274</v>
          </cell>
        </row>
        <row r="66">
          <cell r="A66">
            <v>40275</v>
          </cell>
        </row>
        <row r="67">
          <cell r="A67">
            <v>40276</v>
          </cell>
        </row>
        <row r="68">
          <cell r="A68">
            <v>40277</v>
          </cell>
        </row>
        <row r="69">
          <cell r="A69">
            <v>40280</v>
          </cell>
        </row>
        <row r="70">
          <cell r="A70">
            <v>40281</v>
          </cell>
        </row>
        <row r="71">
          <cell r="A71">
            <v>40282</v>
          </cell>
        </row>
        <row r="72">
          <cell r="A72">
            <v>40283</v>
          </cell>
        </row>
        <row r="73">
          <cell r="A73">
            <v>40284</v>
          </cell>
        </row>
        <row r="74">
          <cell r="A74">
            <v>40287</v>
          </cell>
        </row>
        <row r="75">
          <cell r="A75">
            <v>40288</v>
          </cell>
        </row>
        <row r="76">
          <cell r="A76">
            <v>40289</v>
          </cell>
        </row>
        <row r="77">
          <cell r="A77">
            <v>40290</v>
          </cell>
        </row>
        <row r="78">
          <cell r="A78">
            <v>40291</v>
          </cell>
        </row>
        <row r="79">
          <cell r="A79">
            <v>40294</v>
          </cell>
        </row>
        <row r="80">
          <cell r="A80">
            <v>40295</v>
          </cell>
        </row>
        <row r="81">
          <cell r="A81">
            <v>40296</v>
          </cell>
        </row>
        <row r="82">
          <cell r="A82">
            <v>40297</v>
          </cell>
        </row>
        <row r="83">
          <cell r="A83">
            <v>40298</v>
          </cell>
        </row>
        <row r="84">
          <cell r="A84">
            <v>40301</v>
          </cell>
        </row>
        <row r="85">
          <cell r="A85">
            <v>40302</v>
          </cell>
        </row>
        <row r="86">
          <cell r="A86">
            <v>40303</v>
          </cell>
        </row>
        <row r="87">
          <cell r="A87">
            <v>40304</v>
          </cell>
        </row>
        <row r="88">
          <cell r="A88">
            <v>40305</v>
          </cell>
        </row>
        <row r="89">
          <cell r="A89">
            <v>40308</v>
          </cell>
        </row>
        <row r="90">
          <cell r="A90">
            <v>40309</v>
          </cell>
        </row>
        <row r="91">
          <cell r="A91">
            <v>40310</v>
          </cell>
        </row>
        <row r="92">
          <cell r="A92">
            <v>40311</v>
          </cell>
        </row>
        <row r="93">
          <cell r="A93">
            <v>40312</v>
          </cell>
        </row>
        <row r="94">
          <cell r="A94">
            <v>40315</v>
          </cell>
        </row>
        <row r="95">
          <cell r="A95">
            <v>40316</v>
          </cell>
        </row>
        <row r="96">
          <cell r="A96">
            <v>40317</v>
          </cell>
        </row>
        <row r="97">
          <cell r="A97">
            <v>40318</v>
          </cell>
        </row>
        <row r="98">
          <cell r="A98">
            <v>40319</v>
          </cell>
        </row>
        <row r="99">
          <cell r="A99">
            <v>40322</v>
          </cell>
        </row>
        <row r="100">
          <cell r="A100">
            <v>40323</v>
          </cell>
        </row>
        <row r="101">
          <cell r="A101">
            <v>40324</v>
          </cell>
        </row>
        <row r="102">
          <cell r="A102">
            <v>40325</v>
          </cell>
        </row>
        <row r="103">
          <cell r="A103">
            <v>40326</v>
          </cell>
        </row>
        <row r="104">
          <cell r="A104">
            <v>40330</v>
          </cell>
        </row>
        <row r="105">
          <cell r="A105">
            <v>40331</v>
          </cell>
        </row>
        <row r="106">
          <cell r="A106">
            <v>40332</v>
          </cell>
        </row>
        <row r="107">
          <cell r="A107">
            <v>40333</v>
          </cell>
        </row>
        <row r="108">
          <cell r="A108">
            <v>40336</v>
          </cell>
        </row>
        <row r="109">
          <cell r="A109">
            <v>40337</v>
          </cell>
        </row>
        <row r="110">
          <cell r="A110">
            <v>40338</v>
          </cell>
        </row>
        <row r="111">
          <cell r="A111">
            <v>40339</v>
          </cell>
        </row>
        <row r="112">
          <cell r="A112">
            <v>40340</v>
          </cell>
        </row>
        <row r="113">
          <cell r="A113">
            <v>40343</v>
          </cell>
        </row>
        <row r="114">
          <cell r="A114">
            <v>40344</v>
          </cell>
        </row>
        <row r="115">
          <cell r="A115">
            <v>40345</v>
          </cell>
        </row>
        <row r="116">
          <cell r="A116">
            <v>40346</v>
          </cell>
        </row>
        <row r="117">
          <cell r="A117">
            <v>40347</v>
          </cell>
        </row>
        <row r="118">
          <cell r="A118">
            <v>40350</v>
          </cell>
        </row>
        <row r="119">
          <cell r="A119">
            <v>40351</v>
          </cell>
        </row>
        <row r="120">
          <cell r="A120">
            <v>40352</v>
          </cell>
        </row>
        <row r="121">
          <cell r="A121">
            <v>40353</v>
          </cell>
        </row>
        <row r="122">
          <cell r="A122">
            <v>40354</v>
          </cell>
        </row>
        <row r="123">
          <cell r="A123">
            <v>40357</v>
          </cell>
        </row>
        <row r="124">
          <cell r="A124">
            <v>40358</v>
          </cell>
        </row>
        <row r="125">
          <cell r="A125">
            <v>40359</v>
          </cell>
        </row>
        <row r="126">
          <cell r="A126">
            <v>40360</v>
          </cell>
        </row>
        <row r="127">
          <cell r="A127">
            <v>40361</v>
          </cell>
        </row>
        <row r="128">
          <cell r="A128">
            <v>40365</v>
          </cell>
        </row>
        <row r="129">
          <cell r="A129">
            <v>40366</v>
          </cell>
        </row>
        <row r="130">
          <cell r="A130">
            <v>40367</v>
          </cell>
        </row>
        <row r="131">
          <cell r="A131">
            <v>40368</v>
          </cell>
        </row>
        <row r="132">
          <cell r="A132">
            <v>40371</v>
          </cell>
        </row>
        <row r="133">
          <cell r="A133">
            <v>40372</v>
          </cell>
        </row>
        <row r="134">
          <cell r="A134">
            <v>40373</v>
          </cell>
        </row>
        <row r="135">
          <cell r="A135">
            <v>40374</v>
          </cell>
        </row>
        <row r="136">
          <cell r="A136">
            <v>40375</v>
          </cell>
        </row>
        <row r="137">
          <cell r="A137">
            <v>40378</v>
          </cell>
        </row>
        <row r="138">
          <cell r="A138">
            <v>40379</v>
          </cell>
        </row>
        <row r="139">
          <cell r="A139">
            <v>40380</v>
          </cell>
        </row>
        <row r="140">
          <cell r="A140">
            <v>40381</v>
          </cell>
        </row>
        <row r="141">
          <cell r="A141">
            <v>40382</v>
          </cell>
        </row>
        <row r="142">
          <cell r="A142">
            <v>40385</v>
          </cell>
        </row>
        <row r="143">
          <cell r="A143">
            <v>40386</v>
          </cell>
        </row>
        <row r="144">
          <cell r="A144">
            <v>40387</v>
          </cell>
        </row>
        <row r="145">
          <cell r="A145">
            <v>40388</v>
          </cell>
        </row>
        <row r="146">
          <cell r="A146">
            <v>40389</v>
          </cell>
        </row>
        <row r="147">
          <cell r="A147">
            <v>40392</v>
          </cell>
        </row>
        <row r="148">
          <cell r="A148">
            <v>40393</v>
          </cell>
        </row>
        <row r="149">
          <cell r="A149">
            <v>40394</v>
          </cell>
        </row>
        <row r="150">
          <cell r="A150">
            <v>40395</v>
          </cell>
        </row>
        <row r="151">
          <cell r="A151">
            <v>40396</v>
          </cell>
        </row>
        <row r="152">
          <cell r="A152">
            <v>40399</v>
          </cell>
        </row>
        <row r="153">
          <cell r="A153">
            <v>40400</v>
          </cell>
        </row>
        <row r="154">
          <cell r="A154">
            <v>40401</v>
          </cell>
        </row>
        <row r="155">
          <cell r="A155">
            <v>40402</v>
          </cell>
        </row>
        <row r="156">
          <cell r="A156">
            <v>40403</v>
          </cell>
        </row>
        <row r="157">
          <cell r="A157">
            <v>40406</v>
          </cell>
        </row>
        <row r="158">
          <cell r="A158">
            <v>40407</v>
          </cell>
        </row>
        <row r="159">
          <cell r="A159">
            <v>40408</v>
          </cell>
        </row>
        <row r="160">
          <cell r="A160">
            <v>40409</v>
          </cell>
        </row>
        <row r="161">
          <cell r="A161">
            <v>40410</v>
          </cell>
        </row>
        <row r="162">
          <cell r="A162">
            <v>40413</v>
          </cell>
        </row>
        <row r="163">
          <cell r="A163">
            <v>40414</v>
          </cell>
        </row>
        <row r="164">
          <cell r="A164">
            <v>40415</v>
          </cell>
        </row>
        <row r="165">
          <cell r="A165">
            <v>40416</v>
          </cell>
        </row>
        <row r="166">
          <cell r="A166">
            <v>40417</v>
          </cell>
        </row>
        <row r="167">
          <cell r="A167">
            <v>40420</v>
          </cell>
        </row>
        <row r="168">
          <cell r="A168">
            <v>40421</v>
          </cell>
        </row>
        <row r="169">
          <cell r="A169">
            <v>40422</v>
          </cell>
        </row>
        <row r="170">
          <cell r="A170">
            <v>40423</v>
          </cell>
        </row>
        <row r="171">
          <cell r="A171">
            <v>40424</v>
          </cell>
        </row>
        <row r="172">
          <cell r="A172">
            <v>40428</v>
          </cell>
        </row>
        <row r="173">
          <cell r="A173">
            <v>40429</v>
          </cell>
        </row>
        <row r="174">
          <cell r="A174">
            <v>40430</v>
          </cell>
        </row>
        <row r="175">
          <cell r="A175">
            <v>40431</v>
          </cell>
        </row>
        <row r="176">
          <cell r="A176">
            <v>40434</v>
          </cell>
        </row>
        <row r="177">
          <cell r="A177">
            <v>40435</v>
          </cell>
        </row>
        <row r="178">
          <cell r="A178">
            <v>40436</v>
          </cell>
        </row>
        <row r="179">
          <cell r="A179">
            <v>40437</v>
          </cell>
        </row>
        <row r="180">
          <cell r="A180">
            <v>40438</v>
          </cell>
        </row>
        <row r="181">
          <cell r="A181">
            <v>40441</v>
          </cell>
        </row>
        <row r="182">
          <cell r="A182">
            <v>40442</v>
          </cell>
        </row>
        <row r="183">
          <cell r="A183">
            <v>40443</v>
          </cell>
        </row>
        <row r="184">
          <cell r="A184">
            <v>40444</v>
          </cell>
        </row>
        <row r="185">
          <cell r="A185">
            <v>40445</v>
          </cell>
        </row>
        <row r="186">
          <cell r="A186">
            <v>40448</v>
          </cell>
        </row>
        <row r="187">
          <cell r="A187">
            <v>40449</v>
          </cell>
        </row>
        <row r="188">
          <cell r="A188">
            <v>40450</v>
          </cell>
        </row>
        <row r="189">
          <cell r="A189">
            <v>40451</v>
          </cell>
        </row>
        <row r="190">
          <cell r="A190">
            <v>40452</v>
          </cell>
        </row>
        <row r="191">
          <cell r="A191">
            <v>40455</v>
          </cell>
        </row>
        <row r="192">
          <cell r="A192">
            <v>40456</v>
          </cell>
        </row>
        <row r="193">
          <cell r="A193">
            <v>40457</v>
          </cell>
        </row>
        <row r="194">
          <cell r="A194">
            <v>40458</v>
          </cell>
        </row>
        <row r="195">
          <cell r="A195">
            <v>40459</v>
          </cell>
        </row>
        <row r="196">
          <cell r="A196">
            <v>40462</v>
          </cell>
        </row>
        <row r="197">
          <cell r="A197">
            <v>40463</v>
          </cell>
        </row>
        <row r="198">
          <cell r="A198">
            <v>40464</v>
          </cell>
        </row>
        <row r="199">
          <cell r="A199">
            <v>40465</v>
          </cell>
        </row>
        <row r="200">
          <cell r="A200">
            <v>40466</v>
          </cell>
        </row>
        <row r="201">
          <cell r="A201">
            <v>40469</v>
          </cell>
        </row>
        <row r="202">
          <cell r="A202">
            <v>40470</v>
          </cell>
        </row>
        <row r="203">
          <cell r="A203">
            <v>40471</v>
          </cell>
        </row>
        <row r="204">
          <cell r="A204">
            <v>40472</v>
          </cell>
        </row>
        <row r="205">
          <cell r="A205">
            <v>40473</v>
          </cell>
        </row>
        <row r="206">
          <cell r="A206">
            <v>40476</v>
          </cell>
        </row>
        <row r="207">
          <cell r="A207">
            <v>40477</v>
          </cell>
        </row>
        <row r="208">
          <cell r="A208">
            <v>40478</v>
          </cell>
        </row>
        <row r="209">
          <cell r="A209">
            <v>40479</v>
          </cell>
        </row>
        <row r="210">
          <cell r="A210">
            <v>40480</v>
          </cell>
        </row>
        <row r="211">
          <cell r="A211">
            <v>40483</v>
          </cell>
        </row>
        <row r="212">
          <cell r="A212">
            <v>40484</v>
          </cell>
        </row>
        <row r="213">
          <cell r="A213">
            <v>40485</v>
          </cell>
        </row>
        <row r="214">
          <cell r="A214">
            <v>40486</v>
          </cell>
        </row>
        <row r="215">
          <cell r="A215">
            <v>40487</v>
          </cell>
        </row>
        <row r="216">
          <cell r="A216">
            <v>40490</v>
          </cell>
        </row>
        <row r="217">
          <cell r="A217">
            <v>40491</v>
          </cell>
        </row>
        <row r="218">
          <cell r="A218">
            <v>40492</v>
          </cell>
        </row>
        <row r="219">
          <cell r="A219">
            <v>40493</v>
          </cell>
        </row>
        <row r="220">
          <cell r="A220">
            <v>40494</v>
          </cell>
        </row>
        <row r="221">
          <cell r="A221">
            <v>40497</v>
          </cell>
        </row>
        <row r="222">
          <cell r="A222">
            <v>40498</v>
          </cell>
        </row>
        <row r="223">
          <cell r="A223">
            <v>40499</v>
          </cell>
        </row>
        <row r="224">
          <cell r="A224">
            <v>40500</v>
          </cell>
        </row>
        <row r="225">
          <cell r="A225">
            <v>40501</v>
          </cell>
        </row>
        <row r="226">
          <cell r="A226">
            <v>40504</v>
          </cell>
        </row>
        <row r="227">
          <cell r="A227">
            <v>40505</v>
          </cell>
        </row>
        <row r="228">
          <cell r="A228">
            <v>40506</v>
          </cell>
        </row>
        <row r="229">
          <cell r="A229">
            <v>40508</v>
          </cell>
        </row>
        <row r="230">
          <cell r="A230">
            <v>40511</v>
          </cell>
        </row>
        <row r="231">
          <cell r="A231">
            <v>40512</v>
          </cell>
        </row>
        <row r="232">
          <cell r="A232">
            <v>40513</v>
          </cell>
        </row>
        <row r="233">
          <cell r="A233">
            <v>40514</v>
          </cell>
        </row>
        <row r="234">
          <cell r="A234">
            <v>40515</v>
          </cell>
        </row>
        <row r="235">
          <cell r="A235">
            <v>40518</v>
          </cell>
        </row>
        <row r="236">
          <cell r="A236">
            <v>40519</v>
          </cell>
        </row>
        <row r="237">
          <cell r="A237">
            <v>40520</v>
          </cell>
        </row>
        <row r="238">
          <cell r="A238">
            <v>40521</v>
          </cell>
        </row>
        <row r="239">
          <cell r="A239">
            <v>40522</v>
          </cell>
        </row>
        <row r="240">
          <cell r="A240">
            <v>40525</v>
          </cell>
        </row>
        <row r="241">
          <cell r="A241">
            <v>40526</v>
          </cell>
        </row>
        <row r="242">
          <cell r="A242">
            <v>40527</v>
          </cell>
        </row>
        <row r="243">
          <cell r="A243">
            <v>40528</v>
          </cell>
        </row>
        <row r="244">
          <cell r="A244">
            <v>40529</v>
          </cell>
        </row>
        <row r="245">
          <cell r="A245">
            <v>40532</v>
          </cell>
        </row>
        <row r="246">
          <cell r="A246">
            <v>40533</v>
          </cell>
        </row>
        <row r="247">
          <cell r="A247">
            <v>40534</v>
          </cell>
        </row>
        <row r="248">
          <cell r="A248">
            <v>40535</v>
          </cell>
        </row>
        <row r="249">
          <cell r="A249">
            <v>40539</v>
          </cell>
        </row>
        <row r="250">
          <cell r="A250">
            <v>40540</v>
          </cell>
        </row>
        <row r="251">
          <cell r="A251">
            <v>40541</v>
          </cell>
        </row>
        <row r="252">
          <cell r="A252">
            <v>40542</v>
          </cell>
        </row>
        <row r="253">
          <cell r="A253">
            <v>40543</v>
          </cell>
        </row>
        <row r="254">
          <cell r="A254">
            <v>40546</v>
          </cell>
        </row>
        <row r="255">
          <cell r="A255">
            <v>40547</v>
          </cell>
        </row>
        <row r="256">
          <cell r="A256">
            <v>40548</v>
          </cell>
        </row>
        <row r="257">
          <cell r="A257">
            <v>40549</v>
          </cell>
        </row>
        <row r="258">
          <cell r="A258">
            <v>40550</v>
          </cell>
        </row>
        <row r="259">
          <cell r="A259">
            <v>40553</v>
          </cell>
        </row>
        <row r="260">
          <cell r="A260">
            <v>40554</v>
          </cell>
        </row>
        <row r="261">
          <cell r="A261">
            <v>40555</v>
          </cell>
        </row>
        <row r="262">
          <cell r="A262">
            <v>40556</v>
          </cell>
        </row>
        <row r="263">
          <cell r="A263">
            <v>40557</v>
          </cell>
        </row>
        <row r="264">
          <cell r="A264">
            <v>40561</v>
          </cell>
        </row>
        <row r="265">
          <cell r="A265">
            <v>40562</v>
          </cell>
        </row>
        <row r="266">
          <cell r="A266">
            <v>40563</v>
          </cell>
        </row>
        <row r="267">
          <cell r="A267">
            <v>40564</v>
          </cell>
        </row>
        <row r="268">
          <cell r="A268">
            <v>40567</v>
          </cell>
        </row>
        <row r="269">
          <cell r="A269">
            <v>40568</v>
          </cell>
        </row>
        <row r="270">
          <cell r="A270">
            <v>40569</v>
          </cell>
        </row>
        <row r="271">
          <cell r="A271">
            <v>40570</v>
          </cell>
        </row>
        <row r="272">
          <cell r="A272">
            <v>40571</v>
          </cell>
        </row>
        <row r="273">
          <cell r="A273">
            <v>40574</v>
          </cell>
        </row>
        <row r="274">
          <cell r="A274">
            <v>40575</v>
          </cell>
        </row>
        <row r="275">
          <cell r="A275">
            <v>40576</v>
          </cell>
        </row>
        <row r="276">
          <cell r="A276">
            <v>40577</v>
          </cell>
        </row>
        <row r="277">
          <cell r="A277">
            <v>40578</v>
          </cell>
        </row>
        <row r="278">
          <cell r="A278">
            <v>40581</v>
          </cell>
        </row>
        <row r="279">
          <cell r="A279">
            <v>40582</v>
          </cell>
        </row>
        <row r="280">
          <cell r="A280">
            <v>40583</v>
          </cell>
        </row>
        <row r="281">
          <cell r="A281">
            <v>40584</v>
          </cell>
        </row>
        <row r="282">
          <cell r="A282">
            <v>40585</v>
          </cell>
        </row>
        <row r="283">
          <cell r="A283">
            <v>40588</v>
          </cell>
        </row>
        <row r="284">
          <cell r="A284">
            <v>40589</v>
          </cell>
        </row>
        <row r="285">
          <cell r="A285">
            <v>40590</v>
          </cell>
        </row>
        <row r="286">
          <cell r="A286">
            <v>40591</v>
          </cell>
        </row>
        <row r="287">
          <cell r="A287">
            <v>40592</v>
          </cell>
        </row>
        <row r="288">
          <cell r="A288">
            <v>40596</v>
          </cell>
        </row>
        <row r="289">
          <cell r="A289">
            <v>40597</v>
          </cell>
        </row>
        <row r="290">
          <cell r="A290">
            <v>40598</v>
          </cell>
        </row>
        <row r="291">
          <cell r="A291">
            <v>40599</v>
          </cell>
        </row>
        <row r="292">
          <cell r="A292">
            <v>40602</v>
          </cell>
        </row>
        <row r="293">
          <cell r="A293">
            <v>40603</v>
          </cell>
        </row>
        <row r="294">
          <cell r="A294">
            <v>40604</v>
          </cell>
        </row>
        <row r="295">
          <cell r="A295">
            <v>40605</v>
          </cell>
        </row>
        <row r="296">
          <cell r="A296">
            <v>40606</v>
          </cell>
        </row>
        <row r="297">
          <cell r="A297">
            <v>40609</v>
          </cell>
        </row>
        <row r="298">
          <cell r="A298">
            <v>40610</v>
          </cell>
        </row>
        <row r="299">
          <cell r="A299">
            <v>40611</v>
          </cell>
        </row>
        <row r="300">
          <cell r="A300">
            <v>40612</v>
          </cell>
        </row>
        <row r="301">
          <cell r="A301">
            <v>40613</v>
          </cell>
        </row>
        <row r="302">
          <cell r="A302">
            <v>40616</v>
          </cell>
        </row>
        <row r="303">
          <cell r="A303">
            <v>40617</v>
          </cell>
        </row>
        <row r="304">
          <cell r="A304">
            <v>40618</v>
          </cell>
        </row>
        <row r="305">
          <cell r="A305">
            <v>40619</v>
          </cell>
        </row>
        <row r="306">
          <cell r="A306">
            <v>40620</v>
          </cell>
        </row>
        <row r="307">
          <cell r="A307">
            <v>40623</v>
          </cell>
        </row>
        <row r="308">
          <cell r="A308">
            <v>40624</v>
          </cell>
        </row>
        <row r="309">
          <cell r="A309">
            <v>40625</v>
          </cell>
        </row>
        <row r="310">
          <cell r="A310">
            <v>40626</v>
          </cell>
        </row>
        <row r="311">
          <cell r="A311">
            <v>40627</v>
          </cell>
        </row>
        <row r="312">
          <cell r="A312">
            <v>40630</v>
          </cell>
        </row>
        <row r="313">
          <cell r="A313">
            <v>40631</v>
          </cell>
        </row>
        <row r="314">
          <cell r="A314">
            <v>40632</v>
          </cell>
        </row>
        <row r="315">
          <cell r="A315">
            <v>40633</v>
          </cell>
        </row>
        <row r="316">
          <cell r="A316">
            <v>40634</v>
          </cell>
        </row>
        <row r="317">
          <cell r="A317">
            <v>40637</v>
          </cell>
        </row>
        <row r="318">
          <cell r="A318">
            <v>40638</v>
          </cell>
        </row>
        <row r="319">
          <cell r="A319">
            <v>40639</v>
          </cell>
        </row>
        <row r="320">
          <cell r="A320">
            <v>40640</v>
          </cell>
        </row>
        <row r="321">
          <cell r="A321">
            <v>40641</v>
          </cell>
        </row>
        <row r="322">
          <cell r="A322">
            <v>40644</v>
          </cell>
        </row>
        <row r="323">
          <cell r="A323">
            <v>40645</v>
          </cell>
        </row>
        <row r="324">
          <cell r="A324">
            <v>40646</v>
          </cell>
        </row>
        <row r="325">
          <cell r="A325">
            <v>40647</v>
          </cell>
        </row>
        <row r="326">
          <cell r="A326">
            <v>40648</v>
          </cell>
        </row>
        <row r="327">
          <cell r="A327">
            <v>40651</v>
          </cell>
        </row>
        <row r="328">
          <cell r="A328">
            <v>40652</v>
          </cell>
        </row>
        <row r="329">
          <cell r="A329">
            <v>40653</v>
          </cell>
        </row>
        <row r="330">
          <cell r="A330">
            <v>40654</v>
          </cell>
        </row>
        <row r="331">
          <cell r="A331">
            <v>40658</v>
          </cell>
        </row>
        <row r="332">
          <cell r="A332">
            <v>40659</v>
          </cell>
        </row>
        <row r="333">
          <cell r="A333">
            <v>40660</v>
          </cell>
        </row>
        <row r="334">
          <cell r="A334">
            <v>40661</v>
          </cell>
        </row>
        <row r="335">
          <cell r="A335">
            <v>40662</v>
          </cell>
        </row>
        <row r="336">
          <cell r="A336">
            <v>40665</v>
          </cell>
        </row>
        <row r="337">
          <cell r="A337">
            <v>40666</v>
          </cell>
        </row>
        <row r="338">
          <cell r="A338">
            <v>40667</v>
          </cell>
        </row>
        <row r="339">
          <cell r="A339">
            <v>40668</v>
          </cell>
        </row>
        <row r="340">
          <cell r="A340">
            <v>40669</v>
          </cell>
        </row>
        <row r="341">
          <cell r="A341">
            <v>40672</v>
          </cell>
        </row>
        <row r="342">
          <cell r="A342">
            <v>40673</v>
          </cell>
        </row>
        <row r="343">
          <cell r="A343">
            <v>40674</v>
          </cell>
        </row>
        <row r="344">
          <cell r="A344">
            <v>40675</v>
          </cell>
        </row>
        <row r="345">
          <cell r="A345">
            <v>40676</v>
          </cell>
        </row>
        <row r="346">
          <cell r="A346">
            <v>40679</v>
          </cell>
        </row>
        <row r="347">
          <cell r="A347">
            <v>40680</v>
          </cell>
        </row>
        <row r="348">
          <cell r="A348">
            <v>40681</v>
          </cell>
        </row>
        <row r="349">
          <cell r="A349">
            <v>40682</v>
          </cell>
        </row>
        <row r="350">
          <cell r="A350">
            <v>40683</v>
          </cell>
        </row>
        <row r="351">
          <cell r="A351">
            <v>40686</v>
          </cell>
        </row>
        <row r="352">
          <cell r="A352">
            <v>40687</v>
          </cell>
        </row>
        <row r="353">
          <cell r="A353">
            <v>40688</v>
          </cell>
        </row>
        <row r="354">
          <cell r="A354">
            <v>40689</v>
          </cell>
        </row>
        <row r="355">
          <cell r="A355">
            <v>40690</v>
          </cell>
        </row>
        <row r="356">
          <cell r="A356">
            <v>40694</v>
          </cell>
        </row>
        <row r="357">
          <cell r="A357">
            <v>40695</v>
          </cell>
        </row>
        <row r="358">
          <cell r="A358">
            <v>40696</v>
          </cell>
        </row>
        <row r="359">
          <cell r="A359">
            <v>40697</v>
          </cell>
        </row>
        <row r="360">
          <cell r="A360">
            <v>40700</v>
          </cell>
        </row>
        <row r="361">
          <cell r="A361">
            <v>40701</v>
          </cell>
        </row>
        <row r="362">
          <cell r="A362">
            <v>40702</v>
          </cell>
        </row>
        <row r="363">
          <cell r="A363">
            <v>40703</v>
          </cell>
        </row>
        <row r="364">
          <cell r="A364">
            <v>40704</v>
          </cell>
        </row>
        <row r="365">
          <cell r="A365">
            <v>40707</v>
          </cell>
        </row>
        <row r="366">
          <cell r="A366">
            <v>40708</v>
          </cell>
        </row>
        <row r="367">
          <cell r="A367">
            <v>40709</v>
          </cell>
        </row>
        <row r="368">
          <cell r="A368">
            <v>40710</v>
          </cell>
        </row>
        <row r="369">
          <cell r="A369">
            <v>40711</v>
          </cell>
        </row>
        <row r="370">
          <cell r="A370">
            <v>40714</v>
          </cell>
        </row>
        <row r="371">
          <cell r="A371">
            <v>40715</v>
          </cell>
        </row>
        <row r="372">
          <cell r="A372">
            <v>40716</v>
          </cell>
        </row>
        <row r="373">
          <cell r="A373">
            <v>40717</v>
          </cell>
        </row>
        <row r="374">
          <cell r="A374">
            <v>40718</v>
          </cell>
        </row>
        <row r="375">
          <cell r="A375">
            <v>40721</v>
          </cell>
        </row>
        <row r="376">
          <cell r="A376">
            <v>40722</v>
          </cell>
        </row>
        <row r="377">
          <cell r="A377">
            <v>40723</v>
          </cell>
        </row>
        <row r="378">
          <cell r="A378">
            <v>40724</v>
          </cell>
        </row>
        <row r="379">
          <cell r="A379">
            <v>40725</v>
          </cell>
        </row>
        <row r="380">
          <cell r="A380">
            <v>40729</v>
          </cell>
        </row>
        <row r="381">
          <cell r="A381">
            <v>40730</v>
          </cell>
        </row>
        <row r="382">
          <cell r="A382">
            <v>40731</v>
          </cell>
        </row>
        <row r="383">
          <cell r="A383">
            <v>40732</v>
          </cell>
        </row>
        <row r="384">
          <cell r="A384">
            <v>40735</v>
          </cell>
        </row>
        <row r="385">
          <cell r="A385">
            <v>40736</v>
          </cell>
        </row>
        <row r="386">
          <cell r="A386">
            <v>40737</v>
          </cell>
        </row>
        <row r="387">
          <cell r="A387">
            <v>40738</v>
          </cell>
        </row>
        <row r="388">
          <cell r="A388">
            <v>40739</v>
          </cell>
        </row>
        <row r="389">
          <cell r="A389">
            <v>40742</v>
          </cell>
        </row>
        <row r="390">
          <cell r="A390">
            <v>40743</v>
          </cell>
        </row>
        <row r="391">
          <cell r="A391">
            <v>40744</v>
          </cell>
        </row>
        <row r="392">
          <cell r="A392">
            <v>40745</v>
          </cell>
        </row>
        <row r="393">
          <cell r="A393">
            <v>40746</v>
          </cell>
        </row>
        <row r="394">
          <cell r="A394">
            <v>40749</v>
          </cell>
        </row>
        <row r="395">
          <cell r="A395">
            <v>40750</v>
          </cell>
        </row>
        <row r="396">
          <cell r="A396">
            <v>40751</v>
          </cell>
        </row>
        <row r="397">
          <cell r="A397">
            <v>40752</v>
          </cell>
        </row>
        <row r="398">
          <cell r="A398">
            <v>40753</v>
          </cell>
        </row>
        <row r="399">
          <cell r="A399">
            <v>40756</v>
          </cell>
        </row>
        <row r="400">
          <cell r="A400">
            <v>40757</v>
          </cell>
        </row>
        <row r="401">
          <cell r="A401">
            <v>40758</v>
          </cell>
        </row>
        <row r="402">
          <cell r="A402">
            <v>40759</v>
          </cell>
        </row>
        <row r="403">
          <cell r="A403">
            <v>40760</v>
          </cell>
        </row>
        <row r="404">
          <cell r="A404">
            <v>40763</v>
          </cell>
        </row>
        <row r="405">
          <cell r="A405">
            <v>40764</v>
          </cell>
        </row>
        <row r="406">
          <cell r="A406">
            <v>40765</v>
          </cell>
        </row>
        <row r="407">
          <cell r="A407">
            <v>40766</v>
          </cell>
        </row>
        <row r="408">
          <cell r="A408">
            <v>40767</v>
          </cell>
        </row>
        <row r="409">
          <cell r="A409">
            <v>40770</v>
          </cell>
        </row>
        <row r="410">
          <cell r="A410">
            <v>40771</v>
          </cell>
        </row>
        <row r="411">
          <cell r="A411">
            <v>40772</v>
          </cell>
        </row>
        <row r="412">
          <cell r="A412">
            <v>40773</v>
          </cell>
        </row>
        <row r="413">
          <cell r="A413">
            <v>40774</v>
          </cell>
        </row>
        <row r="414">
          <cell r="A414">
            <v>40777</v>
          </cell>
        </row>
        <row r="415">
          <cell r="A415">
            <v>40778</v>
          </cell>
        </row>
        <row r="416">
          <cell r="A416">
            <v>40779</v>
          </cell>
        </row>
        <row r="417">
          <cell r="A417">
            <v>40780</v>
          </cell>
        </row>
        <row r="418">
          <cell r="A418">
            <v>40781</v>
          </cell>
        </row>
        <row r="419">
          <cell r="A419">
            <v>40784</v>
          </cell>
        </row>
        <row r="420">
          <cell r="A420">
            <v>40785</v>
          </cell>
        </row>
        <row r="421">
          <cell r="A421">
            <v>40786</v>
          </cell>
        </row>
        <row r="422">
          <cell r="A422">
            <v>40787</v>
          </cell>
        </row>
        <row r="423">
          <cell r="A423">
            <v>40788</v>
          </cell>
        </row>
        <row r="424">
          <cell r="A424">
            <v>40792</v>
          </cell>
        </row>
        <row r="425">
          <cell r="A425">
            <v>40793</v>
          </cell>
        </row>
        <row r="426">
          <cell r="A426">
            <v>40794</v>
          </cell>
        </row>
        <row r="427">
          <cell r="A427">
            <v>40795</v>
          </cell>
        </row>
        <row r="428">
          <cell r="A428">
            <v>40798</v>
          </cell>
        </row>
        <row r="429">
          <cell r="A429">
            <v>40799</v>
          </cell>
        </row>
        <row r="430">
          <cell r="A430">
            <v>40800</v>
          </cell>
        </row>
        <row r="431">
          <cell r="A431">
            <v>40801</v>
          </cell>
        </row>
        <row r="432">
          <cell r="A432">
            <v>40802</v>
          </cell>
        </row>
        <row r="433">
          <cell r="A433">
            <v>40805</v>
          </cell>
        </row>
        <row r="434">
          <cell r="A434">
            <v>40806</v>
          </cell>
        </row>
        <row r="435">
          <cell r="A435">
            <v>40807</v>
          </cell>
        </row>
        <row r="436">
          <cell r="A436">
            <v>40808</v>
          </cell>
        </row>
        <row r="437">
          <cell r="A437">
            <v>40809</v>
          </cell>
        </row>
        <row r="438">
          <cell r="A438">
            <v>40812</v>
          </cell>
        </row>
        <row r="439">
          <cell r="A439">
            <v>40813</v>
          </cell>
        </row>
        <row r="440">
          <cell r="A440">
            <v>40814</v>
          </cell>
        </row>
        <row r="441">
          <cell r="A441">
            <v>40815</v>
          </cell>
        </row>
        <row r="442">
          <cell r="A442">
            <v>40816</v>
          </cell>
        </row>
        <row r="443">
          <cell r="A443">
            <v>40819</v>
          </cell>
        </row>
        <row r="444">
          <cell r="A444">
            <v>40820</v>
          </cell>
        </row>
        <row r="445">
          <cell r="A445">
            <v>40821</v>
          </cell>
        </row>
        <row r="446">
          <cell r="A446">
            <v>40822</v>
          </cell>
        </row>
        <row r="447">
          <cell r="A447">
            <v>40823</v>
          </cell>
        </row>
        <row r="448">
          <cell r="A448">
            <v>40826</v>
          </cell>
        </row>
        <row r="449">
          <cell r="A449">
            <v>40827</v>
          </cell>
        </row>
        <row r="450">
          <cell r="A450">
            <v>40828</v>
          </cell>
        </row>
        <row r="451">
          <cell r="A451">
            <v>40829</v>
          </cell>
        </row>
        <row r="452">
          <cell r="A452">
            <v>40830</v>
          </cell>
        </row>
        <row r="453">
          <cell r="A453">
            <v>40833</v>
          </cell>
        </row>
        <row r="454">
          <cell r="A454">
            <v>40834</v>
          </cell>
        </row>
        <row r="455">
          <cell r="A455">
            <v>40835</v>
          </cell>
        </row>
        <row r="456">
          <cell r="A456">
            <v>40836</v>
          </cell>
        </row>
        <row r="457">
          <cell r="A457">
            <v>40837</v>
          </cell>
        </row>
        <row r="458">
          <cell r="A458">
            <v>40840</v>
          </cell>
        </row>
        <row r="459">
          <cell r="A459">
            <v>40841</v>
          </cell>
        </row>
        <row r="460">
          <cell r="A460">
            <v>40842</v>
          </cell>
        </row>
        <row r="461">
          <cell r="A461">
            <v>40843</v>
          </cell>
        </row>
        <row r="462">
          <cell r="A462">
            <v>40844</v>
          </cell>
        </row>
        <row r="463">
          <cell r="A463">
            <v>40847</v>
          </cell>
        </row>
        <row r="464">
          <cell r="A464">
            <v>40848</v>
          </cell>
        </row>
        <row r="465">
          <cell r="A465">
            <v>40849</v>
          </cell>
        </row>
        <row r="466">
          <cell r="A466">
            <v>40850</v>
          </cell>
        </row>
        <row r="467">
          <cell r="A467">
            <v>40851</v>
          </cell>
        </row>
        <row r="468">
          <cell r="A468">
            <v>40854</v>
          </cell>
        </row>
        <row r="469">
          <cell r="A469">
            <v>40855</v>
          </cell>
        </row>
        <row r="470">
          <cell r="A470">
            <v>40856</v>
          </cell>
        </row>
        <row r="471">
          <cell r="A471">
            <v>40857</v>
          </cell>
        </row>
        <row r="472">
          <cell r="A472">
            <v>40858</v>
          </cell>
        </row>
        <row r="473">
          <cell r="A473">
            <v>40861</v>
          </cell>
        </row>
        <row r="474">
          <cell r="A474">
            <v>40862</v>
          </cell>
        </row>
        <row r="475">
          <cell r="A475">
            <v>40863</v>
          </cell>
        </row>
        <row r="476">
          <cell r="A476">
            <v>40864</v>
          </cell>
        </row>
        <row r="477">
          <cell r="A477">
            <v>40865</v>
          </cell>
        </row>
        <row r="478">
          <cell r="A478">
            <v>40868</v>
          </cell>
        </row>
        <row r="479">
          <cell r="A479">
            <v>40869</v>
          </cell>
        </row>
        <row r="480">
          <cell r="A480">
            <v>40870</v>
          </cell>
        </row>
        <row r="481">
          <cell r="A481">
            <v>40872</v>
          </cell>
        </row>
        <row r="482">
          <cell r="A482">
            <v>40875</v>
          </cell>
        </row>
        <row r="483">
          <cell r="A483">
            <v>40876</v>
          </cell>
        </row>
        <row r="484">
          <cell r="A484">
            <v>40877</v>
          </cell>
        </row>
        <row r="485">
          <cell r="A485">
            <v>40878</v>
          </cell>
        </row>
        <row r="486">
          <cell r="A486">
            <v>40879</v>
          </cell>
        </row>
        <row r="487">
          <cell r="A487">
            <v>40882</v>
          </cell>
        </row>
        <row r="488">
          <cell r="A488">
            <v>40883</v>
          </cell>
        </row>
        <row r="489">
          <cell r="A489">
            <v>40884</v>
          </cell>
        </row>
        <row r="490">
          <cell r="A490">
            <v>40885</v>
          </cell>
        </row>
        <row r="491">
          <cell r="A491">
            <v>40886</v>
          </cell>
        </row>
        <row r="492">
          <cell r="A492">
            <v>40889</v>
          </cell>
        </row>
        <row r="493">
          <cell r="A493">
            <v>40890</v>
          </cell>
        </row>
        <row r="494">
          <cell r="A494">
            <v>40891</v>
          </cell>
        </row>
        <row r="495">
          <cell r="A495">
            <v>40892</v>
          </cell>
        </row>
        <row r="496">
          <cell r="A496">
            <v>40893</v>
          </cell>
        </row>
        <row r="497">
          <cell r="A497">
            <v>40896</v>
          </cell>
        </row>
        <row r="498">
          <cell r="A498">
            <v>40897</v>
          </cell>
        </row>
        <row r="499">
          <cell r="A499">
            <v>40898</v>
          </cell>
        </row>
        <row r="500">
          <cell r="A500">
            <v>40899</v>
          </cell>
        </row>
        <row r="501">
          <cell r="A501">
            <v>40900</v>
          </cell>
        </row>
        <row r="502">
          <cell r="A502">
            <v>40904</v>
          </cell>
        </row>
        <row r="503">
          <cell r="A503">
            <v>40905</v>
          </cell>
        </row>
        <row r="504">
          <cell r="A504">
            <v>40906</v>
          </cell>
        </row>
        <row r="505">
          <cell r="A505">
            <v>40907</v>
          </cell>
        </row>
        <row r="506">
          <cell r="A506">
            <v>40911</v>
          </cell>
        </row>
        <row r="507">
          <cell r="A507">
            <v>40912</v>
          </cell>
        </row>
        <row r="508">
          <cell r="A508">
            <v>40913</v>
          </cell>
        </row>
        <row r="509">
          <cell r="A509">
            <v>40914</v>
          </cell>
        </row>
        <row r="510">
          <cell r="A510">
            <v>40917</v>
          </cell>
        </row>
        <row r="511">
          <cell r="A511">
            <v>40918</v>
          </cell>
        </row>
        <row r="512">
          <cell r="A512">
            <v>40919</v>
          </cell>
        </row>
        <row r="513">
          <cell r="A513">
            <v>40920</v>
          </cell>
        </row>
        <row r="514">
          <cell r="A514">
            <v>40921</v>
          </cell>
        </row>
        <row r="515">
          <cell r="A515">
            <v>40925</v>
          </cell>
        </row>
        <row r="516">
          <cell r="A516">
            <v>40926</v>
          </cell>
        </row>
        <row r="517">
          <cell r="A517">
            <v>40927</v>
          </cell>
        </row>
        <row r="518">
          <cell r="A518">
            <v>40928</v>
          </cell>
        </row>
        <row r="519">
          <cell r="A519">
            <v>40931</v>
          </cell>
        </row>
        <row r="520">
          <cell r="A520">
            <v>40932</v>
          </cell>
        </row>
        <row r="521">
          <cell r="A521">
            <v>40933</v>
          </cell>
        </row>
        <row r="522">
          <cell r="A522">
            <v>40934</v>
          </cell>
        </row>
        <row r="523">
          <cell r="A523">
            <v>40935</v>
          </cell>
        </row>
        <row r="524">
          <cell r="A524">
            <v>40938</v>
          </cell>
        </row>
        <row r="525">
          <cell r="A525">
            <v>40939</v>
          </cell>
        </row>
        <row r="526">
          <cell r="A526">
            <v>40940</v>
          </cell>
        </row>
        <row r="527">
          <cell r="A527">
            <v>40941</v>
          </cell>
        </row>
        <row r="528">
          <cell r="A528">
            <v>40942</v>
          </cell>
        </row>
        <row r="529">
          <cell r="A529">
            <v>40945</v>
          </cell>
        </row>
        <row r="530">
          <cell r="A530">
            <v>40946</v>
          </cell>
        </row>
        <row r="531">
          <cell r="A531">
            <v>40947</v>
          </cell>
        </row>
        <row r="532">
          <cell r="A532">
            <v>40948</v>
          </cell>
        </row>
        <row r="533">
          <cell r="A533">
            <v>40949</v>
          </cell>
        </row>
        <row r="534">
          <cell r="A534">
            <v>40952</v>
          </cell>
        </row>
        <row r="535">
          <cell r="A535">
            <v>40953</v>
          </cell>
        </row>
        <row r="536">
          <cell r="A536">
            <v>40954</v>
          </cell>
        </row>
        <row r="537">
          <cell r="A537">
            <v>40955</v>
          </cell>
        </row>
        <row r="538">
          <cell r="A538">
            <v>40956</v>
          </cell>
        </row>
        <row r="539">
          <cell r="A539">
            <v>40960</v>
          </cell>
        </row>
        <row r="540">
          <cell r="A540">
            <v>40961</v>
          </cell>
        </row>
        <row r="541">
          <cell r="A541">
            <v>40962</v>
          </cell>
        </row>
        <row r="542">
          <cell r="A542">
            <v>40963</v>
          </cell>
        </row>
        <row r="543">
          <cell r="A543">
            <v>40966</v>
          </cell>
        </row>
        <row r="544">
          <cell r="A544">
            <v>40967</v>
          </cell>
        </row>
        <row r="545">
          <cell r="A545">
            <v>40968</v>
          </cell>
        </row>
        <row r="546">
          <cell r="A546">
            <v>40969</v>
          </cell>
        </row>
        <row r="547">
          <cell r="A547">
            <v>40970</v>
          </cell>
        </row>
        <row r="548">
          <cell r="A548">
            <v>40973</v>
          </cell>
        </row>
        <row r="549">
          <cell r="A549">
            <v>40974</v>
          </cell>
        </row>
        <row r="550">
          <cell r="A550">
            <v>40975</v>
          </cell>
        </row>
        <row r="551">
          <cell r="A551">
            <v>40976</v>
          </cell>
        </row>
        <row r="552">
          <cell r="A552">
            <v>40977</v>
          </cell>
        </row>
        <row r="553">
          <cell r="A553">
            <v>40980</v>
          </cell>
        </row>
        <row r="554">
          <cell r="A554">
            <v>40981</v>
          </cell>
        </row>
        <row r="555">
          <cell r="A555">
            <v>40982</v>
          </cell>
        </row>
        <row r="556">
          <cell r="A556">
            <v>40983</v>
          </cell>
        </row>
        <row r="557">
          <cell r="A557">
            <v>40984</v>
          </cell>
        </row>
        <row r="558">
          <cell r="A558">
            <v>40987</v>
          </cell>
        </row>
        <row r="559">
          <cell r="A559">
            <v>40988</v>
          </cell>
        </row>
        <row r="560">
          <cell r="A560">
            <v>40989</v>
          </cell>
        </row>
        <row r="561">
          <cell r="A561">
            <v>40990</v>
          </cell>
        </row>
        <row r="562">
          <cell r="A562">
            <v>40991</v>
          </cell>
        </row>
        <row r="563">
          <cell r="A563">
            <v>40994</v>
          </cell>
        </row>
        <row r="564">
          <cell r="A564">
            <v>40995</v>
          </cell>
        </row>
        <row r="565">
          <cell r="A565">
            <v>40996</v>
          </cell>
        </row>
        <row r="566">
          <cell r="A566">
            <v>40997</v>
          </cell>
        </row>
        <row r="567">
          <cell r="A567">
            <v>40998</v>
          </cell>
        </row>
        <row r="568">
          <cell r="A568">
            <v>41001</v>
          </cell>
        </row>
        <row r="569">
          <cell r="A569">
            <v>41002</v>
          </cell>
        </row>
        <row r="570">
          <cell r="A570">
            <v>41003</v>
          </cell>
        </row>
        <row r="571">
          <cell r="A571">
            <v>41004</v>
          </cell>
        </row>
        <row r="572">
          <cell r="A572">
            <v>41008</v>
          </cell>
        </row>
        <row r="573">
          <cell r="A573">
            <v>41009</v>
          </cell>
        </row>
        <row r="574">
          <cell r="A574">
            <v>41010</v>
          </cell>
        </row>
        <row r="575">
          <cell r="A575">
            <v>41011</v>
          </cell>
        </row>
        <row r="576">
          <cell r="A576">
            <v>41012</v>
          </cell>
        </row>
        <row r="577">
          <cell r="A577">
            <v>41015</v>
          </cell>
        </row>
        <row r="578">
          <cell r="A578">
            <v>41016</v>
          </cell>
        </row>
        <row r="579">
          <cell r="A579">
            <v>41017</v>
          </cell>
        </row>
        <row r="580">
          <cell r="A580">
            <v>41018</v>
          </cell>
        </row>
        <row r="581">
          <cell r="A581">
            <v>41019</v>
          </cell>
        </row>
        <row r="582">
          <cell r="A582">
            <v>41022</v>
          </cell>
        </row>
        <row r="583">
          <cell r="A583">
            <v>41023</v>
          </cell>
        </row>
        <row r="584">
          <cell r="A584">
            <v>41024</v>
          </cell>
        </row>
        <row r="585">
          <cell r="A585">
            <v>41025</v>
          </cell>
        </row>
        <row r="586">
          <cell r="A586">
            <v>41026</v>
          </cell>
        </row>
        <row r="587">
          <cell r="A587">
            <v>41029</v>
          </cell>
        </row>
        <row r="588">
          <cell r="A588">
            <v>41030</v>
          </cell>
        </row>
        <row r="589">
          <cell r="A589">
            <v>41031</v>
          </cell>
        </row>
        <row r="590">
          <cell r="A590">
            <v>41032</v>
          </cell>
        </row>
        <row r="591">
          <cell r="A591">
            <v>41033</v>
          </cell>
        </row>
        <row r="592">
          <cell r="A592">
            <v>41036</v>
          </cell>
        </row>
        <row r="593">
          <cell r="A593">
            <v>41037</v>
          </cell>
        </row>
        <row r="594">
          <cell r="A594">
            <v>41038</v>
          </cell>
        </row>
        <row r="595">
          <cell r="A595">
            <v>41039</v>
          </cell>
        </row>
        <row r="596">
          <cell r="A596">
            <v>41040</v>
          </cell>
        </row>
        <row r="597">
          <cell r="A597">
            <v>41043</v>
          </cell>
        </row>
        <row r="598">
          <cell r="A598">
            <v>41044</v>
          </cell>
        </row>
        <row r="599">
          <cell r="A599">
            <v>41045</v>
          </cell>
        </row>
        <row r="600">
          <cell r="A600">
            <v>41046</v>
          </cell>
        </row>
        <row r="601">
          <cell r="A601">
            <v>41047</v>
          </cell>
        </row>
        <row r="602">
          <cell r="A602">
            <v>41050</v>
          </cell>
        </row>
        <row r="603">
          <cell r="A603">
            <v>41051</v>
          </cell>
        </row>
        <row r="604">
          <cell r="A604">
            <v>41052</v>
          </cell>
        </row>
        <row r="605">
          <cell r="A605">
            <v>41053</v>
          </cell>
        </row>
        <row r="606">
          <cell r="A606">
            <v>41054</v>
          </cell>
        </row>
        <row r="607">
          <cell r="A607">
            <v>41058</v>
          </cell>
        </row>
        <row r="608">
          <cell r="A608">
            <v>41059</v>
          </cell>
        </row>
        <row r="609">
          <cell r="A609">
            <v>41060</v>
          </cell>
        </row>
        <row r="610">
          <cell r="A610">
            <v>41061</v>
          </cell>
        </row>
        <row r="611">
          <cell r="A611">
            <v>41064</v>
          </cell>
        </row>
        <row r="612">
          <cell r="A612">
            <v>41065</v>
          </cell>
        </row>
        <row r="613">
          <cell r="A613">
            <v>41066</v>
          </cell>
        </row>
        <row r="614">
          <cell r="A614">
            <v>41067</v>
          </cell>
        </row>
        <row r="615">
          <cell r="A615">
            <v>41068</v>
          </cell>
        </row>
        <row r="616">
          <cell r="A616">
            <v>41071</v>
          </cell>
        </row>
        <row r="617">
          <cell r="A617">
            <v>41072</v>
          </cell>
        </row>
        <row r="618">
          <cell r="A618">
            <v>41073</v>
          </cell>
        </row>
        <row r="619">
          <cell r="A619">
            <v>41074</v>
          </cell>
        </row>
        <row r="620">
          <cell r="A620">
            <v>41075</v>
          </cell>
        </row>
        <row r="621">
          <cell r="A621">
            <v>41078</v>
          </cell>
        </row>
        <row r="622">
          <cell r="A622">
            <v>41079</v>
          </cell>
        </row>
        <row r="623">
          <cell r="A623">
            <v>41080</v>
          </cell>
        </row>
        <row r="624">
          <cell r="A624">
            <v>41081</v>
          </cell>
        </row>
        <row r="625">
          <cell r="A625">
            <v>41082</v>
          </cell>
        </row>
        <row r="626">
          <cell r="A626">
            <v>41085</v>
          </cell>
        </row>
        <row r="627">
          <cell r="A627">
            <v>41086</v>
          </cell>
        </row>
        <row r="628">
          <cell r="A628">
            <v>41087</v>
          </cell>
        </row>
        <row r="629">
          <cell r="A629">
            <v>41088</v>
          </cell>
        </row>
        <row r="630">
          <cell r="A630">
            <v>41089</v>
          </cell>
        </row>
        <row r="631">
          <cell r="A631">
            <v>41092</v>
          </cell>
        </row>
        <row r="632">
          <cell r="A632">
            <v>41093</v>
          </cell>
        </row>
        <row r="633">
          <cell r="A633">
            <v>41095</v>
          </cell>
        </row>
        <row r="634">
          <cell r="A634">
            <v>41096</v>
          </cell>
        </row>
        <row r="635">
          <cell r="A635">
            <v>41099</v>
          </cell>
        </row>
        <row r="636">
          <cell r="A636">
            <v>41100</v>
          </cell>
        </row>
        <row r="637">
          <cell r="A637">
            <v>41101</v>
          </cell>
        </row>
        <row r="638">
          <cell r="A638">
            <v>41102</v>
          </cell>
        </row>
        <row r="639">
          <cell r="A639">
            <v>41103</v>
          </cell>
        </row>
        <row r="640">
          <cell r="A640">
            <v>41106</v>
          </cell>
        </row>
        <row r="641">
          <cell r="A641">
            <v>41107</v>
          </cell>
        </row>
        <row r="642">
          <cell r="A642">
            <v>41108</v>
          </cell>
        </row>
        <row r="643">
          <cell r="A643">
            <v>41109</v>
          </cell>
        </row>
        <row r="644">
          <cell r="A644">
            <v>41110</v>
          </cell>
        </row>
        <row r="645">
          <cell r="A645">
            <v>41113</v>
          </cell>
        </row>
        <row r="646">
          <cell r="A646">
            <v>41114</v>
          </cell>
        </row>
        <row r="647">
          <cell r="A647">
            <v>41115</v>
          </cell>
        </row>
        <row r="648">
          <cell r="A648">
            <v>41116</v>
          </cell>
        </row>
        <row r="649">
          <cell r="A649">
            <v>41117</v>
          </cell>
        </row>
        <row r="650">
          <cell r="A650">
            <v>41120</v>
          </cell>
        </row>
        <row r="651">
          <cell r="A651">
            <v>41121</v>
          </cell>
        </row>
        <row r="652">
          <cell r="A652">
            <v>41122</v>
          </cell>
        </row>
        <row r="653">
          <cell r="A653">
            <v>41123</v>
          </cell>
        </row>
        <row r="654">
          <cell r="A654">
            <v>41124</v>
          </cell>
        </row>
        <row r="655">
          <cell r="A655">
            <v>41127</v>
          </cell>
        </row>
        <row r="656">
          <cell r="A656">
            <v>41128</v>
          </cell>
        </row>
        <row r="657">
          <cell r="A657">
            <v>41129</v>
          </cell>
        </row>
        <row r="658">
          <cell r="A658">
            <v>41130</v>
          </cell>
        </row>
        <row r="659">
          <cell r="A659">
            <v>41131</v>
          </cell>
        </row>
        <row r="660">
          <cell r="A660">
            <v>41134</v>
          </cell>
        </row>
        <row r="661">
          <cell r="A661">
            <v>41135</v>
          </cell>
        </row>
        <row r="662">
          <cell r="A662">
            <v>41136</v>
          </cell>
        </row>
        <row r="663">
          <cell r="A663">
            <v>41137</v>
          </cell>
        </row>
        <row r="664">
          <cell r="A664">
            <v>41138</v>
          </cell>
        </row>
        <row r="665">
          <cell r="A665">
            <v>41141</v>
          </cell>
        </row>
        <row r="666">
          <cell r="A666">
            <v>41142</v>
          </cell>
        </row>
        <row r="667">
          <cell r="A667">
            <v>41143</v>
          </cell>
        </row>
        <row r="668">
          <cell r="A668">
            <v>41144</v>
          </cell>
        </row>
        <row r="669">
          <cell r="A669">
            <v>41145</v>
          </cell>
        </row>
        <row r="670">
          <cell r="A670">
            <v>41148</v>
          </cell>
        </row>
        <row r="671">
          <cell r="A671">
            <v>41149</v>
          </cell>
        </row>
        <row r="672">
          <cell r="A672">
            <v>41150</v>
          </cell>
        </row>
        <row r="673">
          <cell r="A673">
            <v>41151</v>
          </cell>
        </row>
        <row r="674">
          <cell r="A674">
            <v>41152</v>
          </cell>
        </row>
        <row r="675">
          <cell r="A675">
            <v>41156</v>
          </cell>
        </row>
        <row r="676">
          <cell r="A676">
            <v>41157</v>
          </cell>
        </row>
        <row r="677">
          <cell r="A677">
            <v>41158</v>
          </cell>
        </row>
        <row r="678">
          <cell r="A678">
            <v>41159</v>
          </cell>
        </row>
        <row r="679">
          <cell r="A679">
            <v>41162</v>
          </cell>
        </row>
        <row r="680">
          <cell r="A680">
            <v>41163</v>
          </cell>
        </row>
        <row r="681">
          <cell r="A681">
            <v>41164</v>
          </cell>
        </row>
        <row r="682">
          <cell r="A682">
            <v>41165</v>
          </cell>
        </row>
        <row r="683">
          <cell r="A683">
            <v>41166</v>
          </cell>
        </row>
        <row r="684">
          <cell r="A684">
            <v>41169</v>
          </cell>
        </row>
        <row r="685">
          <cell r="A685">
            <v>41170</v>
          </cell>
        </row>
        <row r="686">
          <cell r="A686">
            <v>41171</v>
          </cell>
        </row>
        <row r="687">
          <cell r="A687">
            <v>41172</v>
          </cell>
        </row>
        <row r="688">
          <cell r="A688">
            <v>41173</v>
          </cell>
        </row>
        <row r="689">
          <cell r="A689">
            <v>41176</v>
          </cell>
        </row>
        <row r="690">
          <cell r="A690">
            <v>41177</v>
          </cell>
        </row>
        <row r="691">
          <cell r="A691">
            <v>41178</v>
          </cell>
        </row>
        <row r="692">
          <cell r="A692">
            <v>41179</v>
          </cell>
        </row>
        <row r="693">
          <cell r="A693">
            <v>41180</v>
          </cell>
        </row>
        <row r="694">
          <cell r="A694">
            <v>41183</v>
          </cell>
        </row>
        <row r="695">
          <cell r="A695">
            <v>41184</v>
          </cell>
        </row>
        <row r="696">
          <cell r="A696">
            <v>41185</v>
          </cell>
        </row>
        <row r="697">
          <cell r="A697">
            <v>41186</v>
          </cell>
        </row>
        <row r="698">
          <cell r="A698">
            <v>41187</v>
          </cell>
        </row>
        <row r="699">
          <cell r="A699">
            <v>41190</v>
          </cell>
        </row>
        <row r="700">
          <cell r="A700">
            <v>41191</v>
          </cell>
        </row>
        <row r="701">
          <cell r="A701">
            <v>41192</v>
          </cell>
        </row>
        <row r="702">
          <cell r="A702">
            <v>41193</v>
          </cell>
        </row>
        <row r="703">
          <cell r="A703">
            <v>41194</v>
          </cell>
        </row>
        <row r="704">
          <cell r="A704">
            <v>41197</v>
          </cell>
        </row>
        <row r="705">
          <cell r="A705">
            <v>41198</v>
          </cell>
        </row>
        <row r="706">
          <cell r="A706">
            <v>41199</v>
          </cell>
        </row>
        <row r="707">
          <cell r="A707">
            <v>41200</v>
          </cell>
        </row>
        <row r="708">
          <cell r="A708">
            <v>41201</v>
          </cell>
        </row>
        <row r="709">
          <cell r="A709">
            <v>41204</v>
          </cell>
        </row>
        <row r="710">
          <cell r="A710">
            <v>41205</v>
          </cell>
        </row>
        <row r="711">
          <cell r="A711">
            <v>41206</v>
          </cell>
        </row>
        <row r="712">
          <cell r="A712">
            <v>41207</v>
          </cell>
        </row>
        <row r="713">
          <cell r="A713">
            <v>41208</v>
          </cell>
        </row>
        <row r="714">
          <cell r="A714">
            <v>41213</v>
          </cell>
        </row>
        <row r="715">
          <cell r="A715">
            <v>41214</v>
          </cell>
        </row>
        <row r="716">
          <cell r="A716">
            <v>41215</v>
          </cell>
        </row>
        <row r="717">
          <cell r="A717">
            <v>41218</v>
          </cell>
        </row>
        <row r="718">
          <cell r="A718">
            <v>41219</v>
          </cell>
        </row>
        <row r="719">
          <cell r="A719">
            <v>41220</v>
          </cell>
        </row>
        <row r="720">
          <cell r="A720">
            <v>41221</v>
          </cell>
        </row>
        <row r="721">
          <cell r="A721">
            <v>41222</v>
          </cell>
        </row>
        <row r="722">
          <cell r="A722">
            <v>41225</v>
          </cell>
        </row>
        <row r="723">
          <cell r="A723">
            <v>41226</v>
          </cell>
        </row>
        <row r="724">
          <cell r="A724">
            <v>41227</v>
          </cell>
        </row>
        <row r="725">
          <cell r="A725">
            <v>41228</v>
          </cell>
        </row>
        <row r="726">
          <cell r="A726">
            <v>41229</v>
          </cell>
        </row>
        <row r="727">
          <cell r="A727">
            <v>41232</v>
          </cell>
        </row>
        <row r="728">
          <cell r="A728">
            <v>41233</v>
          </cell>
        </row>
        <row r="729">
          <cell r="A729">
            <v>41234</v>
          </cell>
        </row>
        <row r="730">
          <cell r="A730">
            <v>41236</v>
          </cell>
        </row>
        <row r="731">
          <cell r="A731">
            <v>41239</v>
          </cell>
        </row>
        <row r="732">
          <cell r="A732">
            <v>41240</v>
          </cell>
        </row>
        <row r="733">
          <cell r="A733">
            <v>41241</v>
          </cell>
        </row>
        <row r="734">
          <cell r="A734">
            <v>41242</v>
          </cell>
        </row>
        <row r="735">
          <cell r="A735">
            <v>41243</v>
          </cell>
        </row>
        <row r="736">
          <cell r="A736">
            <v>41246</v>
          </cell>
        </row>
        <row r="737">
          <cell r="A737">
            <v>41247</v>
          </cell>
        </row>
        <row r="738">
          <cell r="A738">
            <v>41248</v>
          </cell>
        </row>
        <row r="739">
          <cell r="A739">
            <v>41249</v>
          </cell>
        </row>
        <row r="740">
          <cell r="A740">
            <v>41250</v>
          </cell>
        </row>
        <row r="741">
          <cell r="A741">
            <v>41253</v>
          </cell>
        </row>
        <row r="742">
          <cell r="A742">
            <v>41254</v>
          </cell>
        </row>
        <row r="743">
          <cell r="A743">
            <v>41255</v>
          </cell>
        </row>
        <row r="744">
          <cell r="A744">
            <v>41256</v>
          </cell>
        </row>
        <row r="745">
          <cell r="A745">
            <v>41257</v>
          </cell>
        </row>
        <row r="746">
          <cell r="A746">
            <v>41260</v>
          </cell>
        </row>
        <row r="747">
          <cell r="A747">
            <v>41261</v>
          </cell>
        </row>
        <row r="748">
          <cell r="A748">
            <v>41262</v>
          </cell>
        </row>
        <row r="749">
          <cell r="A749">
            <v>41263</v>
          </cell>
        </row>
        <row r="750">
          <cell r="A750">
            <v>41264</v>
          </cell>
        </row>
        <row r="751">
          <cell r="A751">
            <v>41267</v>
          </cell>
        </row>
        <row r="752">
          <cell r="A752">
            <v>41269</v>
          </cell>
        </row>
        <row r="753">
          <cell r="A753">
            <v>41270</v>
          </cell>
        </row>
        <row r="754">
          <cell r="A754">
            <v>41271</v>
          </cell>
        </row>
        <row r="755">
          <cell r="A755">
            <v>41274</v>
          </cell>
        </row>
        <row r="756">
          <cell r="A756">
            <v>41276</v>
          </cell>
        </row>
        <row r="757">
          <cell r="A757">
            <v>41277</v>
          </cell>
        </row>
        <row r="758">
          <cell r="A758">
            <v>41278</v>
          </cell>
        </row>
        <row r="759">
          <cell r="A759">
            <v>41281</v>
          </cell>
        </row>
        <row r="760">
          <cell r="A760">
            <v>41282</v>
          </cell>
        </row>
        <row r="761">
          <cell r="A761">
            <v>41283</v>
          </cell>
        </row>
        <row r="762">
          <cell r="A762">
            <v>41284</v>
          </cell>
        </row>
        <row r="763">
          <cell r="A763">
            <v>41285</v>
          </cell>
        </row>
        <row r="764">
          <cell r="A764">
            <v>41288</v>
          </cell>
        </row>
        <row r="765">
          <cell r="A765">
            <v>41289</v>
          </cell>
        </row>
        <row r="766">
          <cell r="A766">
            <v>41290</v>
          </cell>
        </row>
        <row r="767">
          <cell r="A767">
            <v>41291</v>
          </cell>
        </row>
        <row r="768">
          <cell r="A768">
            <v>41292</v>
          </cell>
        </row>
        <row r="769">
          <cell r="A769">
            <v>41296</v>
          </cell>
        </row>
        <row r="770">
          <cell r="A770">
            <v>41297</v>
          </cell>
        </row>
        <row r="771">
          <cell r="A771">
            <v>41298</v>
          </cell>
        </row>
        <row r="772">
          <cell r="A772">
            <v>41299</v>
          </cell>
        </row>
        <row r="773">
          <cell r="A773">
            <v>41302</v>
          </cell>
        </row>
        <row r="774">
          <cell r="A774">
            <v>41303</v>
          </cell>
        </row>
        <row r="775">
          <cell r="A775">
            <v>41304</v>
          </cell>
        </row>
        <row r="776">
          <cell r="A776">
            <v>41305</v>
          </cell>
        </row>
        <row r="777">
          <cell r="A777">
            <v>41306</v>
          </cell>
        </row>
        <row r="778">
          <cell r="A778">
            <v>41309</v>
          </cell>
        </row>
        <row r="779">
          <cell r="A779">
            <v>41310</v>
          </cell>
        </row>
        <row r="780">
          <cell r="A780">
            <v>41311</v>
          </cell>
        </row>
        <row r="781">
          <cell r="A781">
            <v>41312</v>
          </cell>
        </row>
        <row r="782">
          <cell r="A782">
            <v>41313</v>
          </cell>
        </row>
        <row r="783">
          <cell r="A783">
            <v>41316</v>
          </cell>
        </row>
        <row r="784">
          <cell r="A784">
            <v>41317</v>
          </cell>
        </row>
        <row r="785">
          <cell r="A785">
            <v>41318</v>
          </cell>
        </row>
        <row r="786">
          <cell r="A786">
            <v>41319</v>
          </cell>
        </row>
        <row r="787">
          <cell r="A787">
            <v>41320</v>
          </cell>
        </row>
        <row r="788">
          <cell r="A788">
            <v>41324</v>
          </cell>
        </row>
        <row r="789">
          <cell r="A789">
            <v>41325</v>
          </cell>
        </row>
        <row r="790">
          <cell r="A790">
            <v>41326</v>
          </cell>
        </row>
        <row r="791">
          <cell r="A791">
            <v>41327</v>
          </cell>
        </row>
        <row r="792">
          <cell r="A792">
            <v>41330</v>
          </cell>
        </row>
        <row r="793">
          <cell r="A793">
            <v>41331</v>
          </cell>
        </row>
        <row r="794">
          <cell r="A794">
            <v>41332</v>
          </cell>
        </row>
        <row r="795">
          <cell r="A795">
            <v>41333</v>
          </cell>
        </row>
        <row r="796">
          <cell r="A796">
            <v>41334</v>
          </cell>
        </row>
        <row r="797">
          <cell r="A797">
            <v>41337</v>
          </cell>
        </row>
        <row r="798">
          <cell r="A798">
            <v>41338</v>
          </cell>
        </row>
        <row r="799">
          <cell r="A799">
            <v>41339</v>
          </cell>
        </row>
        <row r="800">
          <cell r="A800">
            <v>41340</v>
          </cell>
        </row>
        <row r="801">
          <cell r="A801">
            <v>41341</v>
          </cell>
        </row>
        <row r="802">
          <cell r="A802">
            <v>41344</v>
          </cell>
        </row>
        <row r="803">
          <cell r="A803">
            <v>41345</v>
          </cell>
        </row>
        <row r="804">
          <cell r="A804">
            <v>41346</v>
          </cell>
        </row>
        <row r="805">
          <cell r="A805">
            <v>41347</v>
          </cell>
        </row>
        <row r="806">
          <cell r="A806">
            <v>41348</v>
          </cell>
        </row>
        <row r="807">
          <cell r="A807">
            <v>41351</v>
          </cell>
        </row>
        <row r="808">
          <cell r="A808">
            <v>41352</v>
          </cell>
        </row>
        <row r="809">
          <cell r="A809">
            <v>41353</v>
          </cell>
        </row>
        <row r="810">
          <cell r="A810">
            <v>41354</v>
          </cell>
        </row>
        <row r="811">
          <cell r="A811">
            <v>41355</v>
          </cell>
        </row>
        <row r="812">
          <cell r="A812">
            <v>41358</v>
          </cell>
        </row>
        <row r="813">
          <cell r="A813">
            <v>41359</v>
          </cell>
        </row>
        <row r="814">
          <cell r="A814">
            <v>41360</v>
          </cell>
        </row>
        <row r="815">
          <cell r="A815">
            <v>41361</v>
          </cell>
        </row>
        <row r="816">
          <cell r="A816">
            <v>41365</v>
          </cell>
        </row>
        <row r="817">
          <cell r="A817">
            <v>41366</v>
          </cell>
        </row>
        <row r="818">
          <cell r="A818">
            <v>41367</v>
          </cell>
        </row>
        <row r="819">
          <cell r="A819">
            <v>41368</v>
          </cell>
        </row>
        <row r="820">
          <cell r="A820">
            <v>41369</v>
          </cell>
        </row>
        <row r="821">
          <cell r="A821">
            <v>41372</v>
          </cell>
        </row>
        <row r="822">
          <cell r="A822">
            <v>41373</v>
          </cell>
        </row>
        <row r="823">
          <cell r="A823">
            <v>41374</v>
          </cell>
        </row>
        <row r="824">
          <cell r="A824">
            <v>41375</v>
          </cell>
        </row>
        <row r="825">
          <cell r="A825">
            <v>41376</v>
          </cell>
        </row>
        <row r="826">
          <cell r="A826">
            <v>41379</v>
          </cell>
        </row>
        <row r="827">
          <cell r="A827">
            <v>41380</v>
          </cell>
        </row>
        <row r="828">
          <cell r="A828">
            <v>41381</v>
          </cell>
        </row>
        <row r="829">
          <cell r="A829">
            <v>41382</v>
          </cell>
        </row>
        <row r="830">
          <cell r="A830">
            <v>41383</v>
          </cell>
        </row>
        <row r="831">
          <cell r="A831">
            <v>41386</v>
          </cell>
        </row>
        <row r="832">
          <cell r="A832">
            <v>41387</v>
          </cell>
        </row>
        <row r="833">
          <cell r="A833">
            <v>41388</v>
          </cell>
        </row>
        <row r="834">
          <cell r="A834">
            <v>41389</v>
          </cell>
        </row>
        <row r="835">
          <cell r="A835">
            <v>41390</v>
          </cell>
        </row>
        <row r="836">
          <cell r="A836">
            <v>41393</v>
          </cell>
        </row>
        <row r="837">
          <cell r="A837">
            <v>41394</v>
          </cell>
        </row>
        <row r="838">
          <cell r="A838">
            <v>41395</v>
          </cell>
        </row>
        <row r="839">
          <cell r="A839">
            <v>41396</v>
          </cell>
        </row>
        <row r="840">
          <cell r="A840">
            <v>41397</v>
          </cell>
        </row>
        <row r="841">
          <cell r="A841">
            <v>41400</v>
          </cell>
        </row>
        <row r="842">
          <cell r="A842">
            <v>41401</v>
          </cell>
        </row>
        <row r="843">
          <cell r="A843">
            <v>41402</v>
          </cell>
        </row>
        <row r="844">
          <cell r="A844">
            <v>41403</v>
          </cell>
        </row>
        <row r="845">
          <cell r="A845">
            <v>41404</v>
          </cell>
        </row>
        <row r="846">
          <cell r="A846">
            <v>41407</v>
          </cell>
        </row>
        <row r="847">
          <cell r="A847">
            <v>41408</v>
          </cell>
        </row>
        <row r="848">
          <cell r="A848">
            <v>41409</v>
          </cell>
        </row>
        <row r="849">
          <cell r="A849">
            <v>41410</v>
          </cell>
        </row>
        <row r="850">
          <cell r="A850">
            <v>41411</v>
          </cell>
        </row>
        <row r="851">
          <cell r="A851">
            <v>41414</v>
          </cell>
        </row>
        <row r="852">
          <cell r="A852">
            <v>41415</v>
          </cell>
        </row>
        <row r="853">
          <cell r="A853">
            <v>41416</v>
          </cell>
        </row>
        <row r="854">
          <cell r="A854">
            <v>41417</v>
          </cell>
        </row>
        <row r="855">
          <cell r="A855">
            <v>41418</v>
          </cell>
        </row>
        <row r="856">
          <cell r="A856">
            <v>41422</v>
          </cell>
        </row>
        <row r="857">
          <cell r="A857">
            <v>41423</v>
          </cell>
        </row>
        <row r="858">
          <cell r="A858">
            <v>41424</v>
          </cell>
        </row>
        <row r="859">
          <cell r="A859">
            <v>41425</v>
          </cell>
        </row>
        <row r="860">
          <cell r="A860">
            <v>41428</v>
          </cell>
        </row>
        <row r="861">
          <cell r="A861">
            <v>41429</v>
          </cell>
        </row>
        <row r="862">
          <cell r="A862">
            <v>41430</v>
          </cell>
        </row>
        <row r="863">
          <cell r="A863">
            <v>41431</v>
          </cell>
        </row>
        <row r="864">
          <cell r="A864">
            <v>41432</v>
          </cell>
        </row>
        <row r="865">
          <cell r="A865">
            <v>41435</v>
          </cell>
        </row>
        <row r="866">
          <cell r="A866">
            <v>41436</v>
          </cell>
        </row>
        <row r="867">
          <cell r="A867">
            <v>41437</v>
          </cell>
        </row>
        <row r="868">
          <cell r="A868">
            <v>41438</v>
          </cell>
        </row>
        <row r="869">
          <cell r="A869">
            <v>41439</v>
          </cell>
        </row>
        <row r="870">
          <cell r="A870">
            <v>41442</v>
          </cell>
        </row>
        <row r="871">
          <cell r="A871">
            <v>41443</v>
          </cell>
        </row>
        <row r="872">
          <cell r="A872">
            <v>41444</v>
          </cell>
        </row>
        <row r="873">
          <cell r="A873">
            <v>41445</v>
          </cell>
        </row>
        <row r="874">
          <cell r="A874">
            <v>41446</v>
          </cell>
        </row>
        <row r="875">
          <cell r="A875">
            <v>41449</v>
          </cell>
        </row>
        <row r="876">
          <cell r="A876">
            <v>41450</v>
          </cell>
        </row>
        <row r="877">
          <cell r="A877">
            <v>41451</v>
          </cell>
        </row>
        <row r="878">
          <cell r="A878">
            <v>41452</v>
          </cell>
        </row>
        <row r="879">
          <cell r="A879">
            <v>41453</v>
          </cell>
        </row>
        <row r="880">
          <cell r="A880">
            <v>41456</v>
          </cell>
        </row>
        <row r="881">
          <cell r="A881">
            <v>41457</v>
          </cell>
        </row>
        <row r="882">
          <cell r="A882">
            <v>41458</v>
          </cell>
        </row>
        <row r="883">
          <cell r="A883">
            <v>41460</v>
          </cell>
        </row>
        <row r="884">
          <cell r="A884">
            <v>41463</v>
          </cell>
        </row>
        <row r="885">
          <cell r="A885">
            <v>41464</v>
          </cell>
        </row>
        <row r="886">
          <cell r="A886">
            <v>41465</v>
          </cell>
        </row>
        <row r="887">
          <cell r="A887">
            <v>41466</v>
          </cell>
        </row>
        <row r="888">
          <cell r="A888">
            <v>41467</v>
          </cell>
        </row>
        <row r="889">
          <cell r="A889">
            <v>41470</v>
          </cell>
        </row>
        <row r="890">
          <cell r="A890">
            <v>41471</v>
          </cell>
        </row>
        <row r="891">
          <cell r="A891">
            <v>41472</v>
          </cell>
        </row>
        <row r="892">
          <cell r="A892">
            <v>41473</v>
          </cell>
        </row>
        <row r="893">
          <cell r="A893">
            <v>41474</v>
          </cell>
        </row>
        <row r="894">
          <cell r="A894">
            <v>41477</v>
          </cell>
        </row>
        <row r="895">
          <cell r="A895">
            <v>41478</v>
          </cell>
        </row>
        <row r="896">
          <cell r="A896">
            <v>41479</v>
          </cell>
        </row>
        <row r="897">
          <cell r="A897">
            <v>41480</v>
          </cell>
        </row>
        <row r="898">
          <cell r="A898">
            <v>41481</v>
          </cell>
        </row>
        <row r="899">
          <cell r="A899">
            <v>41484</v>
          </cell>
        </row>
        <row r="900">
          <cell r="A900">
            <v>41485</v>
          </cell>
        </row>
        <row r="901">
          <cell r="A901">
            <v>41486</v>
          </cell>
        </row>
        <row r="902">
          <cell r="A902">
            <v>41487</v>
          </cell>
        </row>
        <row r="903">
          <cell r="A903">
            <v>41488</v>
          </cell>
        </row>
        <row r="904">
          <cell r="A904">
            <v>41491</v>
          </cell>
        </row>
        <row r="905">
          <cell r="A905">
            <v>41492</v>
          </cell>
        </row>
        <row r="906">
          <cell r="A906">
            <v>41493</v>
          </cell>
        </row>
        <row r="907">
          <cell r="A907">
            <v>41494</v>
          </cell>
        </row>
        <row r="908">
          <cell r="A908">
            <v>41495</v>
          </cell>
        </row>
        <row r="909">
          <cell r="A909">
            <v>41498</v>
          </cell>
        </row>
        <row r="910">
          <cell r="A910">
            <v>41499</v>
          </cell>
        </row>
        <row r="911">
          <cell r="A911">
            <v>41500</v>
          </cell>
        </row>
        <row r="912">
          <cell r="A912">
            <v>41501</v>
          </cell>
        </row>
        <row r="913">
          <cell r="A913">
            <v>41502</v>
          </cell>
        </row>
        <row r="914">
          <cell r="A914">
            <v>41505</v>
          </cell>
        </row>
        <row r="915">
          <cell r="A915">
            <v>41506</v>
          </cell>
        </row>
        <row r="916">
          <cell r="A916">
            <v>41507</v>
          </cell>
        </row>
        <row r="917">
          <cell r="A917">
            <v>41508</v>
          </cell>
        </row>
        <row r="918">
          <cell r="A918">
            <v>41509</v>
          </cell>
        </row>
        <row r="919">
          <cell r="A919">
            <v>41512</v>
          </cell>
        </row>
        <row r="920">
          <cell r="A920">
            <v>41513</v>
          </cell>
        </row>
        <row r="921">
          <cell r="A921">
            <v>41514</v>
          </cell>
        </row>
        <row r="922">
          <cell r="A922">
            <v>41515</v>
          </cell>
        </row>
        <row r="923">
          <cell r="A923">
            <v>41516</v>
          </cell>
        </row>
        <row r="924">
          <cell r="A924">
            <v>41520</v>
          </cell>
        </row>
        <row r="925">
          <cell r="A925">
            <v>41521</v>
          </cell>
        </row>
        <row r="926">
          <cell r="A926">
            <v>41522</v>
          </cell>
        </row>
        <row r="927">
          <cell r="A927">
            <v>41523</v>
          </cell>
        </row>
        <row r="928">
          <cell r="A928">
            <v>41526</v>
          </cell>
        </row>
        <row r="929">
          <cell r="A929">
            <v>41527</v>
          </cell>
        </row>
        <row r="930">
          <cell r="A930">
            <v>41528</v>
          </cell>
        </row>
        <row r="931">
          <cell r="A931">
            <v>41529</v>
          </cell>
        </row>
        <row r="932">
          <cell r="A932">
            <v>41530</v>
          </cell>
        </row>
        <row r="933">
          <cell r="A933">
            <v>41533</v>
          </cell>
        </row>
        <row r="934">
          <cell r="A934">
            <v>41534</v>
          </cell>
        </row>
        <row r="935">
          <cell r="A935">
            <v>41535</v>
          </cell>
        </row>
        <row r="936">
          <cell r="A936">
            <v>41536</v>
          </cell>
        </row>
        <row r="937">
          <cell r="A937">
            <v>41537</v>
          </cell>
        </row>
        <row r="938">
          <cell r="A938">
            <v>41540</v>
          </cell>
        </row>
        <row r="939">
          <cell r="A939">
            <v>41541</v>
          </cell>
        </row>
        <row r="940">
          <cell r="A940">
            <v>41542</v>
          </cell>
        </row>
        <row r="941">
          <cell r="A941">
            <v>41543</v>
          </cell>
        </row>
        <row r="942">
          <cell r="A942">
            <v>41544</v>
          </cell>
        </row>
        <row r="943">
          <cell r="A943">
            <v>41547</v>
          </cell>
        </row>
        <row r="944">
          <cell r="A944">
            <v>41548</v>
          </cell>
        </row>
        <row r="945">
          <cell r="A945">
            <v>41549</v>
          </cell>
        </row>
        <row r="946">
          <cell r="A946">
            <v>41550</v>
          </cell>
        </row>
        <row r="947">
          <cell r="A947">
            <v>41551</v>
          </cell>
        </row>
        <row r="948">
          <cell r="A948">
            <v>41554</v>
          </cell>
        </row>
        <row r="949">
          <cell r="A949">
            <v>41555</v>
          </cell>
        </row>
        <row r="950">
          <cell r="A950">
            <v>41556</v>
          </cell>
        </row>
        <row r="951">
          <cell r="A951">
            <v>41557</v>
          </cell>
        </row>
        <row r="952">
          <cell r="A952">
            <v>41558</v>
          </cell>
        </row>
        <row r="953">
          <cell r="A953">
            <v>41561</v>
          </cell>
        </row>
        <row r="954">
          <cell r="A954">
            <v>41562</v>
          </cell>
        </row>
        <row r="955">
          <cell r="A955">
            <v>41563</v>
          </cell>
        </row>
        <row r="956">
          <cell r="A956">
            <v>41564</v>
          </cell>
        </row>
        <row r="957">
          <cell r="A957">
            <v>41565</v>
          </cell>
        </row>
        <row r="958">
          <cell r="A958">
            <v>41568</v>
          </cell>
        </row>
        <row r="959">
          <cell r="A959">
            <v>41569</v>
          </cell>
        </row>
        <row r="960">
          <cell r="A960">
            <v>41570</v>
          </cell>
        </row>
        <row r="961">
          <cell r="A961">
            <v>41571</v>
          </cell>
        </row>
        <row r="962">
          <cell r="A962">
            <v>41572</v>
          </cell>
        </row>
        <row r="963">
          <cell r="A963">
            <v>41575</v>
          </cell>
        </row>
        <row r="964">
          <cell r="A964">
            <v>41576</v>
          </cell>
        </row>
        <row r="965">
          <cell r="A965">
            <v>41577</v>
          </cell>
        </row>
        <row r="966">
          <cell r="A966">
            <v>41578</v>
          </cell>
        </row>
        <row r="967">
          <cell r="A967">
            <v>41579</v>
          </cell>
        </row>
        <row r="968">
          <cell r="A968">
            <v>41582</v>
          </cell>
        </row>
        <row r="969">
          <cell r="A969">
            <v>41583</v>
          </cell>
        </row>
        <row r="970">
          <cell r="A970">
            <v>41584</v>
          </cell>
        </row>
        <row r="971">
          <cell r="A971">
            <v>41585</v>
          </cell>
        </row>
        <row r="972">
          <cell r="A972">
            <v>41586</v>
          </cell>
        </row>
        <row r="973">
          <cell r="A973">
            <v>41589</v>
          </cell>
        </row>
        <row r="974">
          <cell r="A974">
            <v>41590</v>
          </cell>
        </row>
        <row r="975">
          <cell r="A975">
            <v>41591</v>
          </cell>
        </row>
        <row r="976">
          <cell r="A976">
            <v>41592</v>
          </cell>
        </row>
        <row r="977">
          <cell r="A977">
            <v>41593</v>
          </cell>
        </row>
        <row r="978">
          <cell r="A978">
            <v>41596</v>
          </cell>
        </row>
        <row r="979">
          <cell r="A979">
            <v>41597</v>
          </cell>
        </row>
        <row r="980">
          <cell r="A980">
            <v>41598</v>
          </cell>
        </row>
        <row r="981">
          <cell r="A981">
            <v>41599</v>
          </cell>
        </row>
        <row r="982">
          <cell r="A982">
            <v>41600</v>
          </cell>
        </row>
        <row r="983">
          <cell r="A983">
            <v>41603</v>
          </cell>
        </row>
        <row r="984">
          <cell r="A984">
            <v>41604</v>
          </cell>
        </row>
        <row r="985">
          <cell r="A985">
            <v>41605</v>
          </cell>
        </row>
        <row r="986">
          <cell r="A986">
            <v>41607</v>
          </cell>
        </row>
        <row r="987">
          <cell r="A987">
            <v>41610</v>
          </cell>
        </row>
        <row r="988">
          <cell r="A988">
            <v>41611</v>
          </cell>
        </row>
        <row r="989">
          <cell r="A989">
            <v>41612</v>
          </cell>
        </row>
        <row r="990">
          <cell r="A990">
            <v>41613</v>
          </cell>
        </row>
        <row r="991">
          <cell r="A991">
            <v>41614</v>
          </cell>
        </row>
        <row r="992">
          <cell r="A992">
            <v>41617</v>
          </cell>
        </row>
        <row r="993">
          <cell r="A993">
            <v>41618</v>
          </cell>
        </row>
        <row r="994">
          <cell r="A994">
            <v>41619</v>
          </cell>
        </row>
        <row r="995">
          <cell r="A995">
            <v>41620</v>
          </cell>
        </row>
        <row r="996">
          <cell r="A996">
            <v>41621</v>
          </cell>
        </row>
        <row r="997">
          <cell r="A997">
            <v>41624</v>
          </cell>
        </row>
        <row r="998">
          <cell r="A998">
            <v>41625</v>
          </cell>
        </row>
        <row r="999">
          <cell r="A999">
            <v>41626</v>
          </cell>
        </row>
        <row r="1000">
          <cell r="A1000">
            <v>41627</v>
          </cell>
        </row>
        <row r="1001">
          <cell r="A1001">
            <v>41628</v>
          </cell>
        </row>
        <row r="1002">
          <cell r="A1002">
            <v>41631</v>
          </cell>
        </row>
        <row r="1003">
          <cell r="A1003">
            <v>41632</v>
          </cell>
        </row>
        <row r="1004">
          <cell r="A1004">
            <v>41634</v>
          </cell>
        </row>
        <row r="1005">
          <cell r="A1005">
            <v>41635</v>
          </cell>
        </row>
        <row r="1006">
          <cell r="A1006">
            <v>41638</v>
          </cell>
        </row>
        <row r="1007">
          <cell r="A1007">
            <v>41639</v>
          </cell>
        </row>
        <row r="1008">
          <cell r="A1008">
            <v>41641</v>
          </cell>
        </row>
        <row r="1009">
          <cell r="A1009">
            <v>41642</v>
          </cell>
        </row>
        <row r="1010">
          <cell r="A1010">
            <v>41645</v>
          </cell>
        </row>
        <row r="1011">
          <cell r="A1011">
            <v>41646</v>
          </cell>
        </row>
        <row r="1012">
          <cell r="A1012">
            <v>41647</v>
          </cell>
        </row>
        <row r="1013">
          <cell r="A1013">
            <v>41648</v>
          </cell>
        </row>
        <row r="1014">
          <cell r="A1014">
            <v>41649</v>
          </cell>
        </row>
        <row r="1015">
          <cell r="A1015">
            <v>41652</v>
          </cell>
        </row>
        <row r="1016">
          <cell r="A1016">
            <v>41653</v>
          </cell>
        </row>
        <row r="1017">
          <cell r="A1017">
            <v>41654</v>
          </cell>
        </row>
        <row r="1018">
          <cell r="A1018">
            <v>41655</v>
          </cell>
        </row>
        <row r="1019">
          <cell r="A1019">
            <v>41656</v>
          </cell>
        </row>
        <row r="1020">
          <cell r="A1020">
            <v>41660</v>
          </cell>
        </row>
        <row r="1021">
          <cell r="A1021">
            <v>41661</v>
          </cell>
        </row>
        <row r="1022">
          <cell r="A1022">
            <v>41662</v>
          </cell>
        </row>
        <row r="1023">
          <cell r="A1023">
            <v>41663</v>
          </cell>
        </row>
        <row r="1024">
          <cell r="A1024">
            <v>41666</v>
          </cell>
        </row>
        <row r="1025">
          <cell r="A1025">
            <v>41667</v>
          </cell>
        </row>
        <row r="1026">
          <cell r="A1026">
            <v>41668</v>
          </cell>
        </row>
        <row r="1027">
          <cell r="A1027">
            <v>41669</v>
          </cell>
        </row>
        <row r="1028">
          <cell r="A1028">
            <v>41670</v>
          </cell>
        </row>
        <row r="1029">
          <cell r="A1029">
            <v>41673</v>
          </cell>
        </row>
        <row r="1030">
          <cell r="A1030">
            <v>41674</v>
          </cell>
        </row>
        <row r="1031">
          <cell r="A1031">
            <v>41675</v>
          </cell>
        </row>
        <row r="1032">
          <cell r="A1032">
            <v>41676</v>
          </cell>
        </row>
        <row r="1033">
          <cell r="A1033">
            <v>41677</v>
          </cell>
        </row>
        <row r="1034">
          <cell r="A1034">
            <v>41680</v>
          </cell>
        </row>
        <row r="1035">
          <cell r="A1035">
            <v>41681</v>
          </cell>
        </row>
        <row r="1036">
          <cell r="A1036">
            <v>41682</v>
          </cell>
        </row>
        <row r="1037">
          <cell r="A1037">
            <v>41683</v>
          </cell>
        </row>
        <row r="1038">
          <cell r="A1038">
            <v>41684</v>
          </cell>
        </row>
        <row r="1039">
          <cell r="A1039">
            <v>41688</v>
          </cell>
        </row>
        <row r="1040">
          <cell r="A1040">
            <v>41689</v>
          </cell>
        </row>
        <row r="1041">
          <cell r="A1041">
            <v>41690</v>
          </cell>
        </row>
        <row r="1042">
          <cell r="A1042">
            <v>41691</v>
          </cell>
        </row>
        <row r="1043">
          <cell r="A1043">
            <v>41694</v>
          </cell>
        </row>
        <row r="1044">
          <cell r="A1044">
            <v>41695</v>
          </cell>
        </row>
        <row r="1045">
          <cell r="A1045">
            <v>41696</v>
          </cell>
        </row>
        <row r="1046">
          <cell r="A1046">
            <v>41697</v>
          </cell>
        </row>
        <row r="1047">
          <cell r="A1047">
            <v>41698</v>
          </cell>
        </row>
        <row r="1048">
          <cell r="A1048">
            <v>41701</v>
          </cell>
        </row>
        <row r="1049">
          <cell r="A1049">
            <v>41702</v>
          </cell>
        </row>
        <row r="1050">
          <cell r="A1050">
            <v>41703</v>
          </cell>
        </row>
        <row r="1051">
          <cell r="A1051">
            <v>41704</v>
          </cell>
        </row>
        <row r="1052">
          <cell r="A1052">
            <v>41705</v>
          </cell>
        </row>
        <row r="1053">
          <cell r="A1053">
            <v>41708</v>
          </cell>
        </row>
        <row r="1054">
          <cell r="A1054">
            <v>41709</v>
          </cell>
        </row>
        <row r="1055">
          <cell r="A1055">
            <v>41710</v>
          </cell>
        </row>
        <row r="1056">
          <cell r="A1056">
            <v>41711</v>
          </cell>
        </row>
        <row r="1057">
          <cell r="A1057">
            <v>41712</v>
          </cell>
        </row>
        <row r="1058">
          <cell r="A1058">
            <v>41715</v>
          </cell>
        </row>
        <row r="1059">
          <cell r="A1059">
            <v>41716</v>
          </cell>
        </row>
        <row r="1060">
          <cell r="A1060">
            <v>41717</v>
          </cell>
        </row>
        <row r="1061">
          <cell r="A1061">
            <v>41718</v>
          </cell>
        </row>
        <row r="1062">
          <cell r="A1062">
            <v>41719</v>
          </cell>
        </row>
        <row r="1063">
          <cell r="A1063">
            <v>41722</v>
          </cell>
        </row>
        <row r="1064">
          <cell r="A1064">
            <v>41723</v>
          </cell>
        </row>
        <row r="1065">
          <cell r="A1065">
            <v>41724</v>
          </cell>
        </row>
        <row r="1066">
          <cell r="A1066">
            <v>41725</v>
          </cell>
        </row>
        <row r="1067">
          <cell r="A1067">
            <v>41726</v>
          </cell>
        </row>
        <row r="1068">
          <cell r="A1068">
            <v>41729</v>
          </cell>
        </row>
        <row r="1069">
          <cell r="A1069">
            <v>41730</v>
          </cell>
        </row>
        <row r="1070">
          <cell r="A1070">
            <v>41731</v>
          </cell>
        </row>
        <row r="1071">
          <cell r="A1071">
            <v>41732</v>
          </cell>
        </row>
        <row r="1072">
          <cell r="A1072">
            <v>41733</v>
          </cell>
        </row>
        <row r="1073">
          <cell r="A1073">
            <v>41736</v>
          </cell>
        </row>
        <row r="1074">
          <cell r="A1074">
            <v>41737</v>
          </cell>
        </row>
        <row r="1075">
          <cell r="A1075">
            <v>41738</v>
          </cell>
        </row>
        <row r="1076">
          <cell r="A1076">
            <v>41739</v>
          </cell>
        </row>
        <row r="1077">
          <cell r="A1077">
            <v>41740</v>
          </cell>
        </row>
        <row r="1078">
          <cell r="A1078">
            <v>41743</v>
          </cell>
        </row>
        <row r="1079">
          <cell r="A1079">
            <v>41744</v>
          </cell>
        </row>
        <row r="1080">
          <cell r="A1080">
            <v>41745</v>
          </cell>
        </row>
        <row r="1081">
          <cell r="A1081">
            <v>41746</v>
          </cell>
        </row>
        <row r="1082">
          <cell r="A1082">
            <v>41750</v>
          </cell>
        </row>
        <row r="1083">
          <cell r="A1083">
            <v>41751</v>
          </cell>
        </row>
        <row r="1084">
          <cell r="A1084">
            <v>41752</v>
          </cell>
        </row>
        <row r="1085">
          <cell r="A1085">
            <v>41753</v>
          </cell>
        </row>
        <row r="1086">
          <cell r="A1086">
            <v>41754</v>
          </cell>
        </row>
        <row r="1087">
          <cell r="A1087">
            <v>41757</v>
          </cell>
        </row>
        <row r="1088">
          <cell r="A1088">
            <v>41758</v>
          </cell>
        </row>
        <row r="1089">
          <cell r="A1089">
            <v>41759</v>
          </cell>
        </row>
        <row r="1090">
          <cell r="A1090">
            <v>41760</v>
          </cell>
        </row>
        <row r="1091">
          <cell r="A1091">
            <v>41761</v>
          </cell>
        </row>
        <row r="1092">
          <cell r="A1092">
            <v>41764</v>
          </cell>
        </row>
        <row r="1093">
          <cell r="A1093">
            <v>41765</v>
          </cell>
        </row>
        <row r="1094">
          <cell r="A1094">
            <v>41766</v>
          </cell>
        </row>
        <row r="1095">
          <cell r="A1095">
            <v>41767</v>
          </cell>
        </row>
        <row r="1096">
          <cell r="A1096">
            <v>41768</v>
          </cell>
        </row>
        <row r="1097">
          <cell r="A1097">
            <v>41771</v>
          </cell>
        </row>
        <row r="1098">
          <cell r="A1098">
            <v>41772</v>
          </cell>
        </row>
        <row r="1099">
          <cell r="A1099">
            <v>41773</v>
          </cell>
        </row>
        <row r="1100">
          <cell r="A1100">
            <v>41774</v>
          </cell>
        </row>
        <row r="1101">
          <cell r="A1101">
            <v>41775</v>
          </cell>
        </row>
        <row r="1102">
          <cell r="A1102">
            <v>41778</v>
          </cell>
        </row>
        <row r="1103">
          <cell r="A1103">
            <v>41779</v>
          </cell>
        </row>
        <row r="1104">
          <cell r="A1104">
            <v>41780</v>
          </cell>
        </row>
        <row r="1105">
          <cell r="A1105">
            <v>41781</v>
          </cell>
        </row>
        <row r="1106">
          <cell r="A1106">
            <v>41782</v>
          </cell>
        </row>
        <row r="1107">
          <cell r="A1107">
            <v>41786</v>
          </cell>
        </row>
        <row r="1108">
          <cell r="A1108">
            <v>41787</v>
          </cell>
        </row>
        <row r="1109">
          <cell r="A1109">
            <v>41788</v>
          </cell>
        </row>
        <row r="1110">
          <cell r="A1110">
            <v>41789</v>
          </cell>
        </row>
        <row r="1111">
          <cell r="A1111">
            <v>41792</v>
          </cell>
        </row>
        <row r="1112">
          <cell r="A1112">
            <v>41793</v>
          </cell>
        </row>
        <row r="1113">
          <cell r="A1113">
            <v>41794</v>
          </cell>
        </row>
        <row r="1114">
          <cell r="A1114">
            <v>41795</v>
          </cell>
        </row>
        <row r="1115">
          <cell r="A1115">
            <v>41796</v>
          </cell>
        </row>
        <row r="1116">
          <cell r="A1116">
            <v>41799</v>
          </cell>
        </row>
        <row r="1117">
          <cell r="A1117">
            <v>41800</v>
          </cell>
        </row>
        <row r="1118">
          <cell r="A1118">
            <v>41801</v>
          </cell>
        </row>
        <row r="1119">
          <cell r="A1119">
            <v>41802</v>
          </cell>
        </row>
        <row r="1120">
          <cell r="A1120">
            <v>41803</v>
          </cell>
        </row>
        <row r="1121">
          <cell r="A1121">
            <v>41806</v>
          </cell>
        </row>
        <row r="1122">
          <cell r="A1122">
            <v>41807</v>
          </cell>
        </row>
        <row r="1123">
          <cell r="A1123">
            <v>41808</v>
          </cell>
        </row>
        <row r="1124">
          <cell r="A1124">
            <v>41809</v>
          </cell>
        </row>
        <row r="1125">
          <cell r="A1125">
            <v>41810</v>
          </cell>
        </row>
        <row r="1126">
          <cell r="A1126">
            <v>41813</v>
          </cell>
        </row>
        <row r="1127">
          <cell r="A1127">
            <v>41814</v>
          </cell>
        </row>
        <row r="1128">
          <cell r="A1128">
            <v>41815</v>
          </cell>
        </row>
        <row r="1129">
          <cell r="A1129">
            <v>41816</v>
          </cell>
        </row>
        <row r="1130">
          <cell r="A1130">
            <v>41817</v>
          </cell>
        </row>
        <row r="1131">
          <cell r="A1131">
            <v>41820</v>
          </cell>
        </row>
        <row r="1132">
          <cell r="A1132">
            <v>41821</v>
          </cell>
        </row>
        <row r="1133">
          <cell r="A1133">
            <v>41822</v>
          </cell>
        </row>
        <row r="1134">
          <cell r="A1134">
            <v>41823</v>
          </cell>
        </row>
        <row r="1135">
          <cell r="A1135">
            <v>41827</v>
          </cell>
        </row>
        <row r="1136">
          <cell r="A1136">
            <v>41828</v>
          </cell>
        </row>
        <row r="1137">
          <cell r="A1137">
            <v>41829</v>
          </cell>
        </row>
        <row r="1138">
          <cell r="A1138">
            <v>41830</v>
          </cell>
        </row>
        <row r="1139">
          <cell r="A1139">
            <v>41831</v>
          </cell>
        </row>
        <row r="1140">
          <cell r="A1140">
            <v>41834</v>
          </cell>
        </row>
        <row r="1141">
          <cell r="A1141">
            <v>41835</v>
          </cell>
        </row>
        <row r="1142">
          <cell r="A1142">
            <v>41836</v>
          </cell>
        </row>
        <row r="1143">
          <cell r="A1143">
            <v>41837</v>
          </cell>
        </row>
        <row r="1144">
          <cell r="A1144">
            <v>41838</v>
          </cell>
        </row>
        <row r="1145">
          <cell r="A1145">
            <v>41841</v>
          </cell>
        </row>
        <row r="1146">
          <cell r="A1146">
            <v>41842</v>
          </cell>
        </row>
        <row r="1147">
          <cell r="A1147">
            <v>41843</v>
          </cell>
        </row>
        <row r="1148">
          <cell r="A1148">
            <v>41844</v>
          </cell>
        </row>
        <row r="1149">
          <cell r="A1149">
            <v>41845</v>
          </cell>
        </row>
        <row r="1150">
          <cell r="A1150">
            <v>41848</v>
          </cell>
        </row>
        <row r="1151">
          <cell r="A1151">
            <v>41849</v>
          </cell>
        </row>
        <row r="1152">
          <cell r="A1152">
            <v>41850</v>
          </cell>
        </row>
        <row r="1153">
          <cell r="A1153">
            <v>41851</v>
          </cell>
        </row>
        <row r="1154">
          <cell r="A1154">
            <v>41852</v>
          </cell>
        </row>
        <row r="1155">
          <cell r="A1155">
            <v>41855</v>
          </cell>
        </row>
        <row r="1156">
          <cell r="A1156">
            <v>41856</v>
          </cell>
        </row>
        <row r="1157">
          <cell r="A1157">
            <v>41857</v>
          </cell>
        </row>
        <row r="1158">
          <cell r="A1158">
            <v>41858</v>
          </cell>
        </row>
        <row r="1159">
          <cell r="A1159">
            <v>41859</v>
          </cell>
        </row>
        <row r="1160">
          <cell r="A1160">
            <v>41862</v>
          </cell>
        </row>
        <row r="1161">
          <cell r="A1161">
            <v>41863</v>
          </cell>
        </row>
        <row r="1162">
          <cell r="A1162">
            <v>41864</v>
          </cell>
        </row>
        <row r="1163">
          <cell r="A1163">
            <v>41865</v>
          </cell>
        </row>
        <row r="1164">
          <cell r="A1164">
            <v>41866</v>
          </cell>
        </row>
        <row r="1165">
          <cell r="A1165">
            <v>41869</v>
          </cell>
        </row>
        <row r="1166">
          <cell r="A1166">
            <v>41870</v>
          </cell>
        </row>
        <row r="1167">
          <cell r="A1167">
            <v>41871</v>
          </cell>
        </row>
        <row r="1168">
          <cell r="A1168">
            <v>41872</v>
          </cell>
        </row>
        <row r="1169">
          <cell r="A1169">
            <v>41873</v>
          </cell>
        </row>
        <row r="1170">
          <cell r="A1170">
            <v>41876</v>
          </cell>
        </row>
        <row r="1171">
          <cell r="A1171">
            <v>41877</v>
          </cell>
        </row>
        <row r="1172">
          <cell r="A1172">
            <v>41878</v>
          </cell>
        </row>
        <row r="1173">
          <cell r="A1173">
            <v>41879</v>
          </cell>
        </row>
        <row r="1174">
          <cell r="A1174">
            <v>41880</v>
          </cell>
        </row>
        <row r="1175">
          <cell r="A1175">
            <v>41884</v>
          </cell>
        </row>
        <row r="1176">
          <cell r="A1176">
            <v>41885</v>
          </cell>
        </row>
        <row r="1177">
          <cell r="A1177">
            <v>41886</v>
          </cell>
        </row>
        <row r="1178">
          <cell r="A1178">
            <v>41887</v>
          </cell>
        </row>
        <row r="1179">
          <cell r="A1179">
            <v>41890</v>
          </cell>
        </row>
        <row r="1180">
          <cell r="A1180">
            <v>41891</v>
          </cell>
        </row>
        <row r="1181">
          <cell r="A1181">
            <v>41892</v>
          </cell>
        </row>
        <row r="1182">
          <cell r="A1182">
            <v>41893</v>
          </cell>
        </row>
        <row r="1183">
          <cell r="A1183">
            <v>41894</v>
          </cell>
        </row>
        <row r="1184">
          <cell r="A1184">
            <v>41897</v>
          </cell>
        </row>
        <row r="1185">
          <cell r="A1185">
            <v>41898</v>
          </cell>
        </row>
        <row r="1186">
          <cell r="A1186">
            <v>41899</v>
          </cell>
        </row>
        <row r="1187">
          <cell r="A1187">
            <v>41900</v>
          </cell>
        </row>
        <row r="1188">
          <cell r="A1188">
            <v>41901</v>
          </cell>
        </row>
        <row r="1189">
          <cell r="A1189">
            <v>41904</v>
          </cell>
        </row>
        <row r="1190">
          <cell r="A1190">
            <v>41905</v>
          </cell>
        </row>
        <row r="1191">
          <cell r="A1191">
            <v>41906</v>
          </cell>
        </row>
        <row r="1192">
          <cell r="A1192">
            <v>41907</v>
          </cell>
        </row>
        <row r="1193">
          <cell r="A1193">
            <v>41908</v>
          </cell>
        </row>
        <row r="1194">
          <cell r="A1194">
            <v>41911</v>
          </cell>
        </row>
        <row r="1195">
          <cell r="A1195">
            <v>41912</v>
          </cell>
        </row>
        <row r="1196">
          <cell r="A1196">
            <v>41913</v>
          </cell>
        </row>
        <row r="1197">
          <cell r="A1197">
            <v>41914</v>
          </cell>
        </row>
        <row r="1198">
          <cell r="A1198">
            <v>41915</v>
          </cell>
        </row>
        <row r="1199">
          <cell r="A1199">
            <v>41918</v>
          </cell>
        </row>
        <row r="1200">
          <cell r="A1200">
            <v>41919</v>
          </cell>
        </row>
        <row r="1201">
          <cell r="A1201">
            <v>41920</v>
          </cell>
        </row>
        <row r="1202">
          <cell r="A1202">
            <v>41921</v>
          </cell>
        </row>
        <row r="1203">
          <cell r="A1203">
            <v>41922</v>
          </cell>
        </row>
        <row r="1204">
          <cell r="A1204">
            <v>41925</v>
          </cell>
        </row>
        <row r="1205">
          <cell r="A1205">
            <v>41926</v>
          </cell>
        </row>
        <row r="1206">
          <cell r="A1206">
            <v>41927</v>
          </cell>
        </row>
        <row r="1207">
          <cell r="A1207">
            <v>41928</v>
          </cell>
        </row>
        <row r="1208">
          <cell r="A1208">
            <v>41929</v>
          </cell>
        </row>
        <row r="1209">
          <cell r="A1209">
            <v>41932</v>
          </cell>
        </row>
        <row r="1210">
          <cell r="A1210">
            <v>41933</v>
          </cell>
        </row>
        <row r="1211">
          <cell r="A1211">
            <v>41934</v>
          </cell>
        </row>
        <row r="1212">
          <cell r="A1212">
            <v>41935</v>
          </cell>
        </row>
        <row r="1213">
          <cell r="A1213">
            <v>41936</v>
          </cell>
        </row>
        <row r="1214">
          <cell r="A1214">
            <v>41939</v>
          </cell>
        </row>
        <row r="1215">
          <cell r="A1215">
            <v>41940</v>
          </cell>
        </row>
        <row r="1216">
          <cell r="A1216">
            <v>41941</v>
          </cell>
        </row>
        <row r="1217">
          <cell r="A1217">
            <v>41942</v>
          </cell>
        </row>
        <row r="1218">
          <cell r="A1218">
            <v>41943</v>
          </cell>
        </row>
        <row r="1219">
          <cell r="A1219">
            <v>41946</v>
          </cell>
        </row>
        <row r="1220">
          <cell r="A1220">
            <v>41947</v>
          </cell>
        </row>
        <row r="1221">
          <cell r="A1221">
            <v>41948</v>
          </cell>
        </row>
        <row r="1222">
          <cell r="A1222">
            <v>41949</v>
          </cell>
        </row>
        <row r="1223">
          <cell r="A1223">
            <v>41950</v>
          </cell>
        </row>
        <row r="1224">
          <cell r="A1224">
            <v>41953</v>
          </cell>
        </row>
        <row r="1225">
          <cell r="A1225">
            <v>41954</v>
          </cell>
        </row>
        <row r="1226">
          <cell r="A1226">
            <v>41955</v>
          </cell>
        </row>
        <row r="1227">
          <cell r="A1227">
            <v>41956</v>
          </cell>
        </row>
        <row r="1228">
          <cell r="A1228">
            <v>41957</v>
          </cell>
        </row>
        <row r="1229">
          <cell r="A1229">
            <v>41960</v>
          </cell>
        </row>
        <row r="1230">
          <cell r="A1230">
            <v>41961</v>
          </cell>
        </row>
        <row r="1231">
          <cell r="A1231">
            <v>41962</v>
          </cell>
        </row>
        <row r="1232">
          <cell r="A1232">
            <v>41963</v>
          </cell>
        </row>
        <row r="1233">
          <cell r="A1233">
            <v>41964</v>
          </cell>
        </row>
        <row r="1234">
          <cell r="A1234">
            <v>41967</v>
          </cell>
        </row>
        <row r="1235">
          <cell r="A1235">
            <v>41968</v>
          </cell>
        </row>
        <row r="1236">
          <cell r="A1236">
            <v>41969</v>
          </cell>
        </row>
        <row r="1237">
          <cell r="A1237">
            <v>41971</v>
          </cell>
        </row>
        <row r="1238">
          <cell r="A1238">
            <v>41974</v>
          </cell>
        </row>
        <row r="1239">
          <cell r="A1239">
            <v>41975</v>
          </cell>
        </row>
        <row r="1240">
          <cell r="A1240">
            <v>41976</v>
          </cell>
        </row>
        <row r="1241">
          <cell r="A1241">
            <v>41977</v>
          </cell>
        </row>
        <row r="1242">
          <cell r="A1242">
            <v>41978</v>
          </cell>
        </row>
        <row r="1243">
          <cell r="A1243">
            <v>41981</v>
          </cell>
        </row>
        <row r="1244">
          <cell r="A1244">
            <v>41982</v>
          </cell>
        </row>
        <row r="1245">
          <cell r="A1245">
            <v>41983</v>
          </cell>
        </row>
        <row r="1246">
          <cell r="A1246">
            <v>41984</v>
          </cell>
        </row>
        <row r="1247">
          <cell r="A1247">
            <v>41985</v>
          </cell>
        </row>
        <row r="1248">
          <cell r="A1248">
            <v>41988</v>
          </cell>
        </row>
        <row r="1249">
          <cell r="A1249">
            <v>41989</v>
          </cell>
        </row>
        <row r="1250">
          <cell r="A1250">
            <v>41990</v>
          </cell>
        </row>
        <row r="1251">
          <cell r="A1251">
            <v>41991</v>
          </cell>
        </row>
        <row r="1252">
          <cell r="A1252">
            <v>41992</v>
          </cell>
        </row>
        <row r="1253">
          <cell r="A1253">
            <v>41995</v>
          </cell>
        </row>
        <row r="1254">
          <cell r="A1254">
            <v>41996</v>
          </cell>
        </row>
        <row r="1255">
          <cell r="A1255">
            <v>41997</v>
          </cell>
        </row>
        <row r="1256">
          <cell r="A1256">
            <v>41999</v>
          </cell>
        </row>
        <row r="1257">
          <cell r="A1257">
            <v>42002</v>
          </cell>
        </row>
        <row r="1258">
          <cell r="A1258">
            <v>42003</v>
          </cell>
        </row>
        <row r="1259">
          <cell r="A1259">
            <v>42004</v>
          </cell>
        </row>
        <row r="1260">
          <cell r="A1260">
            <v>42006</v>
          </cell>
        </row>
        <row r="1261">
          <cell r="A1261">
            <v>42009</v>
          </cell>
        </row>
        <row r="1262">
          <cell r="A1262">
            <v>42010</v>
          </cell>
        </row>
        <row r="1263">
          <cell r="A1263">
            <v>42011</v>
          </cell>
        </row>
        <row r="1264">
          <cell r="A1264">
            <v>42012</v>
          </cell>
        </row>
        <row r="1265">
          <cell r="A1265">
            <v>42013</v>
          </cell>
        </row>
        <row r="1266">
          <cell r="A1266">
            <v>42016</v>
          </cell>
        </row>
        <row r="1267">
          <cell r="A1267">
            <v>42017</v>
          </cell>
        </row>
        <row r="1268">
          <cell r="A1268">
            <v>42018</v>
          </cell>
        </row>
        <row r="1269">
          <cell r="A1269">
            <v>42019</v>
          </cell>
        </row>
        <row r="1270">
          <cell r="A1270">
            <v>42020</v>
          </cell>
        </row>
        <row r="1271">
          <cell r="A1271">
            <v>42024</v>
          </cell>
        </row>
        <row r="1272">
          <cell r="A1272">
            <v>42025</v>
          </cell>
        </row>
        <row r="1273">
          <cell r="A1273">
            <v>42026</v>
          </cell>
        </row>
        <row r="1274">
          <cell r="A1274">
            <v>42027</v>
          </cell>
        </row>
        <row r="1275">
          <cell r="A1275">
            <v>42030</v>
          </cell>
        </row>
        <row r="1276">
          <cell r="A1276">
            <v>42031</v>
          </cell>
        </row>
        <row r="1277">
          <cell r="A1277">
            <v>42032</v>
          </cell>
        </row>
        <row r="1278">
          <cell r="A1278">
            <v>42033</v>
          </cell>
        </row>
        <row r="1279">
          <cell r="A1279">
            <v>42034</v>
          </cell>
        </row>
        <row r="1280">
          <cell r="A1280">
            <v>42037</v>
          </cell>
        </row>
        <row r="1281">
          <cell r="A1281">
            <v>42038</v>
          </cell>
        </row>
        <row r="1282">
          <cell r="A1282">
            <v>42039</v>
          </cell>
        </row>
        <row r="1283">
          <cell r="A1283">
            <v>42040</v>
          </cell>
        </row>
        <row r="1284">
          <cell r="A1284">
            <v>42041</v>
          </cell>
        </row>
        <row r="1285">
          <cell r="A1285">
            <v>42044</v>
          </cell>
        </row>
        <row r="1286">
          <cell r="A1286">
            <v>42045</v>
          </cell>
        </row>
        <row r="1287">
          <cell r="A1287">
            <v>42046</v>
          </cell>
        </row>
        <row r="1288">
          <cell r="A1288">
            <v>42047</v>
          </cell>
        </row>
        <row r="1289">
          <cell r="A1289">
            <v>42048</v>
          </cell>
        </row>
        <row r="1290">
          <cell r="A1290">
            <v>42052</v>
          </cell>
        </row>
        <row r="1291">
          <cell r="A1291">
            <v>42053</v>
          </cell>
        </row>
        <row r="1292">
          <cell r="A1292">
            <v>42054</v>
          </cell>
        </row>
        <row r="1293">
          <cell r="A1293">
            <v>42055</v>
          </cell>
        </row>
        <row r="1294">
          <cell r="A1294">
            <v>42058</v>
          </cell>
        </row>
        <row r="1295">
          <cell r="A1295">
            <v>42059</v>
          </cell>
        </row>
        <row r="1296">
          <cell r="A1296">
            <v>42060</v>
          </cell>
        </row>
        <row r="1297">
          <cell r="A1297">
            <v>42061</v>
          </cell>
        </row>
        <row r="1298">
          <cell r="A1298">
            <v>42062</v>
          </cell>
        </row>
        <row r="1299">
          <cell r="A1299">
            <v>42065</v>
          </cell>
        </row>
        <row r="1300">
          <cell r="A1300">
            <v>42066</v>
          </cell>
        </row>
        <row r="1301">
          <cell r="A1301">
            <v>42067</v>
          </cell>
        </row>
        <row r="1302">
          <cell r="A1302">
            <v>42068</v>
          </cell>
        </row>
        <row r="1303">
          <cell r="A1303">
            <v>42069</v>
          </cell>
        </row>
        <row r="1304">
          <cell r="A1304">
            <v>42072</v>
          </cell>
        </row>
        <row r="1305">
          <cell r="A1305">
            <v>42073</v>
          </cell>
        </row>
        <row r="1306">
          <cell r="A1306">
            <v>42074</v>
          </cell>
        </row>
        <row r="1307">
          <cell r="A1307">
            <v>42075</v>
          </cell>
        </row>
        <row r="1308">
          <cell r="A1308">
            <v>42076</v>
          </cell>
        </row>
        <row r="1309">
          <cell r="A1309">
            <v>42079</v>
          </cell>
        </row>
        <row r="1310">
          <cell r="A1310">
            <v>42080</v>
          </cell>
        </row>
        <row r="1311">
          <cell r="A1311">
            <v>42081</v>
          </cell>
        </row>
        <row r="1312">
          <cell r="A1312">
            <v>42082</v>
          </cell>
        </row>
        <row r="1313">
          <cell r="A1313">
            <v>42083</v>
          </cell>
        </row>
        <row r="1314">
          <cell r="A1314">
            <v>42086</v>
          </cell>
        </row>
        <row r="1315">
          <cell r="A1315">
            <v>42087</v>
          </cell>
        </row>
        <row r="1316">
          <cell r="A1316">
            <v>42088</v>
          </cell>
        </row>
        <row r="1317">
          <cell r="A1317">
            <v>42089</v>
          </cell>
        </row>
        <row r="1318">
          <cell r="A1318">
            <v>42090</v>
          </cell>
        </row>
        <row r="1319">
          <cell r="A1319">
            <v>42093</v>
          </cell>
        </row>
        <row r="1320">
          <cell r="A1320">
            <v>42094</v>
          </cell>
        </row>
        <row r="1321">
          <cell r="A1321">
            <v>42095</v>
          </cell>
        </row>
        <row r="1322">
          <cell r="A1322">
            <v>42096</v>
          </cell>
        </row>
        <row r="1323">
          <cell r="A1323">
            <v>42100</v>
          </cell>
        </row>
        <row r="1324">
          <cell r="A1324">
            <v>42101</v>
          </cell>
        </row>
        <row r="1325">
          <cell r="A1325">
            <v>42102</v>
          </cell>
        </row>
        <row r="1326">
          <cell r="A1326">
            <v>42103</v>
          </cell>
        </row>
        <row r="1327">
          <cell r="A1327">
            <v>42104</v>
          </cell>
        </row>
        <row r="1328">
          <cell r="A1328">
            <v>42107</v>
          </cell>
        </row>
        <row r="1329">
          <cell r="A1329">
            <v>42108</v>
          </cell>
        </row>
        <row r="1330">
          <cell r="A1330">
            <v>42109</v>
          </cell>
        </row>
        <row r="1331">
          <cell r="A1331">
            <v>42110</v>
          </cell>
        </row>
        <row r="1332">
          <cell r="A1332">
            <v>42111</v>
          </cell>
        </row>
        <row r="1333">
          <cell r="A1333">
            <v>42114</v>
          </cell>
        </row>
        <row r="1334">
          <cell r="A1334">
            <v>42115</v>
          </cell>
        </row>
        <row r="1335">
          <cell r="A1335">
            <v>42116</v>
          </cell>
        </row>
        <row r="1336">
          <cell r="A1336">
            <v>42117</v>
          </cell>
        </row>
        <row r="1337">
          <cell r="A1337">
            <v>42118</v>
          </cell>
        </row>
        <row r="1338">
          <cell r="A1338">
            <v>42121</v>
          </cell>
        </row>
        <row r="1339">
          <cell r="A1339">
            <v>42122</v>
          </cell>
        </row>
        <row r="1340">
          <cell r="A1340">
            <v>42123</v>
          </cell>
        </row>
        <row r="1341">
          <cell r="A1341">
            <v>42124</v>
          </cell>
        </row>
        <row r="1342">
          <cell r="A1342">
            <v>42125</v>
          </cell>
        </row>
        <row r="1343">
          <cell r="A1343">
            <v>42128</v>
          </cell>
        </row>
        <row r="1344">
          <cell r="A1344">
            <v>42129</v>
          </cell>
        </row>
        <row r="1345">
          <cell r="A1345">
            <v>42130</v>
          </cell>
        </row>
        <row r="1346">
          <cell r="A1346">
            <v>42131</v>
          </cell>
        </row>
        <row r="1347">
          <cell r="A1347">
            <v>42132</v>
          </cell>
        </row>
        <row r="1348">
          <cell r="A1348">
            <v>42135</v>
          </cell>
        </row>
        <row r="1349">
          <cell r="A1349">
            <v>42136</v>
          </cell>
        </row>
        <row r="1350">
          <cell r="A1350">
            <v>42137</v>
          </cell>
        </row>
        <row r="1351">
          <cell r="A1351">
            <v>42138</v>
          </cell>
        </row>
        <row r="1352">
          <cell r="A1352">
            <v>42139</v>
          </cell>
        </row>
        <row r="1353">
          <cell r="A1353">
            <v>42142</v>
          </cell>
        </row>
        <row r="1354">
          <cell r="A1354">
            <v>42143</v>
          </cell>
        </row>
        <row r="1355">
          <cell r="A1355">
            <v>42144</v>
          </cell>
        </row>
        <row r="1356">
          <cell r="A1356">
            <v>42145</v>
          </cell>
        </row>
        <row r="1357">
          <cell r="A1357">
            <v>42146</v>
          </cell>
        </row>
        <row r="1358">
          <cell r="A1358">
            <v>42150</v>
          </cell>
        </row>
        <row r="1359">
          <cell r="A1359">
            <v>42151</v>
          </cell>
        </row>
        <row r="1360">
          <cell r="A1360">
            <v>42152</v>
          </cell>
        </row>
        <row r="1361">
          <cell r="A1361">
            <v>42153</v>
          </cell>
        </row>
        <row r="1362">
          <cell r="A1362">
            <v>42156</v>
          </cell>
        </row>
        <row r="1363">
          <cell r="A1363">
            <v>42157</v>
          </cell>
        </row>
        <row r="1364">
          <cell r="A1364">
            <v>42158</v>
          </cell>
        </row>
        <row r="1365">
          <cell r="A1365">
            <v>42159</v>
          </cell>
        </row>
        <row r="1366">
          <cell r="A1366">
            <v>42160</v>
          </cell>
        </row>
        <row r="1367">
          <cell r="A1367">
            <v>42163</v>
          </cell>
        </row>
        <row r="1368">
          <cell r="A1368">
            <v>42164</v>
          </cell>
        </row>
        <row r="1369">
          <cell r="A1369">
            <v>42165</v>
          </cell>
        </row>
        <row r="1370">
          <cell r="A1370">
            <v>42166</v>
          </cell>
        </row>
        <row r="1371">
          <cell r="A1371">
            <v>42167</v>
          </cell>
        </row>
        <row r="1372">
          <cell r="A1372">
            <v>42170</v>
          </cell>
        </row>
        <row r="1373">
          <cell r="A1373">
            <v>42171</v>
          </cell>
        </row>
        <row r="1374">
          <cell r="A1374">
            <v>42172</v>
          </cell>
        </row>
        <row r="1375">
          <cell r="A1375">
            <v>42173</v>
          </cell>
        </row>
        <row r="1376">
          <cell r="A1376">
            <v>42174</v>
          </cell>
        </row>
        <row r="1377">
          <cell r="A1377">
            <v>42177</v>
          </cell>
        </row>
        <row r="1378">
          <cell r="A1378">
            <v>42178</v>
          </cell>
        </row>
        <row r="1379">
          <cell r="A1379">
            <v>42179</v>
          </cell>
        </row>
        <row r="1380">
          <cell r="A1380">
            <v>42180</v>
          </cell>
        </row>
        <row r="1381">
          <cell r="A1381">
            <v>42181</v>
          </cell>
        </row>
        <row r="1382">
          <cell r="A1382">
            <v>42184</v>
          </cell>
        </row>
        <row r="1383">
          <cell r="A1383">
            <v>42185</v>
          </cell>
        </row>
        <row r="1384">
          <cell r="A1384">
            <v>42186</v>
          </cell>
        </row>
        <row r="1385">
          <cell r="A1385">
            <v>42187</v>
          </cell>
        </row>
        <row r="1386">
          <cell r="A1386">
            <v>42191</v>
          </cell>
        </row>
        <row r="1387">
          <cell r="A1387">
            <v>42192</v>
          </cell>
        </row>
        <row r="1388">
          <cell r="A1388">
            <v>42193</v>
          </cell>
        </row>
        <row r="1389">
          <cell r="A1389">
            <v>42194</v>
          </cell>
        </row>
        <row r="1390">
          <cell r="A1390">
            <v>42195</v>
          </cell>
        </row>
        <row r="1391">
          <cell r="A1391">
            <v>42198</v>
          </cell>
        </row>
        <row r="1392">
          <cell r="A1392">
            <v>42199</v>
          </cell>
        </row>
        <row r="1393">
          <cell r="A1393">
            <v>42200</v>
          </cell>
        </row>
        <row r="1394">
          <cell r="A1394">
            <v>42201</v>
          </cell>
        </row>
        <row r="1395">
          <cell r="A1395">
            <v>42202</v>
          </cell>
        </row>
        <row r="1396">
          <cell r="A1396">
            <v>42205</v>
          </cell>
        </row>
        <row r="1397">
          <cell r="A1397">
            <v>42206</v>
          </cell>
        </row>
        <row r="1398">
          <cell r="A1398">
            <v>42207</v>
          </cell>
        </row>
        <row r="1399">
          <cell r="A1399">
            <v>42208</v>
          </cell>
        </row>
        <row r="1400">
          <cell r="A1400">
            <v>42209</v>
          </cell>
        </row>
        <row r="1401">
          <cell r="A1401">
            <v>42212</v>
          </cell>
        </row>
        <row r="1402">
          <cell r="A1402">
            <v>42213</v>
          </cell>
        </row>
        <row r="1403">
          <cell r="A1403">
            <v>42214</v>
          </cell>
        </row>
        <row r="1404">
          <cell r="A1404">
            <v>42215</v>
          </cell>
        </row>
        <row r="1405">
          <cell r="A1405">
            <v>42216</v>
          </cell>
        </row>
        <row r="1406">
          <cell r="A1406">
            <v>42219</v>
          </cell>
        </row>
        <row r="1407">
          <cell r="A1407">
            <v>42220</v>
          </cell>
        </row>
        <row r="1408">
          <cell r="A1408">
            <v>42221</v>
          </cell>
        </row>
        <row r="1409">
          <cell r="A1409">
            <v>42222</v>
          </cell>
        </row>
        <row r="1410">
          <cell r="A1410">
            <v>42223</v>
          </cell>
        </row>
        <row r="1411">
          <cell r="A1411">
            <v>42226</v>
          </cell>
        </row>
        <row r="1412">
          <cell r="A1412">
            <v>42227</v>
          </cell>
        </row>
        <row r="1413">
          <cell r="A1413">
            <v>42228</v>
          </cell>
        </row>
        <row r="1414">
          <cell r="A1414">
            <v>42229</v>
          </cell>
        </row>
        <row r="1415">
          <cell r="A1415">
            <v>42230</v>
          </cell>
        </row>
        <row r="1416">
          <cell r="A1416">
            <v>42233</v>
          </cell>
        </row>
        <row r="1417">
          <cell r="A1417">
            <v>42234</v>
          </cell>
        </row>
        <row r="1418">
          <cell r="A1418">
            <v>42235</v>
          </cell>
        </row>
        <row r="1419">
          <cell r="A1419">
            <v>42236</v>
          </cell>
        </row>
        <row r="1420">
          <cell r="A1420">
            <v>42237</v>
          </cell>
        </row>
        <row r="1421">
          <cell r="A1421">
            <v>42240</v>
          </cell>
        </row>
        <row r="1422">
          <cell r="A1422">
            <v>42241</v>
          </cell>
        </row>
        <row r="1423">
          <cell r="A1423">
            <v>42242</v>
          </cell>
        </row>
        <row r="1424">
          <cell r="A1424">
            <v>42243</v>
          </cell>
        </row>
        <row r="1425">
          <cell r="A1425">
            <v>42244</v>
          </cell>
        </row>
        <row r="1426">
          <cell r="A1426">
            <v>42247</v>
          </cell>
        </row>
        <row r="1427">
          <cell r="A1427">
            <v>42248</v>
          </cell>
        </row>
        <row r="1428">
          <cell r="A1428">
            <v>42249</v>
          </cell>
        </row>
        <row r="1429">
          <cell r="A1429">
            <v>42250</v>
          </cell>
        </row>
        <row r="1430">
          <cell r="A1430">
            <v>42251</v>
          </cell>
        </row>
        <row r="1431">
          <cell r="A1431">
            <v>42255</v>
          </cell>
        </row>
        <row r="1432">
          <cell r="A1432">
            <v>42256</v>
          </cell>
        </row>
        <row r="1433">
          <cell r="A1433">
            <v>42257</v>
          </cell>
        </row>
        <row r="1434">
          <cell r="A1434">
            <v>42258</v>
          </cell>
        </row>
        <row r="1435">
          <cell r="A1435">
            <v>42261</v>
          </cell>
        </row>
        <row r="1436">
          <cell r="A1436">
            <v>42262</v>
          </cell>
        </row>
        <row r="1437">
          <cell r="A1437">
            <v>42263</v>
          </cell>
        </row>
        <row r="1438">
          <cell r="A1438">
            <v>42264</v>
          </cell>
        </row>
        <row r="1439">
          <cell r="A1439">
            <v>42265</v>
          </cell>
        </row>
        <row r="1440">
          <cell r="A1440">
            <v>42268</v>
          </cell>
        </row>
        <row r="1441">
          <cell r="A1441">
            <v>42269</v>
          </cell>
        </row>
        <row r="1442">
          <cell r="A1442">
            <v>42270</v>
          </cell>
        </row>
        <row r="1443">
          <cell r="A1443">
            <v>42271</v>
          </cell>
        </row>
        <row r="1444">
          <cell r="A1444">
            <v>42272</v>
          </cell>
        </row>
        <row r="1445">
          <cell r="A1445">
            <v>42275</v>
          </cell>
        </row>
        <row r="1446">
          <cell r="A1446">
            <v>42276</v>
          </cell>
        </row>
        <row r="1447">
          <cell r="A1447">
            <v>42277</v>
          </cell>
        </row>
        <row r="1448">
          <cell r="A1448">
            <v>42278</v>
          </cell>
        </row>
        <row r="1449">
          <cell r="A1449">
            <v>42279</v>
          </cell>
        </row>
        <row r="1450">
          <cell r="A1450">
            <v>42282</v>
          </cell>
        </row>
        <row r="1451">
          <cell r="A1451">
            <v>42283</v>
          </cell>
        </row>
        <row r="1452">
          <cell r="A1452">
            <v>42284</v>
          </cell>
        </row>
        <row r="1453">
          <cell r="A1453">
            <v>42285</v>
          </cell>
        </row>
        <row r="1454">
          <cell r="A1454">
            <v>42286</v>
          </cell>
        </row>
        <row r="1455">
          <cell r="A1455">
            <v>42289</v>
          </cell>
        </row>
        <row r="1456">
          <cell r="A1456">
            <v>42290</v>
          </cell>
        </row>
        <row r="1457">
          <cell r="A1457">
            <v>42291</v>
          </cell>
        </row>
        <row r="1458">
          <cell r="A1458">
            <v>42292</v>
          </cell>
        </row>
        <row r="1459">
          <cell r="A1459">
            <v>42293</v>
          </cell>
        </row>
        <row r="1460">
          <cell r="A1460">
            <v>42296</v>
          </cell>
        </row>
        <row r="1461">
          <cell r="A1461">
            <v>42297</v>
          </cell>
        </row>
        <row r="1462">
          <cell r="A1462">
            <v>42298</v>
          </cell>
        </row>
        <row r="1463">
          <cell r="A1463">
            <v>42299</v>
          </cell>
        </row>
        <row r="1464">
          <cell r="A1464">
            <v>42300</v>
          </cell>
        </row>
        <row r="1465">
          <cell r="A1465">
            <v>42303</v>
          </cell>
        </row>
        <row r="1466">
          <cell r="A1466">
            <v>42304</v>
          </cell>
        </row>
        <row r="1467">
          <cell r="A1467">
            <v>42305</v>
          </cell>
        </row>
        <row r="1468">
          <cell r="A1468">
            <v>42306</v>
          </cell>
        </row>
        <row r="1469">
          <cell r="A1469">
            <v>42307</v>
          </cell>
        </row>
        <row r="1470">
          <cell r="A1470">
            <v>42310</v>
          </cell>
        </row>
        <row r="1471">
          <cell r="A1471">
            <v>42311</v>
          </cell>
        </row>
        <row r="1472">
          <cell r="A1472">
            <v>42312</v>
          </cell>
        </row>
        <row r="1473">
          <cell r="A1473">
            <v>42313</v>
          </cell>
        </row>
        <row r="1474">
          <cell r="A1474">
            <v>42314</v>
          </cell>
        </row>
        <row r="1475">
          <cell r="A1475">
            <v>42317</v>
          </cell>
        </row>
        <row r="1476">
          <cell r="A1476">
            <v>42318</v>
          </cell>
        </row>
        <row r="1477">
          <cell r="A1477">
            <v>42319</v>
          </cell>
        </row>
        <row r="1478">
          <cell r="A1478">
            <v>42320</v>
          </cell>
        </row>
        <row r="1479">
          <cell r="A1479">
            <v>42321</v>
          </cell>
        </row>
        <row r="1480">
          <cell r="A1480">
            <v>42324</v>
          </cell>
        </row>
        <row r="1481">
          <cell r="A1481">
            <v>42325</v>
          </cell>
        </row>
        <row r="1482">
          <cell r="A1482">
            <v>42326</v>
          </cell>
        </row>
        <row r="1483">
          <cell r="A1483">
            <v>42327</v>
          </cell>
        </row>
        <row r="1484">
          <cell r="A1484">
            <v>42328</v>
          </cell>
        </row>
        <row r="1485">
          <cell r="A1485">
            <v>42331</v>
          </cell>
        </row>
        <row r="1486">
          <cell r="A1486">
            <v>42332</v>
          </cell>
        </row>
        <row r="1487">
          <cell r="A1487">
            <v>42333</v>
          </cell>
        </row>
        <row r="1488">
          <cell r="A1488">
            <v>42335</v>
          </cell>
        </row>
        <row r="1489">
          <cell r="A1489">
            <v>42338</v>
          </cell>
        </row>
        <row r="1490">
          <cell r="A1490">
            <v>42339</v>
          </cell>
        </row>
        <row r="1491">
          <cell r="A1491">
            <v>42340</v>
          </cell>
        </row>
        <row r="1492">
          <cell r="A1492">
            <v>42341</v>
          </cell>
        </row>
        <row r="1493">
          <cell r="A1493">
            <v>42342</v>
          </cell>
        </row>
        <row r="1494">
          <cell r="A1494">
            <v>42345</v>
          </cell>
        </row>
        <row r="1495">
          <cell r="A1495">
            <v>42346</v>
          </cell>
        </row>
        <row r="1496">
          <cell r="A1496">
            <v>42347</v>
          </cell>
        </row>
        <row r="1497">
          <cell r="A1497">
            <v>42348</v>
          </cell>
        </row>
        <row r="1498">
          <cell r="A1498">
            <v>42349</v>
          </cell>
        </row>
        <row r="1499">
          <cell r="A1499">
            <v>42352</v>
          </cell>
        </row>
        <row r="1500">
          <cell r="A1500">
            <v>42353</v>
          </cell>
        </row>
        <row r="1501">
          <cell r="A1501">
            <v>42354</v>
          </cell>
        </row>
        <row r="1502">
          <cell r="A1502">
            <v>42355</v>
          </cell>
        </row>
        <row r="1503">
          <cell r="A1503">
            <v>42356</v>
          </cell>
        </row>
        <row r="1504">
          <cell r="A1504">
            <v>42359</v>
          </cell>
        </row>
        <row r="1505">
          <cell r="A1505">
            <v>42360</v>
          </cell>
        </row>
        <row r="1506">
          <cell r="A1506">
            <v>42361</v>
          </cell>
        </row>
        <row r="1507">
          <cell r="A1507">
            <v>42362</v>
          </cell>
        </row>
        <row r="1508">
          <cell r="A1508">
            <v>42366</v>
          </cell>
        </row>
        <row r="1509">
          <cell r="A1509">
            <v>42367</v>
          </cell>
        </row>
        <row r="1510">
          <cell r="A1510">
            <v>42368</v>
          </cell>
        </row>
        <row r="1511">
          <cell r="A1511">
            <v>42369</v>
          </cell>
        </row>
        <row r="1512">
          <cell r="A1512">
            <v>42373</v>
          </cell>
        </row>
        <row r="1513">
          <cell r="A1513">
            <v>42374</v>
          </cell>
        </row>
        <row r="1514">
          <cell r="A1514">
            <v>42375</v>
          </cell>
        </row>
        <row r="1515">
          <cell r="A1515">
            <v>42376</v>
          </cell>
        </row>
        <row r="1516">
          <cell r="A1516">
            <v>42377</v>
          </cell>
        </row>
        <row r="1517">
          <cell r="A1517">
            <v>42380</v>
          </cell>
        </row>
        <row r="1518">
          <cell r="A1518">
            <v>42381</v>
          </cell>
        </row>
        <row r="1519">
          <cell r="A1519">
            <v>42382</v>
          </cell>
        </row>
        <row r="1520">
          <cell r="A1520">
            <v>42383</v>
          </cell>
        </row>
        <row r="1521">
          <cell r="A1521">
            <v>42384</v>
          </cell>
        </row>
        <row r="1522">
          <cell r="A1522">
            <v>42388</v>
          </cell>
        </row>
        <row r="1523">
          <cell r="A1523">
            <v>42389</v>
          </cell>
        </row>
        <row r="1524">
          <cell r="A1524">
            <v>42390</v>
          </cell>
        </row>
        <row r="1525">
          <cell r="A1525">
            <v>42391</v>
          </cell>
        </row>
        <row r="1526">
          <cell r="A1526">
            <v>42394</v>
          </cell>
        </row>
        <row r="1527">
          <cell r="A1527">
            <v>42395</v>
          </cell>
        </row>
        <row r="1528">
          <cell r="A1528">
            <v>42396</v>
          </cell>
        </row>
        <row r="1529">
          <cell r="A1529">
            <v>42397</v>
          </cell>
        </row>
        <row r="1530">
          <cell r="A1530">
            <v>42398</v>
          </cell>
        </row>
        <row r="1531">
          <cell r="A1531">
            <v>42401</v>
          </cell>
        </row>
        <row r="1532">
          <cell r="A1532">
            <v>42402</v>
          </cell>
        </row>
        <row r="1533">
          <cell r="A1533">
            <v>42403</v>
          </cell>
        </row>
        <row r="1534">
          <cell r="A1534">
            <v>42404</v>
          </cell>
        </row>
        <row r="1535">
          <cell r="A1535">
            <v>42405</v>
          </cell>
        </row>
        <row r="1536">
          <cell r="A1536">
            <v>42408</v>
          </cell>
        </row>
        <row r="1537">
          <cell r="A1537">
            <v>42409</v>
          </cell>
        </row>
        <row r="1538">
          <cell r="A1538">
            <v>42410</v>
          </cell>
        </row>
        <row r="1539">
          <cell r="A1539">
            <v>42411</v>
          </cell>
        </row>
        <row r="1540">
          <cell r="A1540">
            <v>42412</v>
          </cell>
        </row>
        <row r="1541">
          <cell r="A1541">
            <v>42416</v>
          </cell>
        </row>
        <row r="1542">
          <cell r="A1542">
            <v>42417</v>
          </cell>
        </row>
        <row r="1543">
          <cell r="A1543">
            <v>42418</v>
          </cell>
        </row>
        <row r="1544">
          <cell r="A1544">
            <v>42419</v>
          </cell>
        </row>
        <row r="1545">
          <cell r="A1545">
            <v>42422</v>
          </cell>
        </row>
        <row r="1546">
          <cell r="A1546">
            <v>42423</v>
          </cell>
        </row>
        <row r="1547">
          <cell r="A1547">
            <v>42424</v>
          </cell>
        </row>
        <row r="1548">
          <cell r="A1548">
            <v>42425</v>
          </cell>
        </row>
        <row r="1549">
          <cell r="A1549">
            <v>42426</v>
          </cell>
        </row>
        <row r="1550">
          <cell r="A1550">
            <v>42429</v>
          </cell>
        </row>
        <row r="1551">
          <cell r="A1551">
            <v>42430</v>
          </cell>
        </row>
        <row r="1552">
          <cell r="A1552">
            <v>42431</v>
          </cell>
        </row>
        <row r="1553">
          <cell r="A1553">
            <v>42432</v>
          </cell>
        </row>
        <row r="1554">
          <cell r="A1554">
            <v>42433</v>
          </cell>
        </row>
        <row r="1555">
          <cell r="A1555">
            <v>42436</v>
          </cell>
        </row>
        <row r="1556">
          <cell r="A1556">
            <v>42437</v>
          </cell>
        </row>
        <row r="1557">
          <cell r="A1557">
            <v>42438</v>
          </cell>
        </row>
        <row r="1558">
          <cell r="A1558">
            <v>42439</v>
          </cell>
        </row>
        <row r="1559">
          <cell r="A1559">
            <v>42440</v>
          </cell>
        </row>
        <row r="1560">
          <cell r="A1560">
            <v>42443</v>
          </cell>
        </row>
        <row r="1561">
          <cell r="A1561">
            <v>42444</v>
          </cell>
        </row>
        <row r="1562">
          <cell r="A1562">
            <v>42445</v>
          </cell>
        </row>
        <row r="1563">
          <cell r="A1563">
            <v>42446</v>
          </cell>
        </row>
        <row r="1564">
          <cell r="A1564">
            <v>42447</v>
          </cell>
        </row>
        <row r="1565">
          <cell r="A1565">
            <v>42450</v>
          </cell>
        </row>
        <row r="1566">
          <cell r="A1566">
            <v>42451</v>
          </cell>
        </row>
        <row r="1567">
          <cell r="A1567">
            <v>42452</v>
          </cell>
        </row>
        <row r="1568">
          <cell r="A1568">
            <v>42453</v>
          </cell>
        </row>
        <row r="1569">
          <cell r="A1569">
            <v>42457</v>
          </cell>
        </row>
        <row r="1570">
          <cell r="A1570">
            <v>42458</v>
          </cell>
        </row>
        <row r="1571">
          <cell r="A1571">
            <v>42459</v>
          </cell>
        </row>
        <row r="1572">
          <cell r="A1572">
            <v>42460</v>
          </cell>
        </row>
        <row r="1573">
          <cell r="A1573">
            <v>42461</v>
          </cell>
        </row>
        <row r="1574">
          <cell r="A1574">
            <v>42464</v>
          </cell>
        </row>
        <row r="1575">
          <cell r="A1575">
            <v>42465</v>
          </cell>
        </row>
        <row r="1576">
          <cell r="A1576">
            <v>42466</v>
          </cell>
        </row>
        <row r="1577">
          <cell r="A1577">
            <v>42467</v>
          </cell>
        </row>
        <row r="1578">
          <cell r="A1578">
            <v>42468</v>
          </cell>
        </row>
        <row r="1579">
          <cell r="A1579">
            <v>42471</v>
          </cell>
        </row>
        <row r="1580">
          <cell r="A1580">
            <v>42472</v>
          </cell>
        </row>
        <row r="1581">
          <cell r="A1581">
            <v>42473</v>
          </cell>
        </row>
        <row r="1582">
          <cell r="A1582">
            <v>42474</v>
          </cell>
        </row>
        <row r="1583">
          <cell r="A1583">
            <v>42475</v>
          </cell>
        </row>
        <row r="1584">
          <cell r="A1584">
            <v>42478</v>
          </cell>
        </row>
        <row r="1585">
          <cell r="A1585">
            <v>42479</v>
          </cell>
        </row>
        <row r="1586">
          <cell r="A1586">
            <v>42480</v>
          </cell>
        </row>
        <row r="1587">
          <cell r="A1587">
            <v>42481</v>
          </cell>
        </row>
        <row r="1588">
          <cell r="A1588">
            <v>42482</v>
          </cell>
        </row>
        <row r="1589">
          <cell r="A1589">
            <v>42485</v>
          </cell>
        </row>
        <row r="1590">
          <cell r="A1590">
            <v>42486</v>
          </cell>
        </row>
        <row r="1591">
          <cell r="A1591">
            <v>42487</v>
          </cell>
        </row>
        <row r="1592">
          <cell r="A1592">
            <v>42488</v>
          </cell>
        </row>
        <row r="1593">
          <cell r="A1593">
            <v>42489</v>
          </cell>
        </row>
        <row r="1594">
          <cell r="A1594">
            <v>42492</v>
          </cell>
        </row>
        <row r="1595">
          <cell r="A1595">
            <v>42493</v>
          </cell>
        </row>
        <row r="1596">
          <cell r="A1596">
            <v>42494</v>
          </cell>
        </row>
        <row r="1597">
          <cell r="A1597">
            <v>42495</v>
          </cell>
        </row>
        <row r="1598">
          <cell r="A1598">
            <v>42496</v>
          </cell>
        </row>
        <row r="1599">
          <cell r="A1599">
            <v>42499</v>
          </cell>
        </row>
        <row r="1600">
          <cell r="A1600">
            <v>42500</v>
          </cell>
        </row>
        <row r="1601">
          <cell r="A1601">
            <v>42501</v>
          </cell>
        </row>
        <row r="1602">
          <cell r="A1602">
            <v>42502</v>
          </cell>
        </row>
        <row r="1603">
          <cell r="A1603">
            <v>42503</v>
          </cell>
        </row>
        <row r="1604">
          <cell r="A1604">
            <v>42506</v>
          </cell>
        </row>
        <row r="1605">
          <cell r="A1605">
            <v>42507</v>
          </cell>
        </row>
        <row r="1606">
          <cell r="A1606">
            <v>42508</v>
          </cell>
        </row>
        <row r="1607">
          <cell r="A1607">
            <v>42509</v>
          </cell>
        </row>
        <row r="1608">
          <cell r="A1608">
            <v>42510</v>
          </cell>
        </row>
        <row r="1609">
          <cell r="A1609">
            <v>42513</v>
          </cell>
        </row>
        <row r="1610">
          <cell r="A1610">
            <v>42514</v>
          </cell>
        </row>
        <row r="1611">
          <cell r="A1611">
            <v>42515</v>
          </cell>
        </row>
        <row r="1612">
          <cell r="A1612">
            <v>42516</v>
          </cell>
        </row>
        <row r="1613">
          <cell r="A1613">
            <v>42517</v>
          </cell>
        </row>
        <row r="1614">
          <cell r="A1614">
            <v>42521</v>
          </cell>
        </row>
        <row r="1615">
          <cell r="A1615">
            <v>42522</v>
          </cell>
        </row>
        <row r="1616">
          <cell r="A1616">
            <v>42523</v>
          </cell>
        </row>
        <row r="1617">
          <cell r="A1617">
            <v>42524</v>
          </cell>
        </row>
        <row r="1618">
          <cell r="A1618">
            <v>42527</v>
          </cell>
        </row>
        <row r="1619">
          <cell r="A1619">
            <v>42528</v>
          </cell>
        </row>
        <row r="1620">
          <cell r="A1620">
            <v>42529</v>
          </cell>
        </row>
        <row r="1621">
          <cell r="A1621">
            <v>42530</v>
          </cell>
        </row>
        <row r="1622">
          <cell r="A1622">
            <v>42531</v>
          </cell>
        </row>
        <row r="1623">
          <cell r="A1623">
            <v>42534</v>
          </cell>
        </row>
        <row r="1624">
          <cell r="A1624">
            <v>42535</v>
          </cell>
        </row>
        <row r="1625">
          <cell r="A1625">
            <v>42536</v>
          </cell>
        </row>
        <row r="1626">
          <cell r="A1626">
            <v>42537</v>
          </cell>
        </row>
        <row r="1627">
          <cell r="A1627">
            <v>42538</v>
          </cell>
        </row>
        <row r="1628">
          <cell r="A1628">
            <v>42541</v>
          </cell>
        </row>
        <row r="1629">
          <cell r="A1629">
            <v>42542</v>
          </cell>
        </row>
        <row r="1630">
          <cell r="A1630">
            <v>42543</v>
          </cell>
        </row>
        <row r="1631">
          <cell r="A1631">
            <v>42544</v>
          </cell>
        </row>
        <row r="1632">
          <cell r="A1632">
            <v>42545</v>
          </cell>
        </row>
        <row r="1633">
          <cell r="A1633">
            <v>42548</v>
          </cell>
        </row>
        <row r="1634">
          <cell r="A1634">
            <v>42549</v>
          </cell>
        </row>
        <row r="1635">
          <cell r="A1635">
            <v>42550</v>
          </cell>
        </row>
        <row r="1636">
          <cell r="A1636">
            <v>42551</v>
          </cell>
        </row>
        <row r="1637">
          <cell r="A1637">
            <v>42552</v>
          </cell>
        </row>
        <row r="1638">
          <cell r="A1638">
            <v>42556</v>
          </cell>
        </row>
        <row r="1639">
          <cell r="A1639">
            <v>42557</v>
          </cell>
        </row>
        <row r="1640">
          <cell r="A1640">
            <v>42558</v>
          </cell>
        </row>
        <row r="1641">
          <cell r="A1641">
            <v>42559</v>
          </cell>
        </row>
        <row r="1642">
          <cell r="A1642">
            <v>42562</v>
          </cell>
        </row>
        <row r="1643">
          <cell r="A1643">
            <v>42563</v>
          </cell>
        </row>
        <row r="1644">
          <cell r="A1644">
            <v>42564</v>
          </cell>
        </row>
        <row r="1645">
          <cell r="A1645">
            <v>42565</v>
          </cell>
        </row>
        <row r="1646">
          <cell r="A1646">
            <v>42566</v>
          </cell>
        </row>
        <row r="1647">
          <cell r="A1647">
            <v>42569</v>
          </cell>
        </row>
        <row r="1648">
          <cell r="A1648">
            <v>42570</v>
          </cell>
        </row>
        <row r="1649">
          <cell r="A1649">
            <v>42571</v>
          </cell>
        </row>
        <row r="1650">
          <cell r="A1650">
            <v>42572</v>
          </cell>
        </row>
        <row r="1651">
          <cell r="A1651">
            <v>42573</v>
          </cell>
        </row>
        <row r="1652">
          <cell r="A1652">
            <v>42576</v>
          </cell>
        </row>
        <row r="1653">
          <cell r="A1653">
            <v>42577</v>
          </cell>
        </row>
        <row r="1654">
          <cell r="A1654">
            <v>42578</v>
          </cell>
        </row>
        <row r="1655">
          <cell r="A1655">
            <v>42579</v>
          </cell>
        </row>
        <row r="1656">
          <cell r="A1656">
            <v>42580</v>
          </cell>
        </row>
        <row r="1657">
          <cell r="A1657">
            <v>42583</v>
          </cell>
        </row>
        <row r="1658">
          <cell r="A1658">
            <v>42584</v>
          </cell>
        </row>
        <row r="1659">
          <cell r="A1659">
            <v>42585</v>
          </cell>
        </row>
        <row r="1660">
          <cell r="A1660">
            <v>42586</v>
          </cell>
        </row>
        <row r="1661">
          <cell r="A1661">
            <v>42587</v>
          </cell>
        </row>
        <row r="1662">
          <cell r="A1662">
            <v>42590</v>
          </cell>
        </row>
        <row r="1663">
          <cell r="A1663">
            <v>42591</v>
          </cell>
        </row>
        <row r="1664">
          <cell r="A1664">
            <v>42592</v>
          </cell>
        </row>
        <row r="1665">
          <cell r="A1665">
            <v>42593</v>
          </cell>
        </row>
        <row r="1666">
          <cell r="A1666">
            <v>42594</v>
          </cell>
        </row>
        <row r="1667">
          <cell r="A1667">
            <v>42597</v>
          </cell>
        </row>
        <row r="1668">
          <cell r="A1668">
            <v>42598</v>
          </cell>
        </row>
        <row r="1669">
          <cell r="A1669">
            <v>42599</v>
          </cell>
        </row>
        <row r="1670">
          <cell r="A1670">
            <v>42600</v>
          </cell>
        </row>
        <row r="1671">
          <cell r="A1671">
            <v>42601</v>
          </cell>
        </row>
        <row r="1672">
          <cell r="A1672">
            <v>42604</v>
          </cell>
        </row>
        <row r="1673">
          <cell r="A1673">
            <v>42605</v>
          </cell>
        </row>
        <row r="1674">
          <cell r="A1674">
            <v>42606</v>
          </cell>
        </row>
        <row r="1675">
          <cell r="A1675">
            <v>42607</v>
          </cell>
        </row>
        <row r="1676">
          <cell r="A1676">
            <v>42608</v>
          </cell>
        </row>
        <row r="1677">
          <cell r="A1677">
            <v>42611</v>
          </cell>
        </row>
        <row r="1678">
          <cell r="A1678">
            <v>42612</v>
          </cell>
        </row>
        <row r="1679">
          <cell r="A1679">
            <v>42613</v>
          </cell>
        </row>
        <row r="1680">
          <cell r="A1680">
            <v>42614</v>
          </cell>
        </row>
        <row r="1681">
          <cell r="A1681">
            <v>42615</v>
          </cell>
        </row>
        <row r="1682">
          <cell r="A1682">
            <v>42619</v>
          </cell>
        </row>
        <row r="1683">
          <cell r="A1683">
            <v>42620</v>
          </cell>
        </row>
        <row r="1684">
          <cell r="A1684">
            <v>42621</v>
          </cell>
        </row>
        <row r="1685">
          <cell r="A1685">
            <v>42622</v>
          </cell>
        </row>
        <row r="1686">
          <cell r="A1686">
            <v>42625</v>
          </cell>
        </row>
        <row r="1687">
          <cell r="A1687">
            <v>42626</v>
          </cell>
        </row>
        <row r="1688">
          <cell r="A1688">
            <v>42627</v>
          </cell>
        </row>
        <row r="1689">
          <cell r="A1689">
            <v>42628</v>
          </cell>
        </row>
        <row r="1690">
          <cell r="A1690">
            <v>42629</v>
          </cell>
        </row>
        <row r="1691">
          <cell r="A1691">
            <v>42632</v>
          </cell>
        </row>
        <row r="1692">
          <cell r="A1692">
            <v>42633</v>
          </cell>
        </row>
        <row r="1693">
          <cell r="A1693">
            <v>42634</v>
          </cell>
        </row>
        <row r="1694">
          <cell r="A1694">
            <v>42635</v>
          </cell>
        </row>
        <row r="1695">
          <cell r="A1695">
            <v>42636</v>
          </cell>
        </row>
        <row r="1696">
          <cell r="A1696">
            <v>42639</v>
          </cell>
        </row>
        <row r="1697">
          <cell r="A1697">
            <v>42640</v>
          </cell>
        </row>
        <row r="1698">
          <cell r="A1698">
            <v>42641</v>
          </cell>
        </row>
        <row r="1699">
          <cell r="A1699">
            <v>42642</v>
          </cell>
        </row>
        <row r="1700">
          <cell r="A1700">
            <v>42643</v>
          </cell>
        </row>
        <row r="1701">
          <cell r="A1701">
            <v>42646</v>
          </cell>
        </row>
        <row r="1702">
          <cell r="A1702">
            <v>42647</v>
          </cell>
        </row>
        <row r="1703">
          <cell r="A1703">
            <v>42648</v>
          </cell>
        </row>
        <row r="1704">
          <cell r="A1704">
            <v>42649</v>
          </cell>
        </row>
        <row r="1705">
          <cell r="A1705">
            <v>42650</v>
          </cell>
        </row>
        <row r="1706">
          <cell r="A1706">
            <v>42653</v>
          </cell>
        </row>
        <row r="1707">
          <cell r="A1707">
            <v>42654</v>
          </cell>
        </row>
        <row r="1708">
          <cell r="A1708">
            <v>42655</v>
          </cell>
        </row>
        <row r="1709">
          <cell r="A1709">
            <v>42656</v>
          </cell>
        </row>
        <row r="1710">
          <cell r="A1710">
            <v>42657</v>
          </cell>
        </row>
        <row r="1711">
          <cell r="A1711">
            <v>42660</v>
          </cell>
        </row>
        <row r="1712">
          <cell r="A1712">
            <v>42661</v>
          </cell>
        </row>
        <row r="1713">
          <cell r="A1713">
            <v>42662</v>
          </cell>
        </row>
        <row r="1714">
          <cell r="A1714">
            <v>42663</v>
          </cell>
        </row>
        <row r="1715">
          <cell r="A1715">
            <v>42664</v>
          </cell>
        </row>
        <row r="1716">
          <cell r="A1716">
            <v>42667</v>
          </cell>
        </row>
        <row r="1717">
          <cell r="A1717">
            <v>42668</v>
          </cell>
        </row>
        <row r="1718">
          <cell r="A1718">
            <v>42669</v>
          </cell>
        </row>
        <row r="1719">
          <cell r="A1719">
            <v>42670</v>
          </cell>
        </row>
        <row r="1720">
          <cell r="A1720">
            <v>42671</v>
          </cell>
        </row>
        <row r="1721">
          <cell r="A1721">
            <v>42674</v>
          </cell>
        </row>
        <row r="1722">
          <cell r="A1722">
            <v>42675</v>
          </cell>
        </row>
        <row r="1723">
          <cell r="A1723">
            <v>42676</v>
          </cell>
        </row>
        <row r="1724">
          <cell r="A1724">
            <v>42677</v>
          </cell>
        </row>
        <row r="1725">
          <cell r="A1725">
            <v>42678</v>
          </cell>
        </row>
        <row r="1726">
          <cell r="A1726">
            <v>42681</v>
          </cell>
        </row>
        <row r="1727">
          <cell r="A1727">
            <v>42682</v>
          </cell>
        </row>
        <row r="1728">
          <cell r="A1728">
            <v>42683</v>
          </cell>
        </row>
        <row r="1729">
          <cell r="A1729">
            <v>42684</v>
          </cell>
        </row>
        <row r="1730">
          <cell r="A1730">
            <v>42685</v>
          </cell>
        </row>
        <row r="1731">
          <cell r="A1731">
            <v>42688</v>
          </cell>
        </row>
        <row r="1732">
          <cell r="A1732">
            <v>42689</v>
          </cell>
        </row>
        <row r="1733">
          <cell r="A1733">
            <v>42690</v>
          </cell>
        </row>
        <row r="1734">
          <cell r="A1734">
            <v>42691</v>
          </cell>
        </row>
        <row r="1735">
          <cell r="A1735">
            <v>42692</v>
          </cell>
        </row>
        <row r="1736">
          <cell r="A1736">
            <v>42695</v>
          </cell>
        </row>
        <row r="1737">
          <cell r="A1737">
            <v>42696</v>
          </cell>
        </row>
        <row r="1738">
          <cell r="A1738">
            <v>42697</v>
          </cell>
        </row>
        <row r="1739">
          <cell r="A1739">
            <v>42699</v>
          </cell>
        </row>
        <row r="1740">
          <cell r="A1740">
            <v>42702</v>
          </cell>
        </row>
        <row r="1741">
          <cell r="A1741">
            <v>42703</v>
          </cell>
        </row>
        <row r="1742">
          <cell r="A1742">
            <v>42704</v>
          </cell>
        </row>
        <row r="1743">
          <cell r="A1743">
            <v>42705</v>
          </cell>
        </row>
        <row r="1744">
          <cell r="A1744">
            <v>42706</v>
          </cell>
        </row>
        <row r="1745">
          <cell r="A1745">
            <v>42709</v>
          </cell>
        </row>
        <row r="1746">
          <cell r="A1746">
            <v>42710</v>
          </cell>
        </row>
        <row r="1747">
          <cell r="A1747">
            <v>42711</v>
          </cell>
        </row>
        <row r="1748">
          <cell r="A1748">
            <v>42712</v>
          </cell>
        </row>
        <row r="1749">
          <cell r="A1749">
            <v>42713</v>
          </cell>
        </row>
        <row r="1750">
          <cell r="A1750">
            <v>42716</v>
          </cell>
        </row>
        <row r="1751">
          <cell r="A1751">
            <v>42717</v>
          </cell>
        </row>
        <row r="1752">
          <cell r="A1752">
            <v>42718</v>
          </cell>
        </row>
        <row r="1753">
          <cell r="A1753">
            <v>42719</v>
          </cell>
        </row>
        <row r="1754">
          <cell r="A1754">
            <v>42720</v>
          </cell>
        </row>
        <row r="1755">
          <cell r="A1755">
            <v>42723</v>
          </cell>
        </row>
        <row r="1756">
          <cell r="A1756">
            <v>42724</v>
          </cell>
        </row>
        <row r="1757">
          <cell r="A1757">
            <v>42725</v>
          </cell>
        </row>
        <row r="1758">
          <cell r="A1758">
            <v>42726</v>
          </cell>
        </row>
        <row r="1759">
          <cell r="A1759">
            <v>42727</v>
          </cell>
        </row>
        <row r="1760">
          <cell r="A1760">
            <v>42731</v>
          </cell>
        </row>
        <row r="1761">
          <cell r="A1761">
            <v>42732</v>
          </cell>
        </row>
        <row r="1762">
          <cell r="A1762">
            <v>42733</v>
          </cell>
        </row>
        <row r="1763">
          <cell r="A1763">
            <v>42734</v>
          </cell>
        </row>
      </sheetData>
      <sheetData sheetId="4"/>
      <sheetData sheetId="5"/>
      <sheetData sheetId="6">
        <row r="1">
          <cell r="A1">
            <v>0.80710295850923053</v>
          </cell>
        </row>
        <row r="2">
          <cell r="A2">
            <v>0.80349753444113703</v>
          </cell>
        </row>
        <row r="3">
          <cell r="A3">
            <v>0.79982449989202831</v>
          </cell>
        </row>
        <row r="4">
          <cell r="A4">
            <v>0.79610140438116173</v>
          </cell>
        </row>
        <row r="5">
          <cell r="A5">
            <v>0.79234681382424221</v>
          </cell>
        </row>
        <row r="6">
          <cell r="A6">
            <v>0.78857987801340945</v>
          </cell>
        </row>
        <row r="7">
          <cell r="A7">
            <v>0.78481986938787485</v>
          </cell>
        </row>
        <row r="8">
          <cell r="A8">
            <v>0.78108571657585846</v>
          </cell>
        </row>
        <row r="9">
          <cell r="A9">
            <v>0.77739555800084825</v>
          </cell>
        </row>
        <row r="10">
          <cell r="A10">
            <v>0.77376634013163836</v>
          </cell>
        </row>
        <row r="11">
          <cell r="A11">
            <v>0.77021348121914635</v>
          </cell>
        </row>
        <row r="12">
          <cell r="A12">
            <v>0.76675061519984178</v>
          </cell>
        </row>
        <row r="13">
          <cell r="A13">
            <v>0.76338942306609603</v>
          </cell>
        </row>
        <row r="14">
          <cell r="A14">
            <v>0.7601395516552778</v>
          </cell>
        </row>
        <row r="15">
          <cell r="A15">
            <v>0.75700861344638581</v>
          </cell>
        </row>
        <row r="16">
          <cell r="A16">
            <v>0.75400225615300942</v>
          </cell>
        </row>
        <row r="17">
          <cell r="A17">
            <v>0.75112428790274799</v>
          </cell>
        </row>
        <row r="18">
          <cell r="A18">
            <v>0.74837684256134862</v>
          </cell>
        </row>
        <row r="19">
          <cell r="A19">
            <v>0.74576057006036012</v>
          </cell>
        </row>
        <row r="20">
          <cell r="A20">
            <v>0.74327483806217376</v>
          </cell>
        </row>
        <row r="21">
          <cell r="A21">
            <v>0.74091793354216329</v>
          </cell>
        </row>
        <row r="22">
          <cell r="A22">
            <v>0.73868725550083936</v>
          </cell>
        </row>
        <row r="23">
          <cell r="A23">
            <v>0.73657949271752765</v>
          </cell>
        </row>
        <row r="24">
          <cell r="A24">
            <v>0.73459078297430436</v>
          </cell>
        </row>
        <row r="25">
          <cell r="A25">
            <v>0.73271685233577899</v>
          </cell>
        </row>
        <row r="26">
          <cell r="A26">
            <v>0.73095313474438295</v>
          </cell>
        </row>
        <row r="27">
          <cell r="A27">
            <v>0.72929487331491261</v>
          </cell>
        </row>
        <row r="28">
          <cell r="A28">
            <v>0.72773720528666452</v>
          </cell>
        </row>
        <row r="29">
          <cell r="A29">
            <v>0.72627523269717453</v>
          </cell>
        </row>
        <row r="30">
          <cell r="A30">
            <v>0.72490408063115597</v>
          </cell>
        </row>
        <row r="31">
          <cell r="A31">
            <v>0.72361894455860165</v>
          </cell>
        </row>
        <row r="32">
          <cell r="A32">
            <v>0.72241512797116791</v>
          </cell>
        </row>
        <row r="33">
          <cell r="A33">
            <v>0.72128807134812922</v>
          </cell>
        </row>
        <row r="34">
          <cell r="A34">
            <v>0.72023337343991733</v>
          </cell>
        </row>
        <row r="35">
          <cell r="A35">
            <v>0.71924680589412582</v>
          </cell>
        </row>
        <row r="36">
          <cell r="A36">
            <v>0.71832432229431231</v>
          </cell>
        </row>
        <row r="37">
          <cell r="A37">
            <v>0.71746206268343304</v>
          </cell>
        </row>
        <row r="38">
          <cell r="A38">
            <v>0.71665635458354848</v>
          </cell>
        </row>
        <row r="39">
          <cell r="A39">
            <v>0.71590371141170961</v>
          </cell>
        </row>
        <row r="40">
          <cell r="A40">
            <v>0.71520082905202886</v>
          </cell>
        </row>
        <row r="41">
          <cell r="A41">
            <v>0.71454458119759023</v>
          </cell>
        </row>
        <row r="42">
          <cell r="A42">
            <v>0.71393201393688621</v>
          </cell>
        </row>
        <row r="43">
          <cell r="A43">
            <v>0.71336033993364623</v>
          </cell>
        </row>
        <row r="44">
          <cell r="A44">
            <v>0.71282693243643602</v>
          </cell>
        </row>
        <row r="45">
          <cell r="A45">
            <v>0.71232931925559984</v>
          </cell>
        </row>
        <row r="46">
          <cell r="A46">
            <v>0.7118651767606452</v>
          </cell>
        </row>
        <row r="47">
          <cell r="A47">
            <v>0.71143232388514965</v>
          </cell>
        </row>
        <row r="48">
          <cell r="A48">
            <v>0.71102871608300333</v>
          </cell>
        </row>
        <row r="49">
          <cell r="A49">
            <v>0.7106524391629202</v>
          </cell>
        </row>
        <row r="50">
          <cell r="A50">
            <v>0.71030170293737926</v>
          </cell>
        </row>
        <row r="51">
          <cell r="A51">
            <v>0.70997483465322042</v>
          </cell>
        </row>
        <row r="52">
          <cell r="A52">
            <v>0.70967027221550116</v>
          </cell>
        </row>
        <row r="53">
          <cell r="A53">
            <v>0.70938655726349331</v>
          </cell>
        </row>
        <row r="54">
          <cell r="A54">
            <v>0.70912232819840026</v>
          </cell>
        </row>
        <row r="55">
          <cell r="A55">
            <v>0.70887631328900991</v>
          </cell>
        </row>
        <row r="56">
          <cell r="A56">
            <v>0.70864732399135966</v>
          </cell>
        </row>
        <row r="57">
          <cell r="A57">
            <v>0.70843424861141058</v>
          </cell>
        </row>
        <row r="58">
          <cell r="A58">
            <v>0.70823604641913329</v>
          </cell>
        </row>
        <row r="59">
          <cell r="A59">
            <v>0.70805174229239942</v>
          </cell>
        </row>
        <row r="60">
          <cell r="A60">
            <v>0.70788042193436174</v>
          </cell>
        </row>
        <row r="61">
          <cell r="A61">
            <v>0.70772122767257772</v>
          </cell>
        </row>
        <row r="62">
          <cell r="A62">
            <v>0.70757335481541273</v>
          </cell>
        </row>
        <row r="63">
          <cell r="A63">
            <v>0.70743604851331099</v>
          </cell>
        </row>
        <row r="64">
          <cell r="A64">
            <v>0.70730860105135374</v>
          </cell>
        </row>
        <row r="65">
          <cell r="A65">
            <v>0.70719034948569925</v>
          </cell>
        </row>
        <row r="66">
          <cell r="A66">
            <v>0.70708067353069581</v>
          </cell>
        </row>
        <row r="67">
          <cell r="A67">
            <v>0.70697899360529826</v>
          </cell>
        </row>
        <row r="68">
          <cell r="A68">
            <v>0.70688476895631724</v>
          </cell>
        </row>
        <row r="69">
          <cell r="A69">
            <v>0.70679749579092532</v>
          </cell>
        </row>
        <row r="70">
          <cell r="A70">
            <v>0.70671670536970843</v>
          </cell>
        </row>
        <row r="71">
          <cell r="A71">
            <v>0.70664196203296004</v>
          </cell>
        </row>
        <row r="72">
          <cell r="A72">
            <v>0.70657286115419493</v>
          </cell>
        </row>
        <row r="73">
          <cell r="A73">
            <v>0.70650902703427854</v>
          </cell>
        </row>
        <row r="74">
          <cell r="A74">
            <v>0.70645011076522535</v>
          </cell>
        </row>
        <row r="75">
          <cell r="A75">
            <v>0.70639578810318693</v>
          </cell>
        </row>
        <row r="76">
          <cell r="A76">
            <v>0.70634575739504757</v>
          </cell>
        </row>
        <row r="77">
          <cell r="A77">
            <v>0.70629973760215525</v>
          </cell>
        </row>
        <row r="78">
          <cell r="A78">
            <v>0.70625746645904053</v>
          </cell>
        </row>
        <row r="79">
          <cell r="A79">
            <v>0.70621869879558841</v>
          </cell>
        </row>
        <row r="80">
          <cell r="A80">
            <v>0.70618320503971399</v>
          </cell>
        </row>
        <row r="81">
          <cell r="A81">
            <v>0.70615076990576142</v>
          </cell>
        </row>
        <row r="82">
          <cell r="A82">
            <v>0.70612119126301143</v>
          </cell>
        </row>
        <row r="83">
          <cell r="A83">
            <v>0.70609427916989542</v>
          </cell>
        </row>
        <row r="84">
          <cell r="A84">
            <v>0.70606985505345965</v>
          </cell>
        </row>
        <row r="85">
          <cell r="A85">
            <v>0.70604775101035311</v>
          </cell>
        </row>
        <row r="86">
          <cell r="A86">
            <v>0.70602780920493147</v>
          </cell>
        </row>
        <row r="87">
          <cell r="A87">
            <v>0.70600988134152254</v>
          </cell>
        </row>
        <row r="88">
          <cell r="A88">
            <v>0.70599382819062384</v>
          </cell>
        </row>
        <row r="89">
          <cell r="A89">
            <v>0.70597951915260404</v>
          </cell>
        </row>
        <row r="90">
          <cell r="A90">
            <v>0.70596683184618958</v>
          </cell>
        </row>
        <row r="91">
          <cell r="A91">
            <v>0.70595565171281216</v>
          </cell>
        </row>
        <row r="92">
          <cell r="A92">
            <v>0.70594587163106604</v>
          </cell>
        </row>
        <row r="93">
          <cell r="A93">
            <v>0.70593739153811053</v>
          </cell>
        </row>
        <row r="94">
          <cell r="A94">
            <v>0.70593011805685302</v>
          </cell>
        </row>
        <row r="95">
          <cell r="A95">
            <v>0.70592396412908642</v>
          </cell>
        </row>
        <row r="96">
          <cell r="A96">
            <v>0.70591884865553789</v>
          </cell>
        </row>
        <row r="97">
          <cell r="A97">
            <v>0.70591469614435443</v>
          </cell>
        </row>
        <row r="98">
          <cell r="A98">
            <v>0.70591143636950071</v>
          </cell>
        </row>
        <row r="99">
          <cell r="A99">
            <v>0.70590900404063495</v>
          </cell>
        </row>
        <row r="100">
          <cell r="A100">
            <v>0.70590733848570586</v>
          </cell>
        </row>
        <row r="101">
          <cell r="A101">
            <v>0.70590638334729017</v>
          </cell>
        </row>
        <row r="102">
          <cell r="A102">
            <v>0.705906086293421</v>
          </cell>
        </row>
        <row r="103">
          <cell r="A103">
            <v>0.70590639874330452</v>
          </cell>
        </row>
        <row r="104">
          <cell r="A104">
            <v>0.7059072756081437</v>
          </cell>
        </row>
        <row r="105">
          <cell r="A105">
            <v>0.7059086750469945</v>
          </cell>
        </row>
        <row r="106">
          <cell r="A106">
            <v>0.70591055823745419</v>
          </cell>
        </row>
        <row r="107">
          <cell r="A107">
            <v>0.70591288916078798</v>
          </cell>
        </row>
        <row r="108">
          <cell r="A108">
            <v>0.70591563440099281</v>
          </cell>
        </row>
        <row r="109">
          <cell r="A109">
            <v>0.70591876295729628</v>
          </cell>
        </row>
        <row r="110">
          <cell r="A110">
            <v>0.70592224606936715</v>
          </cell>
        </row>
        <row r="111">
          <cell r="A111">
            <v>0.70592605705468281</v>
          </cell>
        </row>
        <row r="112">
          <cell r="A112">
            <v>0.70593017115730494</v>
          </cell>
        </row>
        <row r="113">
          <cell r="A113">
            <v>0.70593456540745225</v>
          </cell>
        </row>
        <row r="114">
          <cell r="A114">
            <v>0.7059392184911486</v>
          </cell>
        </row>
        <row r="115">
          <cell r="A115">
            <v>0.70594411062934592</v>
          </cell>
        </row>
        <row r="116">
          <cell r="A116">
            <v>0.70594922346587652</v>
          </cell>
        </row>
        <row r="117">
          <cell r="A117">
            <v>0.705954539963632</v>
          </cell>
        </row>
        <row r="118">
          <cell r="A118">
            <v>0.70596004430840154</v>
          </cell>
        </row>
        <row r="119">
          <cell r="A119">
            <v>0.7059657218198403</v>
          </cell>
        </row>
        <row r="120">
          <cell r="A120">
            <v>0.7059715588690475</v>
          </cell>
        </row>
        <row r="121">
          <cell r="A121">
            <v>0.70597754280225977</v>
          </cell>
        </row>
        <row r="122">
          <cell r="A122">
            <v>0.70598366187025396</v>
          </cell>
        </row>
        <row r="123">
          <cell r="A123">
            <v>0.70598990516298599</v>
          </cell>
        </row>
        <row r="124">
          <cell r="A124">
            <v>0.70599626254912062</v>
          </cell>
        </row>
        <row r="125">
          <cell r="A125">
            <v>0.70600272462005054</v>
          </cell>
        </row>
        <row r="126">
          <cell r="A126">
            <v>0.70600928263809426</v>
          </cell>
        </row>
        <row r="127">
          <cell r="A127">
            <v>0.70601592848853889</v>
          </cell>
        </row>
        <row r="128">
          <cell r="A128">
            <v>0.70602265463525038</v>
          </cell>
        </row>
        <row r="129">
          <cell r="A129">
            <v>0.70602945407955153</v>
          </cell>
        </row>
        <row r="130">
          <cell r="A130">
            <v>0.70603632032216401</v>
          </cell>
        </row>
        <row r="131">
          <cell r="A131">
            <v>0.70604324732794788</v>
          </cell>
        </row>
        <row r="132">
          <cell r="A132">
            <v>0.70605022949322016</v>
          </cell>
        </row>
        <row r="133">
          <cell r="A133">
            <v>0.7060572616154871</v>
          </cell>
        </row>
        <row r="134">
          <cell r="A134">
            <v>0.70606433886537745</v>
          </cell>
        </row>
        <row r="135">
          <cell r="A135">
            <v>0.70607145676061778</v>
          </cell>
        </row>
        <row r="136">
          <cell r="A136">
            <v>0.70607861114190251</v>
          </cell>
        </row>
        <row r="137">
          <cell r="A137">
            <v>0.70608579815049233</v>
          </cell>
        </row>
        <row r="138">
          <cell r="A138">
            <v>0.70609301420745407</v>
          </cell>
        </row>
        <row r="139">
          <cell r="A139">
            <v>0.70610025599434589</v>
          </cell>
        </row>
        <row r="140">
          <cell r="A140">
            <v>0.70610752043531722</v>
          </cell>
        </row>
        <row r="141">
          <cell r="A141">
            <v>0.70611480468046339</v>
          </cell>
        </row>
        <row r="142">
          <cell r="A142">
            <v>0.70612210609036252</v>
          </cell>
        </row>
        <row r="143">
          <cell r="A143">
            <v>0.70612942222169628</v>
          </cell>
        </row>
        <row r="144">
          <cell r="A144">
            <v>0.70613675081388061</v>
          </cell>
        </row>
        <row r="145">
          <cell r="A145">
            <v>0.70614408977663268</v>
          </cell>
        </row>
        <row r="146">
          <cell r="A146">
            <v>0.70615143717839945</v>
          </cell>
        </row>
        <row r="147">
          <cell r="A147">
            <v>0.70615879123558112</v>
          </cell>
        </row>
        <row r="148">
          <cell r="A148">
            <v>0.70616615030250762</v>
          </cell>
        </row>
        <row r="149">
          <cell r="A149">
            <v>0.70617351286208341</v>
          </cell>
        </row>
        <row r="150">
          <cell r="A150">
            <v>0.70618087751708769</v>
          </cell>
        </row>
        <row r="151">
          <cell r="A151">
            <v>0.70618824298206184</v>
          </cell>
        </row>
        <row r="152">
          <cell r="A152">
            <v>0.70619560807572956</v>
          </cell>
        </row>
        <row r="153">
          <cell r="A153">
            <v>0.70620297171395119</v>
          </cell>
        </row>
        <row r="154">
          <cell r="A154">
            <v>0.70621033290313029</v>
          </cell>
        </row>
        <row r="155">
          <cell r="A155">
            <v>0.70621769073406948</v>
          </cell>
        </row>
        <row r="156">
          <cell r="A156">
            <v>0.70622504437623235</v>
          </cell>
        </row>
        <row r="157">
          <cell r="A157">
            <v>0.70623239307238439</v>
          </cell>
        </row>
        <row r="158">
          <cell r="A158">
            <v>0.70623973613358959</v>
          </cell>
        </row>
        <row r="159">
          <cell r="A159">
            <v>0.70624707293453481</v>
          </cell>
        </row>
        <row r="160">
          <cell r="A160">
            <v>0.70625440290916086</v>
          </cell>
        </row>
        <row r="161">
          <cell r="A161">
            <v>0.70626172554656974</v>
          </cell>
        </row>
        <row r="162">
          <cell r="A162">
            <v>0.70626904038721861</v>
          </cell>
        </row>
        <row r="163">
          <cell r="A163">
            <v>0.7062763470193405</v>
          </cell>
        </row>
        <row r="164">
          <cell r="A164">
            <v>0.70628364507560382</v>
          </cell>
        </row>
        <row r="165">
          <cell r="A165">
            <v>0.70629093422999578</v>
          </cell>
        </row>
        <row r="166">
          <cell r="A166">
            <v>0.70629821419488825</v>
          </cell>
        </row>
        <row r="167">
          <cell r="A167">
            <v>0.706305484718315</v>
          </cell>
        </row>
        <row r="168">
          <cell r="A168">
            <v>0.70631274558140134</v>
          </cell>
        </row>
        <row r="169">
          <cell r="A169">
            <v>0.70631999659597755</v>
          </cell>
        </row>
        <row r="170">
          <cell r="A170">
            <v>0.70632723760233029</v>
          </cell>
        </row>
        <row r="171">
          <cell r="A171">
            <v>0.70633446846711168</v>
          </cell>
        </row>
        <row r="172">
          <cell r="A172">
            <v>0.70634168908136596</v>
          </cell>
        </row>
        <row r="173">
          <cell r="A173">
            <v>0.70634889935869882</v>
          </cell>
        </row>
        <row r="174">
          <cell r="A174">
            <v>0.70635609923355092</v>
          </cell>
        </row>
        <row r="175">
          <cell r="A175">
            <v>0.70636328865959719</v>
          </cell>
        </row>
        <row r="176">
          <cell r="A176">
            <v>0.7063704676082192</v>
          </cell>
        </row>
        <row r="177">
          <cell r="A177">
            <v>0.70637763606711634</v>
          </cell>
        </row>
        <row r="178">
          <cell r="A178">
            <v>0.70638479403897547</v>
          </cell>
        </row>
        <row r="179">
          <cell r="A179">
            <v>0.70639194154023321</v>
          </cell>
        </row>
        <row r="180">
          <cell r="A180">
            <v>0.70639907859992379</v>
          </cell>
        </row>
        <row r="181">
          <cell r="A181">
            <v>0.70640620525859743</v>
          </cell>
        </row>
        <row r="182">
          <cell r="A182">
            <v>0.70641332156731451</v>
          </cell>
        </row>
        <row r="183">
          <cell r="A183">
            <v>0.70642042758668766</v>
          </cell>
        </row>
        <row r="184">
          <cell r="A184">
            <v>0.70642752338600923</v>
          </cell>
        </row>
        <row r="185">
          <cell r="A185">
            <v>0.70643460904242594</v>
          </cell>
        </row>
        <row r="186">
          <cell r="A186">
            <v>0.70644168464016421</v>
          </cell>
        </row>
        <row r="187">
          <cell r="A187">
            <v>0.70644875026981202</v>
          </cell>
        </row>
        <row r="188">
          <cell r="A188">
            <v>0.70645580602764357</v>
          </cell>
        </row>
        <row r="189">
          <cell r="A189">
            <v>0.70646285201500136</v>
          </cell>
        </row>
        <row r="190">
          <cell r="A190">
            <v>0.70646988833770497</v>
          </cell>
        </row>
        <row r="191">
          <cell r="A191">
            <v>0.70647691510550736</v>
          </cell>
        </row>
        <row r="192">
          <cell r="A192">
            <v>0.70648393243159147</v>
          </cell>
        </row>
        <row r="193">
          <cell r="A193">
            <v>0.70649094043209393</v>
          </cell>
        </row>
        <row r="194">
          <cell r="A194">
            <v>0.70649793922567206</v>
          </cell>
        </row>
        <row r="195">
          <cell r="A195">
            <v>0.7065049289330867</v>
          </cell>
        </row>
        <row r="196">
          <cell r="A196">
            <v>0.70651190967683919</v>
          </cell>
        </row>
        <row r="197">
          <cell r="A197">
            <v>0.70651888158080134</v>
          </cell>
        </row>
        <row r="198">
          <cell r="A198">
            <v>0.70652584476990854</v>
          </cell>
        </row>
        <row r="199">
          <cell r="A199">
            <v>0.70653279936984426</v>
          </cell>
        </row>
        <row r="200">
          <cell r="A200">
            <v>0.70653974550677034</v>
          </cell>
        </row>
      </sheetData>
      <sheetData sheetId="7">
        <row r="1">
          <cell r="A1">
            <v>0.6927893775801095</v>
          </cell>
        </row>
        <row r="2">
          <cell r="A2">
            <v>0.6927873373931196</v>
          </cell>
        </row>
        <row r="3">
          <cell r="A3">
            <v>0.69278548525508976</v>
          </cell>
        </row>
        <row r="4">
          <cell r="A4">
            <v>0.69278382868351263</v>
          </cell>
        </row>
        <row r="5">
          <cell r="A5">
            <v>0.69278237547890731</v>
          </cell>
        </row>
        <row r="6">
          <cell r="A6">
            <v>0.69278113378597739</v>
          </cell>
        </row>
        <row r="7">
          <cell r="A7">
            <v>0.69278011217035496</v>
          </cell>
        </row>
        <row r="8">
          <cell r="A8">
            <v>0.69277931971245843</v>
          </cell>
        </row>
        <row r="9">
          <cell r="A9">
            <v>0.69277876611929134</v>
          </cell>
        </row>
        <row r="10">
          <cell r="A10">
            <v>0.69277846185367975</v>
          </cell>
        </row>
        <row r="11">
          <cell r="A11">
            <v>0.69277841827833098</v>
          </cell>
        </row>
        <row r="12">
          <cell r="A12">
            <v>0.69277864780879705</v>
          </cell>
        </row>
        <row r="13">
          <cell r="A13">
            <v>0.69277916406454121</v>
          </cell>
        </row>
        <row r="14">
          <cell r="A14">
            <v>0.69277998200030944</v>
          </cell>
        </row>
        <row r="15">
          <cell r="A15">
            <v>0.69278111799006092</v>
          </cell>
        </row>
        <row r="16">
          <cell r="A16">
            <v>0.69278258982234775</v>
          </cell>
        </row>
        <row r="17">
          <cell r="A17">
            <v>0.69278441654822298</v>
          </cell>
        </row>
        <row r="18">
          <cell r="A18">
            <v>0.69278661810014974</v>
          </cell>
        </row>
        <row r="19">
          <cell r="A19">
            <v>0.69278921457305154</v>
          </cell>
        </row>
        <row r="20">
          <cell r="A20">
            <v>0.69279222502803139</v>
          </cell>
        </row>
        <row r="21">
          <cell r="A21">
            <v>0.69279566564972772</v>
          </cell>
        </row>
        <row r="22">
          <cell r="A22">
            <v>0.69279954706863345</v>
          </cell>
        </row>
        <row r="23">
          <cell r="A23">
            <v>0.69280387066713356</v>
          </cell>
        </row>
        <row r="24">
          <cell r="A24">
            <v>0.69280862375201158</v>
          </cell>
        </row>
        <row r="25">
          <cell r="A25">
            <v>0.69281377364346275</v>
          </cell>
        </row>
        <row r="26">
          <cell r="A26">
            <v>0.69281926106843483</v>
          </cell>
        </row>
        <row r="27">
          <cell r="A27">
            <v>0.69282499383446172</v>
          </cell>
        </row>
        <row r="28">
          <cell r="A28">
            <v>0.69283084266280404</v>
          </cell>
        </row>
        <row r="29">
          <cell r="A29">
            <v>0.69283664224093544</v>
          </cell>
        </row>
        <row r="30">
          <cell r="A30">
            <v>0.69284220172075484</v>
          </cell>
        </row>
        <row r="31">
          <cell r="A31">
            <v>0.69284732925791981</v>
          </cell>
        </row>
        <row r="32">
          <cell r="A32">
            <v>0.69285187334335563</v>
          </cell>
        </row>
        <row r="33">
          <cell r="A33">
            <v>0.69285577795525766</v>
          </cell>
        </row>
        <row r="34">
          <cell r="A34">
            <v>0.69285913862241089</v>
          </cell>
        </row>
        <row r="35">
          <cell r="A35">
            <v>0.69286223601888863</v>
          </cell>
        </row>
        <row r="36">
          <cell r="A36">
            <v>0.69286552155782388</v>
          </cell>
        </row>
        <row r="37">
          <cell r="A37">
            <v>0.69286954434487313</v>
          </cell>
        </row>
        <row r="38">
          <cell r="A38">
            <v>0.69287483789032567</v>
          </cell>
        </row>
        <row r="39">
          <cell r="A39">
            <v>0.69288180906458996</v>
          </cell>
        </row>
        <row r="40">
          <cell r="A40">
            <v>0.69289067091340983</v>
          </cell>
        </row>
        <row r="41">
          <cell r="A41">
            <v>0.69290143575856178</v>
          </cell>
        </row>
        <row r="42">
          <cell r="A42">
            <v>0.6929139560673101</v>
          </cell>
        </row>
        <row r="43">
          <cell r="A43">
            <v>0.69292798646294396</v>
          </cell>
        </row>
        <row r="44">
          <cell r="A44">
            <v>0.69294324314844835</v>
          </cell>
        </row>
        <row r="45">
          <cell r="A45">
            <v>0.69295944792787179</v>
          </cell>
        </row>
        <row r="46">
          <cell r="A46">
            <v>0.69297635414542846</v>
          </cell>
        </row>
        <row r="47">
          <cell r="A47">
            <v>0.69299375764536708</v>
          </cell>
        </row>
        <row r="48">
          <cell r="A48">
            <v>0.6930114976823093</v>
          </cell>
        </row>
        <row r="49">
          <cell r="A49">
            <v>0.69302945228120516</v>
          </cell>
        </row>
        <row r="50">
          <cell r="A50">
            <v>0.69304753130231378</v>
          </cell>
        </row>
        <row r="51">
          <cell r="A51">
            <v>0.69306566921303647</v>
          </cell>
        </row>
        <row r="52">
          <cell r="A52">
            <v>0.69308381860915458</v>
          </cell>
        </row>
        <row r="53">
          <cell r="A53">
            <v>0.69310194490089905</v>
          </cell>
        </row>
        <row r="54">
          <cell r="A54">
            <v>0.69312002221815516</v>
          </cell>
        </row>
        <row r="55">
          <cell r="A55">
            <v>0.6931380304095861</v>
          </cell>
        </row>
        <row r="56">
          <cell r="A56">
            <v>0.69315595294151544</v>
          </cell>
        </row>
        <row r="57">
          <cell r="A57">
            <v>0.69317377549407522</v>
          </cell>
        </row>
        <row r="58">
          <cell r="A58">
            <v>0.6931914850731421</v>
          </cell>
        </row>
        <row r="59">
          <cell r="A59">
            <v>0.6932090694882358</v>
          </cell>
        </row>
        <row r="60">
          <cell r="A60">
            <v>0.6932265170795161</v>
          </cell>
        </row>
        <row r="61">
          <cell r="A61">
            <v>0.69324381660633538</v>
          </cell>
        </row>
        <row r="62">
          <cell r="A62">
            <v>0.69326095723422709</v>
          </cell>
        </row>
        <row r="63">
          <cell r="A63">
            <v>0.69327792857625159</v>
          </cell>
        </row>
        <row r="64">
          <cell r="A64">
            <v>0.69329472075911236</v>
          </cell>
        </row>
        <row r="65">
          <cell r="A65">
            <v>0.69331132449498067</v>
          </cell>
        </row>
        <row r="66">
          <cell r="A66">
            <v>0.69332773114756141</v>
          </cell>
        </row>
        <row r="67">
          <cell r="A67">
            <v>0.69334393278611683</v>
          </cell>
        </row>
        <row r="68">
          <cell r="A68">
            <v>0.69335992222460541</v>
          </cell>
        </row>
        <row r="69">
          <cell r="A69">
            <v>0.69337569304543178</v>
          </cell>
        </row>
        <row r="70">
          <cell r="A70">
            <v>0.69339123960860238</v>
          </cell>
        </row>
        <row r="71">
          <cell r="A71">
            <v>0.69340655704787091</v>
          </cell>
        </row>
        <row r="72">
          <cell r="A72">
            <v>0.69342164125579664</v>
          </cell>
        </row>
        <row r="73">
          <cell r="A73">
            <v>0.69343648885979714</v>
          </cell>
        </row>
        <row r="74">
          <cell r="A74">
            <v>0.69345109719108511</v>
          </cell>
        </row>
        <row r="75">
          <cell r="A75">
            <v>0.69346546424836608</v>
          </cell>
        </row>
        <row r="76">
          <cell r="A76">
            <v>0.69347958865784243</v>
          </cell>
        </row>
        <row r="77">
          <cell r="A77">
            <v>0.69349346963090119</v>
          </cell>
        </row>
        <row r="78">
          <cell r="A78">
            <v>0.69350710692066275</v>
          </cell>
        </row>
        <row r="79">
          <cell r="A79">
            <v>0.6935205007782631</v>
          </cell>
        </row>
        <row r="80">
          <cell r="A80">
            <v>0.69353365190968819</v>
          </cell>
        </row>
        <row r="81">
          <cell r="A81">
            <v>0.69354656143368332</v>
          </cell>
        </row>
        <row r="82">
          <cell r="A82">
            <v>0.69355923084122806</v>
          </cell>
        </row>
        <row r="83">
          <cell r="A83">
            <v>0.69357166195683595</v>
          </cell>
        </row>
        <row r="84">
          <cell r="A84">
            <v>0.69358385690195901</v>
          </cell>
        </row>
        <row r="85">
          <cell r="A85">
            <v>0.69359581806057113</v>
          </cell>
        </row>
        <row r="86">
          <cell r="A86">
            <v>0.69360754804706082</v>
          </cell>
        </row>
        <row r="87">
          <cell r="A87">
            <v>0.69361904967638888</v>
          </cell>
        </row>
        <row r="88">
          <cell r="A88">
            <v>0.69363032593652163</v>
          </cell>
        </row>
        <row r="89">
          <cell r="A89">
            <v>0.69364137996308317</v>
          </cell>
        </row>
        <row r="90">
          <cell r="A90">
            <v>0.69365221501613583</v>
          </cell>
        </row>
        <row r="91">
          <cell r="A91">
            <v>0.69366283445898524</v>
          </cell>
        </row>
        <row r="92">
          <cell r="A92">
            <v>0.69367324173892697</v>
          </cell>
        </row>
        <row r="93">
          <cell r="A93">
            <v>0.69368344036980467</v>
          </cell>
        </row>
        <row r="94">
          <cell r="A94">
            <v>0.69369343391626259</v>
          </cell>
        </row>
        <row r="95">
          <cell r="A95">
            <v>0.69370322597958234</v>
          </cell>
        </row>
        <row r="96">
          <cell r="A96">
            <v>0.69371282018499003</v>
          </cell>
        </row>
        <row r="97">
          <cell r="A97">
            <v>0.69372222017030472</v>
          </cell>
        </row>
        <row r="98">
          <cell r="A98">
            <v>0.69373142957583689</v>
          </cell>
        </row>
        <row r="99">
          <cell r="A99">
            <v>0.69374045203544332</v>
          </cell>
        </row>
        <row r="100">
          <cell r="A100">
            <v>0.69374929116859341</v>
          </cell>
        </row>
        <row r="101">
          <cell r="A101">
            <v>0.69375795057341372</v>
          </cell>
        </row>
        <row r="102">
          <cell r="A102">
            <v>0.69376643382059289</v>
          </cell>
        </row>
        <row r="103">
          <cell r="A103">
            <v>0.69377474444806009</v>
          </cell>
        </row>
        <row r="104">
          <cell r="A104">
            <v>0.69378288595638249</v>
          </cell>
        </row>
        <row r="105">
          <cell r="A105">
            <v>0.69379086180480987</v>
          </cell>
        </row>
        <row r="106">
          <cell r="A106">
            <v>0.69379867540788498</v>
          </cell>
        </row>
        <row r="107">
          <cell r="A107">
            <v>0.69380633013258752</v>
          </cell>
        </row>
        <row r="108">
          <cell r="A108">
            <v>0.69381382929593138</v>
          </cell>
        </row>
        <row r="109">
          <cell r="A109">
            <v>0.69382117616299366</v>
          </cell>
        </row>
        <row r="110">
          <cell r="A110">
            <v>0.69382837394531516</v>
          </cell>
        </row>
        <row r="111">
          <cell r="A111">
            <v>0.69383542579962521</v>
          </cell>
        </row>
        <row r="112">
          <cell r="A112">
            <v>0.6938423348268753</v>
          </cell>
        </row>
        <row r="113">
          <cell r="A113">
            <v>0.69384910407153488</v>
          </cell>
        </row>
        <row r="114">
          <cell r="A114">
            <v>0.69385573652111088</v>
          </cell>
        </row>
        <row r="115">
          <cell r="A115">
            <v>0.69386223510588474</v>
          </cell>
        </row>
        <row r="116">
          <cell r="A116">
            <v>0.6938686026988381</v>
          </cell>
        </row>
        <row r="117">
          <cell r="A117">
            <v>0.69387484211570982</v>
          </cell>
        </row>
        <row r="118">
          <cell r="A118">
            <v>0.69388095611523049</v>
          </cell>
        </row>
        <row r="119">
          <cell r="A119">
            <v>0.69388694739945223</v>
          </cell>
        </row>
        <row r="120">
          <cell r="A120">
            <v>0.69389281861419216</v>
          </cell>
        </row>
        <row r="121">
          <cell r="A121">
            <v>0.69389857234956787</v>
          </cell>
        </row>
        <row r="122">
          <cell r="A122">
            <v>0.69390421114062373</v>
          </cell>
        </row>
        <row r="123">
          <cell r="A123">
            <v>0.69390973746799545</v>
          </cell>
        </row>
        <row r="124">
          <cell r="A124">
            <v>0.69391515375866564</v>
          </cell>
        </row>
        <row r="125">
          <cell r="A125">
            <v>0.69392046238673843</v>
          </cell>
        </row>
        <row r="126">
          <cell r="A126">
            <v>0.69392566567427361</v>
          </cell>
        </row>
        <row r="127">
          <cell r="A127">
            <v>0.69393076589214198</v>
          </cell>
        </row>
        <row r="128">
          <cell r="A128">
            <v>0.69393576526090917</v>
          </cell>
        </row>
        <row r="129">
          <cell r="A129">
            <v>0.69394066595174164</v>
          </cell>
        </row>
        <row r="130">
          <cell r="A130">
            <v>0.69394547008732921</v>
          </cell>
        </row>
        <row r="131">
          <cell r="A131">
            <v>0.6939501797428077</v>
          </cell>
        </row>
        <row r="132">
          <cell r="A132">
            <v>0.69395479694670537</v>
          </cell>
        </row>
        <row r="133">
          <cell r="A133">
            <v>0.69395932368187196</v>
          </cell>
        </row>
        <row r="134">
          <cell r="A134">
            <v>0.69396376188643083</v>
          </cell>
        </row>
        <row r="135">
          <cell r="A135">
            <v>0.69396811345469978</v>
          </cell>
        </row>
        <row r="136">
          <cell r="A136">
            <v>0.69397238023814733</v>
          </cell>
        </row>
        <row r="137">
          <cell r="A137">
            <v>0.69397656404629648</v>
          </cell>
        </row>
        <row r="138">
          <cell r="A138">
            <v>0.6939806666476569</v>
          </cell>
        </row>
        <row r="139">
          <cell r="A139">
            <v>0.69398468977062278</v>
          </cell>
        </row>
        <row r="140">
          <cell r="A140">
            <v>0.6939886351043778</v>
          </cell>
        </row>
        <row r="141">
          <cell r="A141">
            <v>0.69399250429976989</v>
          </cell>
        </row>
        <row r="142">
          <cell r="A142">
            <v>0.69399629897019444</v>
          </cell>
        </row>
        <row r="143">
          <cell r="A143">
            <v>0.69400002069243683</v>
          </cell>
        </row>
        <row r="144">
          <cell r="A144">
            <v>0.69400367100753146</v>
          </cell>
        </row>
        <row r="145">
          <cell r="A145">
            <v>0.69400725142157071</v>
          </cell>
        </row>
        <row r="146">
          <cell r="A146">
            <v>0.69401076340653256</v>
          </cell>
        </row>
        <row r="147">
          <cell r="A147">
            <v>0.69401420840107342</v>
          </cell>
        </row>
        <row r="148">
          <cell r="A148">
            <v>0.69401758781130163</v>
          </cell>
        </row>
        <row r="149">
          <cell r="A149">
            <v>0.6940209030115565</v>
          </cell>
        </row>
        <row r="150">
          <cell r="A150">
            <v>0.69402415534513795</v>
          </cell>
        </row>
        <row r="151">
          <cell r="A151">
            <v>0.69402734612506067</v>
          </cell>
        </row>
        <row r="152">
          <cell r="A152">
            <v>0.69403047663475004</v>
          </cell>
        </row>
        <row r="153">
          <cell r="A153">
            <v>0.69403354812876605</v>
          </cell>
        </row>
        <row r="154">
          <cell r="A154">
            <v>0.69403656183346851</v>
          </cell>
        </row>
        <row r="155">
          <cell r="A155">
            <v>0.694039518947694</v>
          </cell>
        </row>
        <row r="156">
          <cell r="A156">
            <v>0.69404242064341592</v>
          </cell>
        </row>
        <row r="157">
          <cell r="A157">
            <v>0.69404526806637235</v>
          </cell>
        </row>
        <row r="158">
          <cell r="A158">
            <v>0.69404806233670269</v>
          </cell>
        </row>
        <row r="159">
          <cell r="A159">
            <v>0.69405080454954182</v>
          </cell>
        </row>
        <row r="160">
          <cell r="A160">
            <v>0.69405349577563324</v>
          </cell>
        </row>
        <row r="161">
          <cell r="A161">
            <v>0.69405613706188851</v>
          </cell>
        </row>
        <row r="162">
          <cell r="A162">
            <v>0.69405872943197222</v>
          </cell>
        </row>
        <row r="163">
          <cell r="A163">
            <v>0.6940612738868418</v>
          </cell>
        </row>
        <row r="164">
          <cell r="A164">
            <v>0.69406377140529407</v>
          </cell>
        </row>
        <row r="165">
          <cell r="A165">
            <v>0.69406622294448872</v>
          </cell>
        </row>
        <row r="166">
          <cell r="A166">
            <v>0.69406862944045666</v>
          </cell>
        </row>
        <row r="167">
          <cell r="A167">
            <v>0.69407099180861087</v>
          </cell>
        </row>
        <row r="168">
          <cell r="A168">
            <v>0.6940733109442262</v>
          </cell>
        </row>
        <row r="169">
          <cell r="A169">
            <v>0.69407558772291333</v>
          </cell>
        </row>
        <row r="170">
          <cell r="A170">
            <v>0.69407782300109289</v>
          </cell>
        </row>
        <row r="171">
          <cell r="A171">
            <v>0.69408001761643823</v>
          </cell>
        </row>
        <row r="172">
          <cell r="A172">
            <v>0.69408217238832193</v>
          </cell>
        </row>
        <row r="173">
          <cell r="A173">
            <v>0.6940842881182463</v>
          </cell>
        </row>
        <row r="174">
          <cell r="A174">
            <v>0.69408636559025882</v>
          </cell>
        </row>
        <row r="175">
          <cell r="A175">
            <v>0.69408840557136831</v>
          </cell>
        </row>
        <row r="176">
          <cell r="A176">
            <v>0.69409040881193484</v>
          </cell>
        </row>
        <row r="177">
          <cell r="A177">
            <v>0.69409237604606877</v>
          </cell>
        </row>
        <row r="178">
          <cell r="A178">
            <v>0.69409430799200522</v>
          </cell>
        </row>
        <row r="179">
          <cell r="A179">
            <v>0.6940962053524723</v>
          </cell>
        </row>
        <row r="180">
          <cell r="A180">
            <v>0.69409806881505332</v>
          </cell>
        </row>
        <row r="181">
          <cell r="A181">
            <v>0.69409989905254632</v>
          </cell>
        </row>
        <row r="182">
          <cell r="A182">
            <v>0.69410169672329369</v>
          </cell>
        </row>
        <row r="183">
          <cell r="A183">
            <v>0.6941034624715221</v>
          </cell>
        </row>
        <row r="184">
          <cell r="A184">
            <v>0.69410519692768102</v>
          </cell>
        </row>
        <row r="185">
          <cell r="A185">
            <v>0.69410690070873804</v>
          </cell>
        </row>
        <row r="186">
          <cell r="A186">
            <v>0.69410857441850948</v>
          </cell>
        </row>
        <row r="187">
          <cell r="A187">
            <v>0.69411021864794997</v>
          </cell>
        </row>
        <row r="188">
          <cell r="A188">
            <v>0.69411183397546217</v>
          </cell>
        </row>
        <row r="189">
          <cell r="A189">
            <v>0.69411342096716622</v>
          </cell>
        </row>
        <row r="190">
          <cell r="A190">
            <v>0.6941149801771952</v>
          </cell>
        </row>
        <row r="191">
          <cell r="A191">
            <v>0.69411651214796133</v>
          </cell>
        </row>
        <row r="192">
          <cell r="A192">
            <v>0.69411801741043055</v>
          </cell>
        </row>
        <row r="193">
          <cell r="A193">
            <v>0.69411949648437432</v>
          </cell>
        </row>
        <row r="194">
          <cell r="A194">
            <v>0.69412094987863038</v>
          </cell>
        </row>
        <row r="195">
          <cell r="A195">
            <v>0.69412237809135247</v>
          </cell>
        </row>
        <row r="196">
          <cell r="A196">
            <v>0.69412378161024402</v>
          </cell>
        </row>
        <row r="197">
          <cell r="A197">
            <v>0.69412516091280285</v>
          </cell>
        </row>
        <row r="198">
          <cell r="A198">
            <v>0.69412651646654788</v>
          </cell>
        </row>
        <row r="199">
          <cell r="A199">
            <v>0.69412784872924604</v>
          </cell>
        </row>
        <row r="200">
          <cell r="A200">
            <v>0.69412915814912723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3B2F73-854B-446B-AFF8-D7F60AB125DE}" name="Tableau1" displayName="Tableau1" ref="A1:I1763" totalsRowShown="0">
  <autoFilter ref="A1:I1763" xr:uid="{C03B2F73-854B-446B-AFF8-D7F60AB125DE}"/>
  <tableColumns count="9">
    <tableColumn id="1" xr3:uid="{9811EC22-732C-48F1-A5F7-624B698F9781}" name="date" dataDxfId="4"/>
    <tableColumn id="2" xr3:uid="{12A58D25-C218-4C6A-9542-324D3C40D648}" name="symbol"/>
    <tableColumn id="3" xr3:uid="{85BE1934-B1DA-4FD1-9D80-B8F853291C97}" name="close"/>
    <tableColumn id="4" xr3:uid="{42DC6582-2DB8-4F30-B17F-E94E2AE962E2}" name="return "/>
    <tableColumn id="5" xr3:uid="{8841363F-1E32-47B6-96A9-4974F34BB9AF}" name="return 0 1"/>
    <tableColumn id="6" xr3:uid="{F5366373-D4FC-4045-8D87-73836FDD8F67}" name="SMA"/>
    <tableColumn id="7" xr3:uid="{81F32A62-CFA5-420D-B56B-7B525D1DC99F}" name="Standard deviation"/>
    <tableColumn id="8" xr3:uid="{EE734379-F4DC-44EB-B113-C67E77D1E787}" name="Bollinger bands + 2"/>
    <tableColumn id="9" xr3:uid="{7E5781DD-1971-4637-BD0E-9193B29DB129}" name="Bollinger bands - 2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D7B7-B657-42C2-8C83-AEBAA541F5DC}">
  <sheetPr codeName="google"/>
  <dimension ref="A1:M1763"/>
  <sheetViews>
    <sheetView tabSelected="1" topLeftCell="A7" zoomScale="85" zoomScaleNormal="85" workbookViewId="0">
      <selection activeCell="T15" sqref="T15"/>
    </sheetView>
  </sheetViews>
  <sheetFormatPr baseColWidth="10" defaultRowHeight="15" x14ac:dyDescent="0.25"/>
  <cols>
    <col min="5" max="5" width="11.5703125" customWidth="1"/>
    <col min="7" max="7" width="19.85546875" customWidth="1"/>
    <col min="8" max="8" width="19.7109375" customWidth="1"/>
    <col min="9" max="9" width="20.140625" customWidth="1"/>
  </cols>
  <sheetData>
    <row r="1" spans="1:13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</row>
    <row r="2" spans="1:13" x14ac:dyDescent="0.25">
      <c r="A2" s="1">
        <v>40182</v>
      </c>
      <c r="B2" t="s">
        <v>0</v>
      </c>
      <c r="C2">
        <v>312.20530839999998</v>
      </c>
    </row>
    <row r="3" spans="1:13" x14ac:dyDescent="0.25">
      <c r="A3" s="1">
        <v>40183</v>
      </c>
      <c r="B3" t="s">
        <v>0</v>
      </c>
      <c r="C3">
        <v>310.83045859999999</v>
      </c>
      <c r="D3">
        <v>4.4036720805481116E-3</v>
      </c>
    </row>
    <row r="4" spans="1:13" x14ac:dyDescent="0.25">
      <c r="A4" s="1">
        <v>40184</v>
      </c>
      <c r="B4" t="s">
        <v>0</v>
      </c>
      <c r="C4">
        <v>302.99481259999999</v>
      </c>
      <c r="D4">
        <v>2.520874574291156E-2</v>
      </c>
      <c r="E4">
        <v>1</v>
      </c>
    </row>
    <row r="5" spans="1:13" x14ac:dyDescent="0.25">
      <c r="A5" s="1">
        <v>40185</v>
      </c>
      <c r="B5" t="s">
        <v>0</v>
      </c>
      <c r="C5">
        <v>295.94124210000001</v>
      </c>
      <c r="D5">
        <v>2.3279509109325188E-2</v>
      </c>
      <c r="E5">
        <v>1</v>
      </c>
    </row>
    <row r="6" spans="1:13" x14ac:dyDescent="0.25">
      <c r="A6" s="1">
        <v>40186</v>
      </c>
      <c r="B6" t="s">
        <v>0</v>
      </c>
      <c r="C6">
        <v>299.88646990000001</v>
      </c>
      <c r="D6">
        <v>-1.3331118609912727E-2</v>
      </c>
      <c r="E6">
        <v>0</v>
      </c>
    </row>
    <row r="7" spans="1:13" x14ac:dyDescent="0.25">
      <c r="A7" s="1">
        <v>40189</v>
      </c>
      <c r="B7" t="s">
        <v>0</v>
      </c>
      <c r="C7">
        <v>299.43316099999998</v>
      </c>
      <c r="D7">
        <v>1.5116017076435115E-3</v>
      </c>
      <c r="E7">
        <v>1</v>
      </c>
    </row>
    <row r="8" spans="1:13" x14ac:dyDescent="0.25">
      <c r="A8" s="1">
        <v>40190</v>
      </c>
      <c r="B8" t="s">
        <v>0</v>
      </c>
      <c r="C8">
        <v>294.13801649999999</v>
      </c>
      <c r="D8">
        <v>1.7683894737363415E-2</v>
      </c>
      <c r="E8">
        <v>1</v>
      </c>
    </row>
    <row r="9" spans="1:13" x14ac:dyDescent="0.25">
      <c r="A9" s="1">
        <v>40191</v>
      </c>
      <c r="B9" t="s">
        <v>0</v>
      </c>
      <c r="C9">
        <v>292.44932360000001</v>
      </c>
      <c r="D9">
        <v>5.7411582497700637E-3</v>
      </c>
      <c r="E9">
        <v>1</v>
      </c>
      <c r="K9" t="s">
        <v>63</v>
      </c>
    </row>
    <row r="10" spans="1:13" x14ac:dyDescent="0.25">
      <c r="A10" s="1">
        <v>40192</v>
      </c>
      <c r="B10" t="s">
        <v>0</v>
      </c>
      <c r="C10">
        <v>293.82417340000001</v>
      </c>
      <c r="D10">
        <v>-4.7011556842595226E-3</v>
      </c>
      <c r="E10">
        <v>0</v>
      </c>
    </row>
    <row r="11" spans="1:13" x14ac:dyDescent="0.25">
      <c r="A11" s="1">
        <v>40193</v>
      </c>
      <c r="B11" t="s">
        <v>0</v>
      </c>
      <c r="C11">
        <v>288.91754859999998</v>
      </c>
      <c r="D11">
        <v>1.6699186943071414E-2</v>
      </c>
      <c r="E11">
        <v>1</v>
      </c>
    </row>
    <row r="12" spans="1:13" x14ac:dyDescent="0.25">
      <c r="A12" s="1">
        <v>40197</v>
      </c>
      <c r="B12" t="s">
        <v>0</v>
      </c>
      <c r="C12">
        <v>292.7133316</v>
      </c>
      <c r="D12">
        <v>-1.3137945474039748E-2</v>
      </c>
      <c r="E12">
        <v>0</v>
      </c>
      <c r="K12" s="14" t="s">
        <v>27</v>
      </c>
      <c r="L12" s="14" t="s">
        <v>28</v>
      </c>
      <c r="M12" s="14" t="s">
        <v>29</v>
      </c>
    </row>
    <row r="13" spans="1:13" x14ac:dyDescent="0.25">
      <c r="A13" s="1">
        <v>40198</v>
      </c>
      <c r="B13" t="s">
        <v>0</v>
      </c>
      <c r="C13">
        <v>289.121803</v>
      </c>
      <c r="D13">
        <v>1.2269781428704846E-2</v>
      </c>
      <c r="E13">
        <v>1</v>
      </c>
      <c r="K13" s="14" t="s">
        <v>28</v>
      </c>
      <c r="L13" s="13">
        <v>861</v>
      </c>
      <c r="M13" s="13">
        <v>0</v>
      </c>
    </row>
    <row r="14" spans="1:13" x14ac:dyDescent="0.25">
      <c r="A14" s="1">
        <v>40199</v>
      </c>
      <c r="B14" t="s">
        <v>0</v>
      </c>
      <c r="C14">
        <v>290.40198709999999</v>
      </c>
      <c r="D14">
        <v>-4.4278365959138175E-3</v>
      </c>
      <c r="E14">
        <v>0</v>
      </c>
      <c r="K14" s="14" t="s">
        <v>29</v>
      </c>
      <c r="L14" s="13">
        <v>0</v>
      </c>
      <c r="M14" s="13">
        <v>901</v>
      </c>
    </row>
    <row r="15" spans="1:13" x14ac:dyDescent="0.25">
      <c r="A15" s="1">
        <v>40200</v>
      </c>
      <c r="B15" t="s">
        <v>0</v>
      </c>
      <c r="C15">
        <v>273.97852769999997</v>
      </c>
      <c r="D15">
        <v>5.6554225279266394E-2</v>
      </c>
      <c r="E15">
        <v>1</v>
      </c>
    </row>
    <row r="16" spans="1:13" x14ac:dyDescent="0.25">
      <c r="A16" s="1">
        <v>40203</v>
      </c>
      <c r="B16" t="s">
        <v>0</v>
      </c>
      <c r="C16">
        <v>268.99222159999999</v>
      </c>
      <c r="D16">
        <v>1.8199623678027303E-2</v>
      </c>
      <c r="E16">
        <v>1</v>
      </c>
    </row>
    <row r="17" spans="1:12" x14ac:dyDescent="0.25">
      <c r="A17" s="1">
        <v>40204</v>
      </c>
      <c r="B17" t="s">
        <v>0</v>
      </c>
      <c r="C17">
        <v>270.19769819999999</v>
      </c>
      <c r="D17">
        <v>-4.481455236250583E-3</v>
      </c>
      <c r="E17">
        <v>0</v>
      </c>
    </row>
    <row r="18" spans="1:12" x14ac:dyDescent="0.25">
      <c r="A18" s="1">
        <v>40205</v>
      </c>
      <c r="B18" t="s">
        <v>0</v>
      </c>
      <c r="C18">
        <v>270.0383046</v>
      </c>
      <c r="D18">
        <v>5.8991472193077013E-4</v>
      </c>
      <c r="E18">
        <v>1</v>
      </c>
    </row>
    <row r="19" spans="1:12" x14ac:dyDescent="0.25">
      <c r="A19" s="1">
        <v>40206</v>
      </c>
      <c r="B19" t="s">
        <v>0</v>
      </c>
      <c r="C19">
        <v>266.14785649999999</v>
      </c>
      <c r="D19">
        <v>1.4407023128673629E-2</v>
      </c>
      <c r="E19">
        <v>1</v>
      </c>
    </row>
    <row r="20" spans="1:12" x14ac:dyDescent="0.25">
      <c r="A20" s="1">
        <v>40207</v>
      </c>
      <c r="B20" t="s">
        <v>0</v>
      </c>
      <c r="C20">
        <v>263.98098249999998</v>
      </c>
      <c r="D20">
        <v>8.1416173269086879E-3</v>
      </c>
      <c r="E20">
        <v>1</v>
      </c>
    </row>
    <row r="21" spans="1:12" x14ac:dyDescent="0.25">
      <c r="A21" s="1">
        <v>40210</v>
      </c>
      <c r="B21" t="s">
        <v>0</v>
      </c>
      <c r="C21">
        <v>265.5152258</v>
      </c>
      <c r="D21">
        <v>-5.8119463207923104E-3</v>
      </c>
      <c r="E21">
        <v>0</v>
      </c>
      <c r="F21">
        <v>287.08542266500001</v>
      </c>
      <c r="G21">
        <v>0</v>
      </c>
      <c r="H21">
        <v>287.08542266500001</v>
      </c>
      <c r="I21">
        <v>287.08542266500001</v>
      </c>
    </row>
    <row r="22" spans="1:12" x14ac:dyDescent="0.25">
      <c r="A22" s="1">
        <v>40211</v>
      </c>
      <c r="B22" t="s">
        <v>0</v>
      </c>
      <c r="C22">
        <v>264.56878280000001</v>
      </c>
      <c r="D22">
        <v>3.5645526434438771E-3</v>
      </c>
      <c r="E22">
        <v>1</v>
      </c>
      <c r="F22">
        <v>284.70359638499997</v>
      </c>
      <c r="G22">
        <v>15.235955957138067</v>
      </c>
      <c r="H22">
        <v>315.17550829927609</v>
      </c>
      <c r="I22">
        <v>254.23168447072385</v>
      </c>
    </row>
    <row r="23" spans="1:12" x14ac:dyDescent="0.25">
      <c r="A23" s="1">
        <v>40212</v>
      </c>
      <c r="B23" t="s">
        <v>0</v>
      </c>
      <c r="C23">
        <v>269.40066969999998</v>
      </c>
      <c r="D23">
        <v>-1.8263254072770265E-2</v>
      </c>
      <c r="E23">
        <v>0</v>
      </c>
      <c r="F23">
        <v>282.63210693999997</v>
      </c>
      <c r="G23">
        <v>14.794551367511373</v>
      </c>
      <c r="H23">
        <v>312.22120967502269</v>
      </c>
      <c r="I23">
        <v>253.04300420497722</v>
      </c>
    </row>
    <row r="24" spans="1:12" x14ac:dyDescent="0.25">
      <c r="A24" s="1">
        <v>40213</v>
      </c>
      <c r="B24" t="s">
        <v>0</v>
      </c>
      <c r="C24">
        <v>262.40688310000002</v>
      </c>
      <c r="D24">
        <v>2.596053902831098E-2</v>
      </c>
      <c r="E24">
        <v>1</v>
      </c>
      <c r="F24">
        <v>280.60271046499997</v>
      </c>
      <c r="G24">
        <v>13.856168120134324</v>
      </c>
      <c r="H24">
        <v>308.31504670526863</v>
      </c>
      <c r="I24">
        <v>252.89037422473132</v>
      </c>
    </row>
    <row r="25" spans="1:12" x14ac:dyDescent="0.25">
      <c r="A25" s="1">
        <v>40214</v>
      </c>
      <c r="B25" t="s">
        <v>0</v>
      </c>
      <c r="C25">
        <v>264.65346879999998</v>
      </c>
      <c r="D25">
        <v>-8.5614587295098615E-3</v>
      </c>
      <c r="E25">
        <v>0</v>
      </c>
      <c r="F25">
        <v>279.03832180000001</v>
      </c>
      <c r="G25">
        <v>13.635424512725583</v>
      </c>
      <c r="H25">
        <v>306.30917082545119</v>
      </c>
      <c r="I25">
        <v>251.76747277454885</v>
      </c>
    </row>
    <row r="26" spans="1:12" x14ac:dyDescent="0.25">
      <c r="A26" s="1">
        <v>40217</v>
      </c>
      <c r="B26" t="s">
        <v>0</v>
      </c>
      <c r="C26">
        <v>265.73940850000002</v>
      </c>
      <c r="D26">
        <v>-4.1032513381515142E-3</v>
      </c>
      <c r="E26">
        <v>0</v>
      </c>
      <c r="F26">
        <v>277.33096873000005</v>
      </c>
      <c r="G26">
        <v>13.597816744097148</v>
      </c>
      <c r="H26">
        <v>304.52660221819434</v>
      </c>
      <c r="I26">
        <v>250.13533524180576</v>
      </c>
    </row>
    <row r="27" spans="1:12" x14ac:dyDescent="0.25">
      <c r="A27" s="1">
        <v>40218</v>
      </c>
      <c r="B27" t="s">
        <v>0</v>
      </c>
      <c r="C27">
        <v>267.2188726</v>
      </c>
      <c r="D27">
        <v>-5.5673492627645879E-3</v>
      </c>
      <c r="E27">
        <v>0</v>
      </c>
      <c r="F27">
        <v>275.72025431000009</v>
      </c>
      <c r="G27">
        <v>12.991370325167276</v>
      </c>
      <c r="H27">
        <v>301.70299496033465</v>
      </c>
      <c r="I27">
        <v>249.73751365966552</v>
      </c>
    </row>
    <row r="28" spans="1:12" x14ac:dyDescent="0.25">
      <c r="A28" s="1">
        <v>40219</v>
      </c>
      <c r="B28" t="s">
        <v>0</v>
      </c>
      <c r="C28">
        <v>266.22756820000001</v>
      </c>
      <c r="D28">
        <v>3.7097095364363496E-3</v>
      </c>
      <c r="E28">
        <v>1</v>
      </c>
      <c r="F28">
        <v>274.32473189500007</v>
      </c>
      <c r="G28">
        <v>12.092219113997571</v>
      </c>
      <c r="H28">
        <v>298.50917012299522</v>
      </c>
      <c r="I28">
        <v>250.14029366700493</v>
      </c>
    </row>
    <row r="29" spans="1:12" x14ac:dyDescent="0.25">
      <c r="A29" s="1">
        <v>40220</v>
      </c>
      <c r="B29" t="s">
        <v>0</v>
      </c>
      <c r="C29">
        <v>267.19894429999999</v>
      </c>
      <c r="D29">
        <v>-3.6486683425296235E-3</v>
      </c>
      <c r="E29">
        <v>0</v>
      </c>
      <c r="F29">
        <v>273.06221292999999</v>
      </c>
      <c r="G29">
        <v>11.465845275912192</v>
      </c>
      <c r="H29">
        <v>295.99390348182436</v>
      </c>
      <c r="I29">
        <v>250.13052237817561</v>
      </c>
    </row>
    <row r="30" spans="1:12" x14ac:dyDescent="0.25">
      <c r="A30" s="1">
        <v>40221</v>
      </c>
      <c r="B30" t="s">
        <v>0</v>
      </c>
      <c r="C30">
        <v>265.56506100000001</v>
      </c>
      <c r="D30">
        <v>6.1148568692154801E-3</v>
      </c>
      <c r="E30">
        <v>1</v>
      </c>
      <c r="F30">
        <v>271.64925731</v>
      </c>
      <c r="G30">
        <v>10.788324449147936</v>
      </c>
      <c r="H30">
        <v>293.2259062082959</v>
      </c>
      <c r="I30">
        <v>250.07260841170412</v>
      </c>
      <c r="L30" t="s">
        <v>64</v>
      </c>
    </row>
    <row r="31" spans="1:12" x14ac:dyDescent="0.25">
      <c r="A31" s="1">
        <v>40225</v>
      </c>
      <c r="B31" t="s">
        <v>0</v>
      </c>
      <c r="C31">
        <v>269.63977490000002</v>
      </c>
      <c r="D31">
        <v>-1.5343561704451799E-2</v>
      </c>
      <c r="E31">
        <v>0</v>
      </c>
      <c r="F31">
        <v>270.68536862500002</v>
      </c>
      <c r="G31">
        <v>9.7253047702453994</v>
      </c>
      <c r="H31">
        <v>290.13597816549083</v>
      </c>
      <c r="I31">
        <v>251.23475908450922</v>
      </c>
      <c r="L31" t="s">
        <v>65</v>
      </c>
    </row>
    <row r="32" spans="1:12" x14ac:dyDescent="0.25">
      <c r="A32" s="1">
        <v>40226</v>
      </c>
      <c r="B32" t="s">
        <v>0</v>
      </c>
      <c r="C32">
        <v>268.10055729999999</v>
      </c>
      <c r="D32">
        <v>5.7084219142775625E-3</v>
      </c>
      <c r="E32">
        <v>1</v>
      </c>
      <c r="F32">
        <v>269.45472991000003</v>
      </c>
      <c r="G32">
        <v>8.9179632484588769</v>
      </c>
      <c r="H32">
        <v>287.29065640691778</v>
      </c>
      <c r="I32">
        <v>251.61880341308228</v>
      </c>
      <c r="L32" t="s">
        <v>66</v>
      </c>
    </row>
    <row r="33" spans="1:9" x14ac:dyDescent="0.25">
      <c r="A33" s="1">
        <v>40227</v>
      </c>
      <c r="B33" t="s">
        <v>0</v>
      </c>
      <c r="C33">
        <v>270.59619750000002</v>
      </c>
      <c r="D33">
        <v>-9.3085975841797532E-3</v>
      </c>
      <c r="E33">
        <v>0</v>
      </c>
      <c r="F33">
        <v>268.52844963499996</v>
      </c>
      <c r="G33">
        <v>7.309693919234757</v>
      </c>
      <c r="H33">
        <v>283.14783747346945</v>
      </c>
      <c r="I33">
        <v>253.90906179653044</v>
      </c>
    </row>
    <row r="34" spans="1:9" x14ac:dyDescent="0.25">
      <c r="A34" s="1">
        <v>40228</v>
      </c>
      <c r="B34" t="s">
        <v>0</v>
      </c>
      <c r="C34">
        <v>269.37079260000002</v>
      </c>
      <c r="D34">
        <v>4.5285370279454897E-3</v>
      </c>
      <c r="E34">
        <v>1</v>
      </c>
      <c r="F34">
        <v>267.47688991000001</v>
      </c>
      <c r="G34">
        <v>5.7919661574470815</v>
      </c>
      <c r="H34">
        <v>279.0608222248942</v>
      </c>
      <c r="I34">
        <v>255.89295759510586</v>
      </c>
    </row>
    <row r="35" spans="1:9" x14ac:dyDescent="0.25">
      <c r="A35" s="1">
        <v>40231</v>
      </c>
      <c r="B35" t="s">
        <v>0</v>
      </c>
      <c r="C35">
        <v>270.38699910000003</v>
      </c>
      <c r="D35">
        <v>-3.772519248250561E-3</v>
      </c>
      <c r="E35">
        <v>0</v>
      </c>
      <c r="F35">
        <v>267.29731347999996</v>
      </c>
      <c r="G35">
        <v>2.7350427738220304</v>
      </c>
      <c r="H35">
        <v>272.76739902764405</v>
      </c>
      <c r="I35">
        <v>261.82722793235587</v>
      </c>
    </row>
    <row r="36" spans="1:9" x14ac:dyDescent="0.25">
      <c r="A36" s="1">
        <v>40232</v>
      </c>
      <c r="B36" t="s">
        <v>0</v>
      </c>
      <c r="C36">
        <v>266.53640660000002</v>
      </c>
      <c r="D36">
        <v>1.4241041591559291E-2</v>
      </c>
      <c r="E36">
        <v>1</v>
      </c>
      <c r="F36">
        <v>267.17452272999998</v>
      </c>
      <c r="G36">
        <v>2.3960202903495857</v>
      </c>
      <c r="H36">
        <v>271.96656331069914</v>
      </c>
      <c r="I36">
        <v>262.38248214930081</v>
      </c>
    </row>
    <row r="37" spans="1:9" x14ac:dyDescent="0.25">
      <c r="A37" s="1">
        <v>40233</v>
      </c>
      <c r="B37" t="s">
        <v>0</v>
      </c>
      <c r="C37">
        <v>264.74312980000002</v>
      </c>
      <c r="D37">
        <v>6.7280744978723698E-3</v>
      </c>
      <c r="E37">
        <v>1</v>
      </c>
      <c r="F37">
        <v>266.90179431000001</v>
      </c>
      <c r="G37">
        <v>2.38127112557788</v>
      </c>
      <c r="H37">
        <v>271.66433656115578</v>
      </c>
      <c r="I37">
        <v>262.13925205884425</v>
      </c>
    </row>
    <row r="38" spans="1:9" x14ac:dyDescent="0.25">
      <c r="A38" s="1">
        <v>40234</v>
      </c>
      <c r="B38" t="s">
        <v>0</v>
      </c>
      <c r="C38">
        <v>262.2325361</v>
      </c>
      <c r="D38">
        <v>9.483130693123714E-3</v>
      </c>
      <c r="E38">
        <v>1</v>
      </c>
      <c r="F38">
        <v>266.51150588500002</v>
      </c>
      <c r="G38">
        <v>2.347896873572334</v>
      </c>
      <c r="H38">
        <v>271.20729963214467</v>
      </c>
      <c r="I38">
        <v>261.81571213785537</v>
      </c>
    </row>
    <row r="39" spans="1:9" x14ac:dyDescent="0.25">
      <c r="A39" s="1">
        <v>40235</v>
      </c>
      <c r="B39" t="s">
        <v>0</v>
      </c>
      <c r="C39">
        <v>262.41686220000003</v>
      </c>
      <c r="D39">
        <v>-7.0291086964788404E-4</v>
      </c>
      <c r="E39">
        <v>0</v>
      </c>
      <c r="F39">
        <v>266.32495617000006</v>
      </c>
      <c r="G39">
        <v>2.4168128159495876</v>
      </c>
      <c r="H39">
        <v>271.15858180189923</v>
      </c>
      <c r="I39">
        <v>261.4913305381009</v>
      </c>
    </row>
    <row r="40" spans="1:9" x14ac:dyDescent="0.25">
      <c r="A40" s="1">
        <v>40238</v>
      </c>
      <c r="B40" t="s">
        <v>0</v>
      </c>
      <c r="C40">
        <v>265.35085779999997</v>
      </c>
      <c r="D40">
        <v>-1.1180667185037112E-2</v>
      </c>
      <c r="E40">
        <v>0</v>
      </c>
      <c r="F40">
        <v>266.39344993500004</v>
      </c>
      <c r="G40">
        <v>2.5705577784683005</v>
      </c>
      <c r="H40">
        <v>271.53456549193663</v>
      </c>
      <c r="I40">
        <v>261.25233437806344</v>
      </c>
    </row>
    <row r="41" spans="1:9" x14ac:dyDescent="0.25">
      <c r="A41" s="1">
        <v>40239</v>
      </c>
      <c r="B41" t="s">
        <v>0</v>
      </c>
      <c r="C41">
        <v>269.52023750000001</v>
      </c>
      <c r="D41">
        <v>-1.5712704811162048E-2</v>
      </c>
      <c r="E41">
        <v>0</v>
      </c>
      <c r="F41">
        <v>266.59370052000008</v>
      </c>
      <c r="G41">
        <v>2.5320382206807555</v>
      </c>
      <c r="H41">
        <v>271.65777696136161</v>
      </c>
      <c r="I41">
        <v>261.52962407863856</v>
      </c>
    </row>
    <row r="42" spans="1:9" x14ac:dyDescent="0.25">
      <c r="A42" s="1">
        <v>40240</v>
      </c>
      <c r="B42" t="s">
        <v>0</v>
      </c>
      <c r="C42">
        <v>271.64228100000003</v>
      </c>
      <c r="D42">
        <v>-7.8734106191191595E-3</v>
      </c>
      <c r="E42">
        <v>0</v>
      </c>
      <c r="F42">
        <v>266.94737543000002</v>
      </c>
      <c r="G42">
        <v>2.6279990566271283</v>
      </c>
      <c r="H42">
        <v>272.20337354325426</v>
      </c>
      <c r="I42">
        <v>261.69137731674579</v>
      </c>
    </row>
    <row r="43" spans="1:9" x14ac:dyDescent="0.25">
      <c r="A43" s="1">
        <v>40241</v>
      </c>
      <c r="B43" t="s">
        <v>0</v>
      </c>
      <c r="C43">
        <v>276.25999519999999</v>
      </c>
      <c r="D43">
        <v>-1.699924688822638E-2</v>
      </c>
      <c r="E43">
        <v>0</v>
      </c>
      <c r="F43">
        <v>267.29034170500006</v>
      </c>
      <c r="G43">
        <v>2.8005761332280934</v>
      </c>
      <c r="H43">
        <v>272.89149397145627</v>
      </c>
      <c r="I43">
        <v>261.68918943854385</v>
      </c>
    </row>
    <row r="44" spans="1:9" x14ac:dyDescent="0.25">
      <c r="A44" s="1">
        <v>40242</v>
      </c>
      <c r="B44" t="s">
        <v>0</v>
      </c>
      <c r="C44">
        <v>281.05202600000001</v>
      </c>
      <c r="D44">
        <v>-1.7346090216684477E-2</v>
      </c>
      <c r="E44">
        <v>0</v>
      </c>
      <c r="F44">
        <v>268.22259885000005</v>
      </c>
      <c r="G44">
        <v>3.5372856883639838</v>
      </c>
      <c r="H44">
        <v>275.29717022672804</v>
      </c>
      <c r="I44">
        <v>261.14802747327207</v>
      </c>
    </row>
    <row r="45" spans="1:9" x14ac:dyDescent="0.25">
      <c r="A45" s="1">
        <v>40245</v>
      </c>
      <c r="B45" t="s">
        <v>0</v>
      </c>
      <c r="C45">
        <v>280.19026910000002</v>
      </c>
      <c r="D45">
        <v>3.0661828426029169E-3</v>
      </c>
      <c r="E45">
        <v>1</v>
      </c>
      <c r="F45">
        <v>268.99943886500006</v>
      </c>
      <c r="G45">
        <v>4.4333343000080445</v>
      </c>
      <c r="H45">
        <v>277.86610746501617</v>
      </c>
      <c r="I45">
        <v>260.13277026498395</v>
      </c>
    </row>
    <row r="46" spans="1:9" x14ac:dyDescent="0.25">
      <c r="A46" s="1">
        <v>40246</v>
      </c>
      <c r="B46" t="s">
        <v>0</v>
      </c>
      <c r="C46">
        <v>279.04952040000001</v>
      </c>
      <c r="D46">
        <v>4.0713358949410325E-3</v>
      </c>
      <c r="E46">
        <v>1</v>
      </c>
      <c r="F46">
        <v>269.66494446000007</v>
      </c>
      <c r="G46">
        <v>5.0413006248129895</v>
      </c>
      <c r="H46">
        <v>279.74754570962602</v>
      </c>
      <c r="I46">
        <v>259.58234321037412</v>
      </c>
    </row>
    <row r="47" spans="1:9" x14ac:dyDescent="0.25">
      <c r="A47" s="1">
        <v>40247</v>
      </c>
      <c r="B47" t="s">
        <v>0</v>
      </c>
      <c r="C47">
        <v>287.14917389999999</v>
      </c>
      <c r="D47">
        <v>-2.9025864256600916E-2</v>
      </c>
      <c r="E47">
        <v>0</v>
      </c>
      <c r="F47">
        <v>270.66145952500005</v>
      </c>
      <c r="G47">
        <v>5.4809466257691746</v>
      </c>
      <c r="H47">
        <v>281.62335277653841</v>
      </c>
      <c r="I47">
        <v>259.6995662734617</v>
      </c>
    </row>
    <row r="48" spans="1:9" x14ac:dyDescent="0.25">
      <c r="A48" s="1">
        <v>40248</v>
      </c>
      <c r="B48" t="s">
        <v>0</v>
      </c>
      <c r="C48">
        <v>289.4854206</v>
      </c>
      <c r="D48">
        <v>-8.1360035561641713E-3</v>
      </c>
      <c r="E48">
        <v>0</v>
      </c>
      <c r="F48">
        <v>271.82435214500009</v>
      </c>
      <c r="G48">
        <v>6.6627892949538063</v>
      </c>
      <c r="H48">
        <v>285.14993073490768</v>
      </c>
      <c r="I48">
        <v>258.4987735550925</v>
      </c>
    </row>
    <row r="49" spans="1:9" x14ac:dyDescent="0.25">
      <c r="A49" s="1">
        <v>40249</v>
      </c>
      <c r="B49" t="s">
        <v>0</v>
      </c>
      <c r="C49">
        <v>288.68842239999998</v>
      </c>
      <c r="D49">
        <v>2.7531548854796408E-3</v>
      </c>
      <c r="E49">
        <v>1</v>
      </c>
      <c r="F49">
        <v>272.89882605000003</v>
      </c>
      <c r="G49">
        <v>7.7185959075298252</v>
      </c>
      <c r="H49">
        <v>288.33601786505966</v>
      </c>
      <c r="I49">
        <v>257.46163423494039</v>
      </c>
    </row>
    <row r="50" spans="1:9" x14ac:dyDescent="0.25">
      <c r="A50" s="1">
        <v>40252</v>
      </c>
      <c r="B50" t="s">
        <v>0</v>
      </c>
      <c r="C50">
        <v>280.53896359999999</v>
      </c>
      <c r="D50">
        <v>2.8229253990339417E-2</v>
      </c>
      <c r="E50">
        <v>1</v>
      </c>
      <c r="F50">
        <v>273.64752118000001</v>
      </c>
      <c r="G50">
        <v>8.4248680837161647</v>
      </c>
      <c r="H50">
        <v>290.49725734743237</v>
      </c>
      <c r="I50">
        <v>256.79778501256766</v>
      </c>
    </row>
    <row r="51" spans="1:9" x14ac:dyDescent="0.25">
      <c r="A51" s="1">
        <v>40253</v>
      </c>
      <c r="B51" t="s">
        <v>0</v>
      </c>
      <c r="C51">
        <v>281.54519099999999</v>
      </c>
      <c r="D51">
        <v>-3.5867652289280801E-3</v>
      </c>
      <c r="E51">
        <v>0</v>
      </c>
      <c r="F51">
        <v>274.242791985</v>
      </c>
      <c r="G51">
        <v>8.3929160821879485</v>
      </c>
      <c r="H51">
        <v>291.0286241493759</v>
      </c>
      <c r="I51">
        <v>257.45695982062409</v>
      </c>
    </row>
    <row r="52" spans="1:9" x14ac:dyDescent="0.25">
      <c r="A52" s="1">
        <v>40254</v>
      </c>
      <c r="B52" t="s">
        <v>0</v>
      </c>
      <c r="C52">
        <v>281.72451239999998</v>
      </c>
      <c r="D52">
        <v>-6.3691871050282681E-4</v>
      </c>
      <c r="E52">
        <v>0</v>
      </c>
      <c r="F52">
        <v>274.92398974000002</v>
      </c>
      <c r="G52">
        <v>8.5153939426511389</v>
      </c>
      <c r="H52">
        <v>291.95477762530231</v>
      </c>
      <c r="I52">
        <v>257.89320185469774</v>
      </c>
    </row>
    <row r="53" spans="1:9" x14ac:dyDescent="0.25">
      <c r="A53" s="1">
        <v>40255</v>
      </c>
      <c r="B53" t="s">
        <v>0</v>
      </c>
      <c r="C53">
        <v>282.14294000000001</v>
      </c>
      <c r="D53">
        <v>-1.4852367528670521E-3</v>
      </c>
      <c r="E53">
        <v>0</v>
      </c>
      <c r="F53">
        <v>275.50132686500001</v>
      </c>
      <c r="G53">
        <v>8.5340287123807723</v>
      </c>
      <c r="H53">
        <v>292.56938428976156</v>
      </c>
      <c r="I53">
        <v>258.43326944023846</v>
      </c>
    </row>
    <row r="54" spans="1:9" x14ac:dyDescent="0.25">
      <c r="A54" s="1">
        <v>40256</v>
      </c>
      <c r="B54" t="s">
        <v>0</v>
      </c>
      <c r="C54">
        <v>278.95488510000001</v>
      </c>
      <c r="D54">
        <v>1.1299431770293446E-2</v>
      </c>
      <c r="E54">
        <v>1</v>
      </c>
      <c r="F54">
        <v>275.98053148999998</v>
      </c>
      <c r="G54">
        <v>8.6059177130473277</v>
      </c>
      <c r="H54">
        <v>293.19236691609461</v>
      </c>
      <c r="I54">
        <v>258.76869606390534</v>
      </c>
    </row>
    <row r="55" spans="1:9" x14ac:dyDescent="0.25">
      <c r="A55" s="1">
        <v>40259</v>
      </c>
      <c r="B55" t="s">
        <v>0</v>
      </c>
      <c r="C55">
        <v>277.70955190000001</v>
      </c>
      <c r="D55">
        <v>4.4642817405888997E-3</v>
      </c>
      <c r="E55">
        <v>1</v>
      </c>
      <c r="F55">
        <v>276.34665912999998</v>
      </c>
      <c r="G55">
        <v>8.5119783653790382</v>
      </c>
      <c r="H55">
        <v>293.37061586075805</v>
      </c>
      <c r="I55">
        <v>259.3227023992419</v>
      </c>
    </row>
    <row r="56" spans="1:9" x14ac:dyDescent="0.25">
      <c r="A56" s="1">
        <v>40260</v>
      </c>
      <c r="B56" t="s">
        <v>0</v>
      </c>
      <c r="C56">
        <v>273.475414</v>
      </c>
      <c r="D56">
        <v>1.5246641215728407E-2</v>
      </c>
      <c r="E56">
        <v>1</v>
      </c>
      <c r="F56">
        <v>276.69360949999998</v>
      </c>
      <c r="G56">
        <v>8.4196880407406365</v>
      </c>
      <c r="H56">
        <v>293.53298558148123</v>
      </c>
      <c r="I56">
        <v>259.85423341851873</v>
      </c>
    </row>
    <row r="57" spans="1:9" x14ac:dyDescent="0.25">
      <c r="A57" s="1">
        <v>40261</v>
      </c>
      <c r="B57" t="s">
        <v>0</v>
      </c>
      <c r="C57">
        <v>277.62486580000001</v>
      </c>
      <c r="D57">
        <v>-1.5173034165330886E-2</v>
      </c>
      <c r="E57">
        <v>0</v>
      </c>
      <c r="F57">
        <v>277.33769629999995</v>
      </c>
      <c r="G57">
        <v>8.1648879407832453</v>
      </c>
      <c r="H57">
        <v>293.66747218156644</v>
      </c>
      <c r="I57">
        <v>261.00792041843346</v>
      </c>
    </row>
    <row r="58" spans="1:9" x14ac:dyDescent="0.25">
      <c r="A58" s="1">
        <v>40262</v>
      </c>
      <c r="B58" t="s">
        <v>0</v>
      </c>
      <c r="C58">
        <v>280.3895187</v>
      </c>
      <c r="D58">
        <v>-9.9582322787744593E-3</v>
      </c>
      <c r="E58">
        <v>0</v>
      </c>
      <c r="F58">
        <v>278.24554542999999</v>
      </c>
      <c r="G58">
        <v>7.7176779654459482</v>
      </c>
      <c r="H58">
        <v>293.68090136089188</v>
      </c>
      <c r="I58">
        <v>262.81018949910811</v>
      </c>
    </row>
    <row r="59" spans="1:9" x14ac:dyDescent="0.25">
      <c r="A59" s="1">
        <v>40263</v>
      </c>
      <c r="B59" t="s">
        <v>0</v>
      </c>
      <c r="C59">
        <v>280.29488350000003</v>
      </c>
      <c r="D59">
        <v>3.3751332945232025E-4</v>
      </c>
      <c r="E59">
        <v>1</v>
      </c>
      <c r="F59">
        <v>279.13944649500002</v>
      </c>
      <c r="G59">
        <v>6.9116293282646799</v>
      </c>
      <c r="H59">
        <v>292.96270515152935</v>
      </c>
      <c r="I59">
        <v>265.31618783847068</v>
      </c>
    </row>
    <row r="60" spans="1:9" x14ac:dyDescent="0.25">
      <c r="A60" s="1">
        <v>40266</v>
      </c>
      <c r="B60" t="s">
        <v>0</v>
      </c>
      <c r="C60">
        <v>280.17531559999998</v>
      </c>
      <c r="D60">
        <v>4.2657896036853475E-4</v>
      </c>
      <c r="E60">
        <v>1</v>
      </c>
      <c r="F60">
        <v>279.88066938500003</v>
      </c>
      <c r="G60">
        <v>5.8655384921118383</v>
      </c>
      <c r="H60">
        <v>291.61174636922374</v>
      </c>
      <c r="I60">
        <v>268.14959240077633</v>
      </c>
    </row>
    <row r="61" spans="1:9" x14ac:dyDescent="0.25">
      <c r="A61" s="1">
        <v>40267</v>
      </c>
      <c r="B61" t="s">
        <v>0</v>
      </c>
      <c r="C61">
        <v>282.29735920000002</v>
      </c>
      <c r="D61">
        <v>-7.5739848653535013E-3</v>
      </c>
      <c r="E61">
        <v>0</v>
      </c>
      <c r="F61">
        <v>280.51952547000008</v>
      </c>
      <c r="G61">
        <v>4.9255708790563384</v>
      </c>
      <c r="H61">
        <v>290.37066722811278</v>
      </c>
      <c r="I61">
        <v>270.66838371188737</v>
      </c>
    </row>
    <row r="62" spans="1:9" x14ac:dyDescent="0.25">
      <c r="A62" s="1">
        <v>40268</v>
      </c>
      <c r="B62" t="s">
        <v>0</v>
      </c>
      <c r="C62">
        <v>282.50161359999998</v>
      </c>
      <c r="D62">
        <v>-7.2354343157443168E-4</v>
      </c>
      <c r="E62">
        <v>0</v>
      </c>
      <c r="F62">
        <v>281.0624921000001</v>
      </c>
      <c r="G62">
        <v>4.3202869224310039</v>
      </c>
      <c r="H62">
        <v>289.70306594486209</v>
      </c>
      <c r="I62">
        <v>272.42191825513811</v>
      </c>
    </row>
    <row r="63" spans="1:9" x14ac:dyDescent="0.25">
      <c r="A63" s="1">
        <v>40269</v>
      </c>
      <c r="B63" t="s">
        <v>0</v>
      </c>
      <c r="C63">
        <v>283.33846790000001</v>
      </c>
      <c r="D63">
        <v>-2.9622991859612775E-3</v>
      </c>
      <c r="E63">
        <v>0</v>
      </c>
      <c r="F63">
        <v>281.41641573500004</v>
      </c>
      <c r="G63">
        <v>3.8021935389587767</v>
      </c>
      <c r="H63">
        <v>289.02080281291762</v>
      </c>
      <c r="I63">
        <v>273.81202865708246</v>
      </c>
    </row>
    <row r="64" spans="1:9" x14ac:dyDescent="0.25">
      <c r="A64" s="1">
        <v>40273</v>
      </c>
      <c r="B64" t="s">
        <v>0</v>
      </c>
      <c r="C64">
        <v>284.43933060000001</v>
      </c>
      <c r="D64">
        <v>-3.8853273548035347E-3</v>
      </c>
      <c r="E64">
        <v>0</v>
      </c>
      <c r="F64">
        <v>281.58578096499997</v>
      </c>
      <c r="G64">
        <v>3.65248420645365</v>
      </c>
      <c r="H64">
        <v>288.89074937790724</v>
      </c>
      <c r="I64">
        <v>274.2808125520927</v>
      </c>
    </row>
    <row r="65" spans="1:9" x14ac:dyDescent="0.25">
      <c r="A65" s="1">
        <v>40274</v>
      </c>
      <c r="B65" t="s">
        <v>0</v>
      </c>
      <c r="C65">
        <v>283.0495578</v>
      </c>
      <c r="D65">
        <v>4.8860078424049101E-3</v>
      </c>
      <c r="E65">
        <v>1</v>
      </c>
      <c r="F65">
        <v>281.72874539999998</v>
      </c>
      <c r="G65">
        <v>3.7086348250947472</v>
      </c>
      <c r="H65">
        <v>289.14601505018948</v>
      </c>
      <c r="I65">
        <v>274.31147574981048</v>
      </c>
    </row>
    <row r="66" spans="1:9" x14ac:dyDescent="0.25">
      <c r="A66" s="1">
        <v>40275</v>
      </c>
      <c r="B66" t="s">
        <v>0</v>
      </c>
      <c r="C66">
        <v>280.71828549999998</v>
      </c>
      <c r="D66">
        <v>8.2362690057522607E-3</v>
      </c>
      <c r="E66">
        <v>1</v>
      </c>
      <c r="F66">
        <v>281.81218365500001</v>
      </c>
      <c r="G66">
        <v>3.7053766356228368</v>
      </c>
      <c r="H66">
        <v>289.22293692624567</v>
      </c>
      <c r="I66">
        <v>274.40143038375436</v>
      </c>
    </row>
    <row r="67" spans="1:9" x14ac:dyDescent="0.25">
      <c r="A67" s="1">
        <v>40276</v>
      </c>
      <c r="B67" t="s">
        <v>0</v>
      </c>
      <c r="C67">
        <v>282.68590929999999</v>
      </c>
      <c r="D67">
        <v>-7.0092469982687066E-3</v>
      </c>
      <c r="E67">
        <v>0</v>
      </c>
      <c r="F67">
        <v>281.589020425</v>
      </c>
      <c r="G67">
        <v>3.668491936026697</v>
      </c>
      <c r="H67">
        <v>288.9260042970534</v>
      </c>
      <c r="I67">
        <v>274.25203655294661</v>
      </c>
    </row>
    <row r="68" spans="1:9" x14ac:dyDescent="0.25">
      <c r="A68" s="1">
        <v>40277</v>
      </c>
      <c r="B68" t="s">
        <v>0</v>
      </c>
      <c r="C68">
        <v>282.0532791</v>
      </c>
      <c r="D68">
        <v>2.2379261901187171E-3</v>
      </c>
      <c r="E68">
        <v>1</v>
      </c>
      <c r="F68">
        <v>281.21741334999996</v>
      </c>
      <c r="G68">
        <v>3.4799881939182211</v>
      </c>
      <c r="H68">
        <v>288.17738973783639</v>
      </c>
      <c r="I68">
        <v>274.25743696216352</v>
      </c>
    </row>
    <row r="69" spans="1:9" x14ac:dyDescent="0.25">
      <c r="A69" s="1">
        <v>40280</v>
      </c>
      <c r="B69" t="s">
        <v>0</v>
      </c>
      <c r="C69">
        <v>285.29614350000003</v>
      </c>
      <c r="D69">
        <v>-1.1497346920935089E-2</v>
      </c>
      <c r="E69">
        <v>0</v>
      </c>
      <c r="F69">
        <v>281.04779940500003</v>
      </c>
      <c r="G69">
        <v>2.9590578067092825</v>
      </c>
      <c r="H69">
        <v>286.96591501841863</v>
      </c>
      <c r="I69">
        <v>275.12968379158144</v>
      </c>
    </row>
    <row r="70" spans="1:9" x14ac:dyDescent="0.25">
      <c r="A70" s="1">
        <v>40281</v>
      </c>
      <c r="B70" t="s">
        <v>0</v>
      </c>
      <c r="C70">
        <v>292.28993009999999</v>
      </c>
      <c r="D70">
        <v>-2.4514129473327297E-2</v>
      </c>
      <c r="E70">
        <v>0</v>
      </c>
      <c r="F70">
        <v>281.63534773000003</v>
      </c>
      <c r="G70">
        <v>2.66171026363642</v>
      </c>
      <c r="H70">
        <v>286.95876825727288</v>
      </c>
      <c r="I70">
        <v>276.31192720272719</v>
      </c>
    </row>
    <row r="71" spans="1:9" x14ac:dyDescent="0.25">
      <c r="A71" s="1">
        <v>40282</v>
      </c>
      <c r="B71" t="s">
        <v>0</v>
      </c>
      <c r="C71">
        <v>293.4007719</v>
      </c>
      <c r="D71">
        <v>-3.8004792009767663E-3</v>
      </c>
      <c r="E71">
        <v>0</v>
      </c>
      <c r="F71">
        <v>282.22812677500002</v>
      </c>
      <c r="G71">
        <v>3.6127540588404985</v>
      </c>
      <c r="H71">
        <v>289.45363489268101</v>
      </c>
      <c r="I71">
        <v>275.00261865731903</v>
      </c>
    </row>
    <row r="72" spans="1:9" x14ac:dyDescent="0.25">
      <c r="A72" s="1">
        <v>40283</v>
      </c>
      <c r="B72" t="s">
        <v>0</v>
      </c>
      <c r="C72">
        <v>296.53902140000002</v>
      </c>
      <c r="D72">
        <v>-1.0696118758234355E-2</v>
      </c>
      <c r="E72">
        <v>0</v>
      </c>
      <c r="F72">
        <v>282.96885222499998</v>
      </c>
      <c r="G72">
        <v>4.4518250159644301</v>
      </c>
      <c r="H72">
        <v>291.87250225692884</v>
      </c>
      <c r="I72">
        <v>274.06520219307112</v>
      </c>
    </row>
    <row r="73" spans="1:9" x14ac:dyDescent="0.25">
      <c r="A73" s="1">
        <v>40284</v>
      </c>
      <c r="B73" t="s">
        <v>0</v>
      </c>
      <c r="C73">
        <v>274.04826029999998</v>
      </c>
      <c r="D73">
        <v>7.5844187364678614E-2</v>
      </c>
      <c r="E73">
        <v>1</v>
      </c>
      <c r="F73">
        <v>282.56411824000003</v>
      </c>
      <c r="G73">
        <v>5.3956103513210341</v>
      </c>
      <c r="H73">
        <v>293.35533894264211</v>
      </c>
      <c r="I73">
        <v>271.77289753735795</v>
      </c>
    </row>
    <row r="74" spans="1:9" x14ac:dyDescent="0.25">
      <c r="A74" s="1">
        <v>40287</v>
      </c>
      <c r="B74" t="s">
        <v>0</v>
      </c>
      <c r="C74">
        <v>274.02335820000002</v>
      </c>
      <c r="D74">
        <v>9.0867571911249081E-5</v>
      </c>
      <c r="E74">
        <v>1</v>
      </c>
      <c r="F74">
        <v>282.31754189500003</v>
      </c>
      <c r="G74">
        <v>5.7263018803078181</v>
      </c>
      <c r="H74">
        <v>293.77014565561569</v>
      </c>
      <c r="I74">
        <v>270.86493813438437</v>
      </c>
    </row>
    <row r="75" spans="1:9" x14ac:dyDescent="0.25">
      <c r="A75" s="1">
        <v>40288</v>
      </c>
      <c r="B75" t="s">
        <v>0</v>
      </c>
      <c r="C75">
        <v>276.48414700000001</v>
      </c>
      <c r="D75">
        <v>-8.9802154683614448E-3</v>
      </c>
      <c r="E75">
        <v>0</v>
      </c>
      <c r="F75">
        <v>282.25627164999997</v>
      </c>
      <c r="G75">
        <v>5.9723185103953913</v>
      </c>
      <c r="H75">
        <v>294.20090867079074</v>
      </c>
      <c r="I75">
        <v>270.31163462920921</v>
      </c>
    </row>
    <row r="76" spans="1:9" x14ac:dyDescent="0.25">
      <c r="A76" s="1">
        <v>40289</v>
      </c>
      <c r="B76" t="s">
        <v>0</v>
      </c>
      <c r="C76">
        <v>276.11552469999998</v>
      </c>
      <c r="D76">
        <v>1.3332493164609066E-3</v>
      </c>
      <c r="E76">
        <v>1</v>
      </c>
      <c r="F76">
        <v>282.38827718499999</v>
      </c>
      <c r="G76">
        <v>6.0264626419971226</v>
      </c>
      <c r="H76">
        <v>294.44120246899422</v>
      </c>
      <c r="I76">
        <v>270.33535190100577</v>
      </c>
    </row>
    <row r="77" spans="1:9" x14ac:dyDescent="0.25">
      <c r="A77" s="1">
        <v>40290</v>
      </c>
      <c r="B77" t="s">
        <v>0</v>
      </c>
      <c r="C77">
        <v>272.50904270000001</v>
      </c>
      <c r="D77">
        <v>1.3061496646805429E-2</v>
      </c>
      <c r="E77">
        <v>1</v>
      </c>
      <c r="F77">
        <v>282.13248603</v>
      </c>
      <c r="G77">
        <v>5.8633689777755285</v>
      </c>
      <c r="H77">
        <v>293.85922398555107</v>
      </c>
      <c r="I77">
        <v>270.40574807444892</v>
      </c>
    </row>
    <row r="78" spans="1:9" x14ac:dyDescent="0.25">
      <c r="A78" s="1">
        <v>40291</v>
      </c>
      <c r="B78" t="s">
        <v>0</v>
      </c>
      <c r="C78">
        <v>271.47791310000002</v>
      </c>
      <c r="D78">
        <v>3.7838362712063708E-3</v>
      </c>
      <c r="E78">
        <v>1</v>
      </c>
      <c r="F78">
        <v>281.68690574999994</v>
      </c>
      <c r="G78">
        <v>6.1799869437448001</v>
      </c>
      <c r="H78">
        <v>294.04687963748955</v>
      </c>
      <c r="I78">
        <v>269.32693186251032</v>
      </c>
    </row>
    <row r="79" spans="1:9" x14ac:dyDescent="0.25">
      <c r="A79" s="1">
        <v>40294</v>
      </c>
      <c r="B79" t="s">
        <v>0</v>
      </c>
      <c r="C79">
        <v>264.82781629999999</v>
      </c>
      <c r="D79">
        <v>2.4495903641157127E-2</v>
      </c>
      <c r="E79">
        <v>1</v>
      </c>
      <c r="F79">
        <v>280.91355239000006</v>
      </c>
      <c r="G79">
        <v>6.6270151601449969</v>
      </c>
      <c r="H79">
        <v>294.16758271029005</v>
      </c>
      <c r="I79">
        <v>267.65952206971008</v>
      </c>
    </row>
    <row r="80" spans="1:9" x14ac:dyDescent="0.25">
      <c r="A80" s="1">
        <v>40295</v>
      </c>
      <c r="B80" t="s">
        <v>0</v>
      </c>
      <c r="C80">
        <v>263.54262699999998</v>
      </c>
      <c r="D80">
        <v>4.8529241299340546E-3</v>
      </c>
      <c r="E80">
        <v>1</v>
      </c>
      <c r="F80">
        <v>280.08191796</v>
      </c>
      <c r="G80">
        <v>7.5846788643974161</v>
      </c>
      <c r="H80">
        <v>295.25127568879481</v>
      </c>
      <c r="I80">
        <v>264.91256023120519</v>
      </c>
    </row>
    <row r="81" spans="1:9" x14ac:dyDescent="0.25">
      <c r="A81" s="1">
        <v>40296</v>
      </c>
      <c r="B81" t="s">
        <v>0</v>
      </c>
      <c r="C81">
        <v>263.60738579999997</v>
      </c>
      <c r="D81">
        <v>-2.4572419550175005E-4</v>
      </c>
      <c r="E81">
        <v>0</v>
      </c>
      <c r="F81">
        <v>279.14741929000007</v>
      </c>
      <c r="G81">
        <v>8.4898534944536905</v>
      </c>
      <c r="H81">
        <v>296.12712627890744</v>
      </c>
      <c r="I81">
        <v>262.16771230109271</v>
      </c>
    </row>
    <row r="82" spans="1:9" x14ac:dyDescent="0.25">
      <c r="A82" s="1">
        <v>40297</v>
      </c>
      <c r="B82" t="s">
        <v>0</v>
      </c>
      <c r="C82">
        <v>265.00713769999999</v>
      </c>
      <c r="D82">
        <v>-5.3099874108307804E-3</v>
      </c>
      <c r="E82">
        <v>0</v>
      </c>
      <c r="F82">
        <v>278.27269549500005</v>
      </c>
      <c r="G82">
        <v>9.1881053567377204</v>
      </c>
      <c r="H82">
        <v>296.64890620847547</v>
      </c>
      <c r="I82">
        <v>259.89648478152463</v>
      </c>
    </row>
    <row r="83" spans="1:9" x14ac:dyDescent="0.25">
      <c r="A83" s="1">
        <v>40298</v>
      </c>
      <c r="B83" t="s">
        <v>0</v>
      </c>
      <c r="C83">
        <v>261.86888759999999</v>
      </c>
      <c r="D83">
        <v>1.1842134243012857E-2</v>
      </c>
      <c r="E83">
        <v>1</v>
      </c>
      <c r="F83">
        <v>277.19921648000002</v>
      </c>
      <c r="G83">
        <v>9.6684125380458532</v>
      </c>
      <c r="H83">
        <v>296.53604155609173</v>
      </c>
      <c r="I83">
        <v>257.8623914039083</v>
      </c>
    </row>
    <row r="84" spans="1:9" x14ac:dyDescent="0.25">
      <c r="A84" s="1">
        <v>40301</v>
      </c>
      <c r="B84" t="s">
        <v>0</v>
      </c>
      <c r="C84">
        <v>264.3097487</v>
      </c>
      <c r="D84">
        <v>-9.3209282033090458E-3</v>
      </c>
      <c r="E84">
        <v>0</v>
      </c>
      <c r="F84">
        <v>276.19273738499999</v>
      </c>
      <c r="G84">
        <v>10.215558230124472</v>
      </c>
      <c r="H84">
        <v>296.62385384524896</v>
      </c>
      <c r="I84">
        <v>255.76162092475104</v>
      </c>
    </row>
    <row r="85" spans="1:9" x14ac:dyDescent="0.25">
      <c r="A85" s="1">
        <v>40302</v>
      </c>
      <c r="B85" t="s">
        <v>0</v>
      </c>
      <c r="C85">
        <v>252.2399801</v>
      </c>
      <c r="D85">
        <v>4.5665241858708648E-2</v>
      </c>
      <c r="E85">
        <v>1</v>
      </c>
      <c r="F85">
        <v>274.65225850000002</v>
      </c>
      <c r="G85">
        <v>10.50669601587018</v>
      </c>
      <c r="H85">
        <v>295.66565053174037</v>
      </c>
      <c r="I85">
        <v>253.63886646825966</v>
      </c>
    </row>
    <row r="86" spans="1:9" x14ac:dyDescent="0.25">
      <c r="A86" s="1">
        <v>40303</v>
      </c>
      <c r="B86" t="s">
        <v>0</v>
      </c>
      <c r="C86">
        <v>253.92864259999999</v>
      </c>
      <c r="D86">
        <v>-6.6946663226445146E-3</v>
      </c>
      <c r="E86">
        <v>0</v>
      </c>
      <c r="F86">
        <v>273.31277635499998</v>
      </c>
      <c r="G86">
        <v>11.56609929768643</v>
      </c>
      <c r="H86">
        <v>296.44497495037285</v>
      </c>
      <c r="I86">
        <v>250.18057775962711</v>
      </c>
    </row>
    <row r="87" spans="1:9" x14ac:dyDescent="0.25">
      <c r="A87" s="1">
        <v>40304</v>
      </c>
      <c r="B87" t="s">
        <v>0</v>
      </c>
      <c r="C87">
        <v>248.40434149999999</v>
      </c>
      <c r="D87">
        <v>2.1755328754708991E-2</v>
      </c>
      <c r="E87">
        <v>1</v>
      </c>
      <c r="F87">
        <v>271.59869796499999</v>
      </c>
      <c r="G87">
        <v>12.359525536110199</v>
      </c>
      <c r="H87">
        <v>296.31774903722038</v>
      </c>
      <c r="I87">
        <v>246.87964689277959</v>
      </c>
    </row>
    <row r="88" spans="1:9" x14ac:dyDescent="0.25">
      <c r="A88" s="1">
        <v>40305</v>
      </c>
      <c r="B88" t="s">
        <v>0</v>
      </c>
      <c r="C88">
        <v>245.64966720000001</v>
      </c>
      <c r="D88">
        <v>1.1089477274695605E-2</v>
      </c>
      <c r="E88">
        <v>1</v>
      </c>
      <c r="F88">
        <v>269.77851736999997</v>
      </c>
      <c r="G88">
        <v>13.297500694044029</v>
      </c>
      <c r="H88">
        <v>296.37351875808804</v>
      </c>
      <c r="I88">
        <v>243.18351598191191</v>
      </c>
    </row>
    <row r="89" spans="1:9" x14ac:dyDescent="0.25">
      <c r="A89" s="1">
        <v>40308</v>
      </c>
      <c r="B89" t="s">
        <v>0</v>
      </c>
      <c r="C89">
        <v>259.85145890000001</v>
      </c>
      <c r="D89">
        <v>-5.7813193324774026E-2</v>
      </c>
      <c r="E89">
        <v>0</v>
      </c>
      <c r="F89">
        <v>268.50628313999999</v>
      </c>
      <c r="G89">
        <v>14.142796272095094</v>
      </c>
      <c r="H89">
        <v>296.79187568419019</v>
      </c>
      <c r="I89">
        <v>240.2206905958098</v>
      </c>
    </row>
    <row r="90" spans="1:9" x14ac:dyDescent="0.25">
      <c r="A90" s="1">
        <v>40309</v>
      </c>
      <c r="B90" t="s">
        <v>0</v>
      </c>
      <c r="C90">
        <v>253.57497369999999</v>
      </c>
      <c r="D90">
        <v>2.4154127233187623E-2</v>
      </c>
      <c r="E90">
        <v>1</v>
      </c>
      <c r="F90">
        <v>266.57053531999998</v>
      </c>
      <c r="G90">
        <v>13.9074129370804</v>
      </c>
      <c r="H90">
        <v>294.38536119416079</v>
      </c>
      <c r="I90">
        <v>238.75570944583919</v>
      </c>
    </row>
    <row r="91" spans="1:9" x14ac:dyDescent="0.25">
      <c r="A91" s="1">
        <v>40310</v>
      </c>
      <c r="B91" t="s">
        <v>0</v>
      </c>
      <c r="C91">
        <v>251.7518049</v>
      </c>
      <c r="D91">
        <v>7.1898609448618105E-3</v>
      </c>
      <c r="E91">
        <v>1</v>
      </c>
      <c r="F91">
        <v>264.48808696999998</v>
      </c>
      <c r="G91">
        <v>13.157605915643442</v>
      </c>
      <c r="H91">
        <v>290.80329880128687</v>
      </c>
      <c r="I91">
        <v>238.1728751387131</v>
      </c>
    </row>
    <row r="92" spans="1:9" x14ac:dyDescent="0.25">
      <c r="A92" s="1">
        <v>40311</v>
      </c>
      <c r="B92" t="s">
        <v>0</v>
      </c>
      <c r="C92">
        <v>254.48656639999999</v>
      </c>
      <c r="D92">
        <v>-1.0862927084420639E-2</v>
      </c>
      <c r="E92">
        <v>0</v>
      </c>
      <c r="F92">
        <v>262.38546422000002</v>
      </c>
      <c r="G92">
        <v>11.994044039249248</v>
      </c>
      <c r="H92">
        <v>286.37355229849851</v>
      </c>
      <c r="I92">
        <v>238.39737614150152</v>
      </c>
    </row>
    <row r="93" spans="1:9" x14ac:dyDescent="0.25">
      <c r="A93" s="1">
        <v>40312</v>
      </c>
      <c r="B93" t="s">
        <v>0</v>
      </c>
      <c r="C93">
        <v>252.8178163</v>
      </c>
      <c r="D93">
        <v>6.5573209761377125E-3</v>
      </c>
      <c r="E93">
        <v>1</v>
      </c>
      <c r="F93">
        <v>261.32394201999995</v>
      </c>
      <c r="G93">
        <v>9.4752455236108233</v>
      </c>
      <c r="H93">
        <v>280.27443306722159</v>
      </c>
      <c r="I93">
        <v>242.3734509727783</v>
      </c>
    </row>
    <row r="94" spans="1:9" x14ac:dyDescent="0.25">
      <c r="A94" s="1">
        <v>40315</v>
      </c>
      <c r="B94" t="s">
        <v>0</v>
      </c>
      <c r="C94">
        <v>253.03699370000001</v>
      </c>
      <c r="D94">
        <v>-8.6693811064298245E-4</v>
      </c>
      <c r="E94">
        <v>0</v>
      </c>
      <c r="F94">
        <v>260.27462379499991</v>
      </c>
      <c r="G94">
        <v>9.2953559062420705</v>
      </c>
      <c r="H94">
        <v>278.86533560748404</v>
      </c>
      <c r="I94">
        <v>241.68391198251578</v>
      </c>
    </row>
    <row r="95" spans="1:9" x14ac:dyDescent="0.25">
      <c r="A95" s="1">
        <v>40316</v>
      </c>
      <c r="B95" t="s">
        <v>0</v>
      </c>
      <c r="C95">
        <v>248.25491160000001</v>
      </c>
      <c r="D95">
        <v>1.8898746898920325E-2</v>
      </c>
      <c r="E95">
        <v>1</v>
      </c>
      <c r="F95">
        <v>258.86316202499995</v>
      </c>
      <c r="G95">
        <v>9.0312593437749165</v>
      </c>
      <c r="H95">
        <v>276.92568071254976</v>
      </c>
      <c r="I95">
        <v>240.80064333745011</v>
      </c>
    </row>
    <row r="96" spans="1:9" x14ac:dyDescent="0.25">
      <c r="A96" s="1">
        <v>40317</v>
      </c>
      <c r="B96" t="s">
        <v>0</v>
      </c>
      <c r="C96">
        <v>246.29226209999999</v>
      </c>
      <c r="D96">
        <v>7.9057831619554798E-3</v>
      </c>
      <c r="E96">
        <v>1</v>
      </c>
      <c r="F96">
        <v>257.37199889499999</v>
      </c>
      <c r="G96">
        <v>8.5958714563626319</v>
      </c>
      <c r="H96">
        <v>274.56374180772525</v>
      </c>
      <c r="I96">
        <v>240.18025598227473</v>
      </c>
    </row>
    <row r="97" spans="1:9" x14ac:dyDescent="0.25">
      <c r="A97" s="1">
        <v>40318</v>
      </c>
      <c r="B97" t="s">
        <v>0</v>
      </c>
      <c r="C97">
        <v>236.61850870000001</v>
      </c>
      <c r="D97">
        <v>3.9277536847959225E-2</v>
      </c>
      <c r="E97">
        <v>1</v>
      </c>
      <c r="F97">
        <v>255.57747219499998</v>
      </c>
      <c r="G97">
        <v>8.1044045162807361</v>
      </c>
      <c r="H97">
        <v>271.78628122756146</v>
      </c>
      <c r="I97">
        <v>239.36866316243851</v>
      </c>
    </row>
    <row r="98" spans="1:9" x14ac:dyDescent="0.25">
      <c r="A98" s="1">
        <v>40319</v>
      </c>
      <c r="B98" t="s">
        <v>0</v>
      </c>
      <c r="C98">
        <v>235.14403390000001</v>
      </c>
      <c r="D98">
        <v>6.2314432125401857E-3</v>
      </c>
      <c r="E98">
        <v>1</v>
      </c>
      <c r="F98">
        <v>253.760778235</v>
      </c>
      <c r="G98">
        <v>8.5217345863245342</v>
      </c>
      <c r="H98">
        <v>270.80424740764909</v>
      </c>
      <c r="I98">
        <v>236.71730906235092</v>
      </c>
    </row>
    <row r="99" spans="1:9" x14ac:dyDescent="0.25">
      <c r="A99" s="1">
        <v>40322</v>
      </c>
      <c r="B99" t="s">
        <v>0</v>
      </c>
      <c r="C99">
        <v>237.6894944</v>
      </c>
      <c r="D99">
        <v>-1.0825111986819539E-2</v>
      </c>
      <c r="E99">
        <v>0</v>
      </c>
      <c r="F99">
        <v>252.40386214</v>
      </c>
      <c r="G99">
        <v>8.7232732812366702</v>
      </c>
      <c r="H99">
        <v>269.85040870247332</v>
      </c>
      <c r="I99">
        <v>234.95731557752666</v>
      </c>
    </row>
    <row r="100" spans="1:9" x14ac:dyDescent="0.25">
      <c r="A100" s="1">
        <v>40323</v>
      </c>
      <c r="B100" t="s">
        <v>0</v>
      </c>
      <c r="C100">
        <v>237.64466400000001</v>
      </c>
      <c r="D100">
        <v>1.8860909319177318E-4</v>
      </c>
      <c r="E100">
        <v>1</v>
      </c>
      <c r="F100">
        <v>251.10896399000003</v>
      </c>
      <c r="G100">
        <v>8.9933395915488195</v>
      </c>
      <c r="H100">
        <v>269.0956431730977</v>
      </c>
      <c r="I100">
        <v>233.1222848069024</v>
      </c>
    </row>
    <row r="101" spans="1:9" x14ac:dyDescent="0.25">
      <c r="A101" s="1">
        <v>40324</v>
      </c>
      <c r="B101" t="s">
        <v>0</v>
      </c>
      <c r="C101">
        <v>236.84765039999999</v>
      </c>
      <c r="D101">
        <v>3.3538038960555573E-3</v>
      </c>
      <c r="E101">
        <v>1</v>
      </c>
      <c r="F101">
        <v>249.77097721999999</v>
      </c>
      <c r="G101">
        <v>9.1654206408837666</v>
      </c>
      <c r="H101">
        <v>268.10181850176753</v>
      </c>
      <c r="I101">
        <v>231.44013593823246</v>
      </c>
    </row>
    <row r="102" spans="1:9" x14ac:dyDescent="0.25">
      <c r="A102" s="1">
        <v>40325</v>
      </c>
      <c r="B102" t="s">
        <v>0</v>
      </c>
      <c r="C102">
        <v>244.31467359999999</v>
      </c>
      <c r="D102">
        <v>-3.1526693160727252E-2</v>
      </c>
      <c r="E102">
        <v>0</v>
      </c>
      <c r="F102">
        <v>248.73635401499996</v>
      </c>
      <c r="G102">
        <v>9.1571660127931764</v>
      </c>
      <c r="H102">
        <v>267.0506860405863</v>
      </c>
      <c r="I102">
        <v>230.42202198941362</v>
      </c>
    </row>
    <row r="103" spans="1:9" x14ac:dyDescent="0.25">
      <c r="A103" s="1">
        <v>40326</v>
      </c>
      <c r="B103" t="s">
        <v>0</v>
      </c>
      <c r="C103">
        <v>241.90867890000001</v>
      </c>
      <c r="D103">
        <v>9.8479336690973918E-3</v>
      </c>
      <c r="E103">
        <v>1</v>
      </c>
      <c r="F103">
        <v>247.73834358000005</v>
      </c>
      <c r="G103">
        <v>8.5199974772672231</v>
      </c>
      <c r="H103">
        <v>264.7783385345345</v>
      </c>
      <c r="I103">
        <v>230.6983486254656</v>
      </c>
    </row>
    <row r="104" spans="1:9" x14ac:dyDescent="0.25">
      <c r="A104" s="1">
        <v>40330</v>
      </c>
      <c r="B104" t="s">
        <v>0</v>
      </c>
      <c r="C104">
        <v>240.28477470000001</v>
      </c>
      <c r="D104">
        <v>6.712881106143721E-3</v>
      </c>
      <c r="E104">
        <v>1</v>
      </c>
      <c r="F104">
        <v>246.53709487999998</v>
      </c>
      <c r="G104">
        <v>8.1085751677403675</v>
      </c>
      <c r="H104">
        <v>262.75424521548069</v>
      </c>
      <c r="I104">
        <v>230.31994454451925</v>
      </c>
    </row>
    <row r="105" spans="1:9" x14ac:dyDescent="0.25">
      <c r="A105" s="1">
        <v>40331</v>
      </c>
      <c r="B105" t="s">
        <v>0</v>
      </c>
      <c r="C105">
        <v>245.7642458</v>
      </c>
      <c r="D105">
        <v>-2.2804071156157124E-2</v>
      </c>
      <c r="E105">
        <v>0</v>
      </c>
      <c r="F105">
        <v>246.213308165</v>
      </c>
      <c r="G105">
        <v>7.2121455392337959</v>
      </c>
      <c r="H105">
        <v>260.6375992434676</v>
      </c>
      <c r="I105">
        <v>231.7890170865324</v>
      </c>
    </row>
    <row r="106" spans="1:9" x14ac:dyDescent="0.25">
      <c r="A106" s="1">
        <v>40332</v>
      </c>
      <c r="B106" t="s">
        <v>0</v>
      </c>
      <c r="C106">
        <v>251.8564193</v>
      </c>
      <c r="D106">
        <v>-2.4788689177178927E-2</v>
      </c>
      <c r="E106">
        <v>0</v>
      </c>
      <c r="F106">
        <v>246.10969699999995</v>
      </c>
      <c r="G106">
        <v>7.086594575138311</v>
      </c>
      <c r="H106">
        <v>260.28288615027657</v>
      </c>
      <c r="I106">
        <v>231.93650784972334</v>
      </c>
    </row>
    <row r="107" spans="1:9" x14ac:dyDescent="0.25">
      <c r="A107" s="1">
        <v>40333</v>
      </c>
      <c r="B107" t="s">
        <v>0</v>
      </c>
      <c r="C107">
        <v>248.4292591</v>
      </c>
      <c r="D107">
        <v>1.3607595190646003E-2</v>
      </c>
      <c r="E107">
        <v>1</v>
      </c>
      <c r="F107">
        <v>246.11094287999995</v>
      </c>
      <c r="G107">
        <v>6.9867209454417605</v>
      </c>
      <c r="H107">
        <v>260.0843847708835</v>
      </c>
      <c r="I107">
        <v>232.13750098911643</v>
      </c>
    </row>
    <row r="108" spans="1:9" x14ac:dyDescent="0.25">
      <c r="A108" s="1">
        <v>40336</v>
      </c>
      <c r="B108" t="s">
        <v>0</v>
      </c>
      <c r="C108">
        <v>241.8538848</v>
      </c>
      <c r="D108">
        <v>2.6467793382393873E-2</v>
      </c>
      <c r="E108">
        <v>1</v>
      </c>
      <c r="F108">
        <v>245.92115375999998</v>
      </c>
      <c r="G108">
        <v>6.9897092302062074</v>
      </c>
      <c r="H108">
        <v>259.90057222041241</v>
      </c>
      <c r="I108">
        <v>231.94173529958758</v>
      </c>
    </row>
    <row r="109" spans="1:9" x14ac:dyDescent="0.25">
      <c r="A109" s="1">
        <v>40337</v>
      </c>
      <c r="B109" t="s">
        <v>0</v>
      </c>
      <c r="C109">
        <v>241.48526200000001</v>
      </c>
      <c r="D109">
        <v>1.5241549678014399E-3</v>
      </c>
      <c r="E109">
        <v>1</v>
      </c>
      <c r="F109">
        <v>245.00284391499994</v>
      </c>
      <c r="G109">
        <v>7.107937583173463</v>
      </c>
      <c r="H109">
        <v>259.21871908134688</v>
      </c>
      <c r="I109">
        <v>230.78696874865301</v>
      </c>
    </row>
    <row r="110" spans="1:9" x14ac:dyDescent="0.25">
      <c r="A110" s="1">
        <v>40338</v>
      </c>
      <c r="B110" t="s">
        <v>0</v>
      </c>
      <c r="C110">
        <v>236.1253437</v>
      </c>
      <c r="D110">
        <v>2.2195633205971815E-2</v>
      </c>
      <c r="E110">
        <v>1</v>
      </c>
      <c r="F110">
        <v>244.13036241499998</v>
      </c>
      <c r="G110">
        <v>6.3936375743335976</v>
      </c>
      <c r="H110">
        <v>256.9176375636672</v>
      </c>
      <c r="I110">
        <v>231.34308726633279</v>
      </c>
    </row>
    <row r="111" spans="1:9" x14ac:dyDescent="0.25">
      <c r="A111" s="1">
        <v>40339</v>
      </c>
      <c r="B111" t="s">
        <v>0</v>
      </c>
      <c r="C111">
        <v>242.59610369999999</v>
      </c>
      <c r="D111">
        <v>-2.7403919878338685E-2</v>
      </c>
      <c r="E111">
        <v>0</v>
      </c>
      <c r="F111">
        <v>243.67257735499999</v>
      </c>
      <c r="G111">
        <v>6.3112717187764256</v>
      </c>
      <c r="H111">
        <v>256.29512079255284</v>
      </c>
      <c r="I111">
        <v>231.05003391744714</v>
      </c>
    </row>
    <row r="112" spans="1:9" x14ac:dyDescent="0.25">
      <c r="A112" s="1">
        <v>40340</v>
      </c>
      <c r="B112" t="s">
        <v>0</v>
      </c>
      <c r="C112">
        <v>243.33832319999999</v>
      </c>
      <c r="D112">
        <v>-3.0594864825935148E-3</v>
      </c>
      <c r="E112">
        <v>0</v>
      </c>
      <c r="F112">
        <v>243.11516519499997</v>
      </c>
      <c r="G112">
        <v>6.0775902226658998</v>
      </c>
      <c r="H112">
        <v>255.27034564033178</v>
      </c>
      <c r="I112">
        <v>230.95998474966817</v>
      </c>
    </row>
    <row r="113" spans="1:9" x14ac:dyDescent="0.25">
      <c r="A113" s="1">
        <v>40343</v>
      </c>
      <c r="B113" t="s">
        <v>0</v>
      </c>
      <c r="C113">
        <v>240.6932382</v>
      </c>
      <c r="D113">
        <v>1.0869989425488055E-2</v>
      </c>
      <c r="E113">
        <v>1</v>
      </c>
      <c r="F113">
        <v>242.50893628999998</v>
      </c>
      <c r="G113">
        <v>5.5535275371972066</v>
      </c>
      <c r="H113">
        <v>253.6159913643944</v>
      </c>
      <c r="I113">
        <v>231.40188121560556</v>
      </c>
    </row>
    <row r="114" spans="1:9" x14ac:dyDescent="0.25">
      <c r="A114" s="1">
        <v>40344</v>
      </c>
      <c r="B114" t="s">
        <v>0</v>
      </c>
      <c r="C114">
        <v>248.06561070000001</v>
      </c>
      <c r="D114">
        <v>-3.0629744961402125E-2</v>
      </c>
      <c r="E114">
        <v>0</v>
      </c>
      <c r="F114">
        <v>242.26036713999997</v>
      </c>
      <c r="G114">
        <v>5.0749031866048417</v>
      </c>
      <c r="H114">
        <v>252.41017351320966</v>
      </c>
      <c r="I114">
        <v>232.11056076679029</v>
      </c>
    </row>
    <row r="115" spans="1:9" x14ac:dyDescent="0.25">
      <c r="A115" s="1">
        <v>40345</v>
      </c>
      <c r="B115" t="s">
        <v>0</v>
      </c>
      <c r="C115">
        <v>249.69949449999999</v>
      </c>
      <c r="D115">
        <v>-6.5864986097404999E-3</v>
      </c>
      <c r="E115">
        <v>0</v>
      </c>
      <c r="F115">
        <v>242.33259628499999</v>
      </c>
      <c r="G115">
        <v>4.6516790561753698</v>
      </c>
      <c r="H115">
        <v>251.63595439735073</v>
      </c>
      <c r="I115">
        <v>233.02923817264926</v>
      </c>
    </row>
    <row r="116" spans="1:9" x14ac:dyDescent="0.25">
      <c r="A116" s="1">
        <v>40346</v>
      </c>
      <c r="B116" t="s">
        <v>0</v>
      </c>
      <c r="C116">
        <v>249.1067199</v>
      </c>
      <c r="D116">
        <v>2.3739519424617189E-3</v>
      </c>
      <c r="E116">
        <v>1</v>
      </c>
      <c r="F116">
        <v>242.473319175</v>
      </c>
      <c r="G116">
        <v>4.7558163867442209</v>
      </c>
      <c r="H116">
        <v>251.98495194848843</v>
      </c>
      <c r="I116">
        <v>232.96168640151157</v>
      </c>
    </row>
    <row r="117" spans="1:9" x14ac:dyDescent="0.25">
      <c r="A117" s="1">
        <v>40347</v>
      </c>
      <c r="B117" t="s">
        <v>0</v>
      </c>
      <c r="C117">
        <v>249.08180229999999</v>
      </c>
      <c r="D117">
        <v>1.0002781141356551E-4</v>
      </c>
      <c r="E117">
        <v>1</v>
      </c>
      <c r="F117">
        <v>243.09648385499995</v>
      </c>
      <c r="G117">
        <v>4.9474243529866566</v>
      </c>
      <c r="H117">
        <v>252.99133256097326</v>
      </c>
      <c r="I117">
        <v>233.20163514902663</v>
      </c>
    </row>
    <row r="118" spans="1:9" x14ac:dyDescent="0.25">
      <c r="A118" s="1">
        <v>40350</v>
      </c>
      <c r="B118" t="s">
        <v>0</v>
      </c>
      <c r="C118">
        <v>243.36821520000001</v>
      </c>
      <c r="D118">
        <v>2.2938597068277212E-2</v>
      </c>
      <c r="E118">
        <v>1</v>
      </c>
      <c r="F118">
        <v>243.50769292000001</v>
      </c>
      <c r="G118">
        <v>4.9334667691823659</v>
      </c>
      <c r="H118">
        <v>253.37462645836473</v>
      </c>
      <c r="I118">
        <v>233.64075938163529</v>
      </c>
    </row>
    <row r="119" spans="1:9" x14ac:dyDescent="0.25">
      <c r="A119" s="1">
        <v>40351</v>
      </c>
      <c r="B119" t="s">
        <v>0</v>
      </c>
      <c r="C119">
        <v>242.21753269999999</v>
      </c>
      <c r="D119">
        <v>4.7281544101984941E-3</v>
      </c>
      <c r="E119">
        <v>1</v>
      </c>
      <c r="F119">
        <v>243.73409483500004</v>
      </c>
      <c r="G119">
        <v>4.5709720280614077</v>
      </c>
      <c r="H119">
        <v>252.87603889112285</v>
      </c>
      <c r="I119">
        <v>234.59215077887723</v>
      </c>
    </row>
    <row r="120" spans="1:9" x14ac:dyDescent="0.25">
      <c r="A120" s="1">
        <v>40352</v>
      </c>
      <c r="B120" t="s">
        <v>0</v>
      </c>
      <c r="C120">
        <v>240.1253662</v>
      </c>
      <c r="D120">
        <v>8.6375518595974473E-3</v>
      </c>
      <c r="E120">
        <v>1</v>
      </c>
      <c r="F120">
        <v>243.85812994500003</v>
      </c>
      <c r="G120">
        <v>4.3814733029379749</v>
      </c>
      <c r="H120">
        <v>252.62107655087598</v>
      </c>
      <c r="I120">
        <v>235.09518333912408</v>
      </c>
    </row>
    <row r="121" spans="1:9" x14ac:dyDescent="0.25">
      <c r="A121" s="1">
        <v>40353</v>
      </c>
      <c r="B121" t="s">
        <v>0</v>
      </c>
      <c r="C121">
        <v>236.6633392</v>
      </c>
      <c r="D121">
        <v>1.4417581344223707E-2</v>
      </c>
      <c r="E121">
        <v>1</v>
      </c>
      <c r="F121">
        <v>243.848914385</v>
      </c>
      <c r="G121">
        <v>4.238361893139837</v>
      </c>
      <c r="H121">
        <v>252.32563817127968</v>
      </c>
      <c r="I121">
        <v>235.37219059872032</v>
      </c>
    </row>
    <row r="122" spans="1:9" x14ac:dyDescent="0.25">
      <c r="A122" s="1">
        <v>40354</v>
      </c>
      <c r="B122" t="s">
        <v>0</v>
      </c>
      <c r="C122">
        <v>235.4578472</v>
      </c>
      <c r="D122">
        <v>5.0936997849981847E-3</v>
      </c>
      <c r="E122">
        <v>1</v>
      </c>
      <c r="F122">
        <v>243.40607306500002</v>
      </c>
      <c r="G122">
        <v>4.2767463847533342</v>
      </c>
      <c r="H122">
        <v>251.95956583450669</v>
      </c>
      <c r="I122">
        <v>234.85258029549334</v>
      </c>
    </row>
    <row r="123" spans="1:9" x14ac:dyDescent="0.25">
      <c r="A123" s="1">
        <v>40357</v>
      </c>
      <c r="B123" t="s">
        <v>0</v>
      </c>
      <c r="C123">
        <v>235.15897240000001</v>
      </c>
      <c r="D123">
        <v>1.2693346327341815E-3</v>
      </c>
      <c r="E123">
        <v>1</v>
      </c>
      <c r="F123">
        <v>243.06858774000003</v>
      </c>
      <c r="G123">
        <v>4.6391694253965001</v>
      </c>
      <c r="H123">
        <v>252.34692659079303</v>
      </c>
      <c r="I123">
        <v>233.79024888920702</v>
      </c>
    </row>
    <row r="124" spans="1:9" x14ac:dyDescent="0.25">
      <c r="A124" s="1">
        <v>40358</v>
      </c>
      <c r="B124" t="s">
        <v>0</v>
      </c>
      <c r="C124">
        <v>226.28223310000001</v>
      </c>
      <c r="D124">
        <v>3.774782314025793E-2</v>
      </c>
      <c r="E124">
        <v>1</v>
      </c>
      <c r="F124">
        <v>242.36846066000007</v>
      </c>
      <c r="G124">
        <v>5.0072849131206425</v>
      </c>
      <c r="H124">
        <v>252.38303048624135</v>
      </c>
      <c r="I124">
        <v>232.35389083375878</v>
      </c>
    </row>
    <row r="125" spans="1:9" x14ac:dyDescent="0.25">
      <c r="A125" s="1">
        <v>40359</v>
      </c>
      <c r="B125" t="s">
        <v>0</v>
      </c>
      <c r="C125">
        <v>221.6446061</v>
      </c>
      <c r="D125">
        <v>2.0494879056415009E-2</v>
      </c>
      <c r="E125">
        <v>1</v>
      </c>
      <c r="F125">
        <v>241.16247867500005</v>
      </c>
      <c r="G125">
        <v>6.2648657803595622</v>
      </c>
      <c r="H125">
        <v>253.69221023571916</v>
      </c>
      <c r="I125">
        <v>228.63274711428093</v>
      </c>
    </row>
    <row r="126" spans="1:9" x14ac:dyDescent="0.25">
      <c r="A126" s="1">
        <v>40360</v>
      </c>
      <c r="B126" t="s">
        <v>0</v>
      </c>
      <c r="C126">
        <v>218.9247986</v>
      </c>
      <c r="D126">
        <v>1.2271029500139962E-2</v>
      </c>
      <c r="E126">
        <v>1</v>
      </c>
      <c r="F126">
        <v>239.51589764000005</v>
      </c>
      <c r="G126">
        <v>7.7426304838731754</v>
      </c>
      <c r="H126">
        <v>255.00115860774639</v>
      </c>
      <c r="I126">
        <v>224.03063667225371</v>
      </c>
    </row>
    <row r="127" spans="1:9" x14ac:dyDescent="0.25">
      <c r="A127" s="1">
        <v>40361</v>
      </c>
      <c r="B127" t="s">
        <v>0</v>
      </c>
      <c r="C127">
        <v>217.460273</v>
      </c>
      <c r="D127">
        <v>6.6896286275720329E-3</v>
      </c>
      <c r="E127">
        <v>1</v>
      </c>
      <c r="F127">
        <v>237.96744833500003</v>
      </c>
      <c r="G127">
        <v>8.7138548474062389</v>
      </c>
      <c r="H127">
        <v>255.39515802981251</v>
      </c>
      <c r="I127">
        <v>220.53973864018755</v>
      </c>
    </row>
    <row r="128" spans="1:9" x14ac:dyDescent="0.25">
      <c r="A128" s="1">
        <v>40365</v>
      </c>
      <c r="B128" t="s">
        <v>0</v>
      </c>
      <c r="C128">
        <v>217.22118219999999</v>
      </c>
      <c r="D128">
        <v>1.0994688671250488E-3</v>
      </c>
      <c r="E128">
        <v>1</v>
      </c>
      <c r="F128">
        <v>236.73581320500003</v>
      </c>
      <c r="G128">
        <v>9.6438026308092528</v>
      </c>
      <c r="H128">
        <v>256.02341846661852</v>
      </c>
      <c r="I128">
        <v>217.44820794338153</v>
      </c>
    </row>
    <row r="129" spans="1:9" x14ac:dyDescent="0.25">
      <c r="A129" s="1">
        <v>40366</v>
      </c>
      <c r="B129" t="s">
        <v>0</v>
      </c>
      <c r="C129">
        <v>224.2597992</v>
      </c>
      <c r="D129">
        <v>-3.2402995549114626E-2</v>
      </c>
      <c r="E129">
        <v>0</v>
      </c>
      <c r="F129">
        <v>235.87454006499996</v>
      </c>
      <c r="G129">
        <v>10.558220916621186</v>
      </c>
      <c r="H129">
        <v>256.99098189824235</v>
      </c>
      <c r="I129">
        <v>214.7580982317576</v>
      </c>
    </row>
    <row r="130" spans="1:9" x14ac:dyDescent="0.25">
      <c r="A130" s="1">
        <v>40367</v>
      </c>
      <c r="B130" t="s">
        <v>0</v>
      </c>
      <c r="C130">
        <v>227.42794119999999</v>
      </c>
      <c r="D130">
        <v>-1.4127106201386401E-2</v>
      </c>
      <c r="E130">
        <v>0</v>
      </c>
      <c r="F130">
        <v>235.43966993999999</v>
      </c>
      <c r="G130">
        <v>10.80908142194586</v>
      </c>
      <c r="H130">
        <v>257.05783278389168</v>
      </c>
      <c r="I130">
        <v>213.82150709610826</v>
      </c>
    </row>
    <row r="131" spans="1:9" x14ac:dyDescent="0.25">
      <c r="A131" s="1">
        <v>40368</v>
      </c>
      <c r="B131" t="s">
        <v>0</v>
      </c>
      <c r="C131">
        <v>232.8725306</v>
      </c>
      <c r="D131">
        <v>-2.3939843852396499E-2</v>
      </c>
      <c r="E131">
        <v>0</v>
      </c>
      <c r="F131">
        <v>234.95349128500001</v>
      </c>
      <c r="G131">
        <v>10.96624335475655</v>
      </c>
      <c r="H131">
        <v>256.8859779945131</v>
      </c>
      <c r="I131">
        <v>213.02100457548693</v>
      </c>
    </row>
    <row r="132" spans="1:9" x14ac:dyDescent="0.25">
      <c r="A132" s="1">
        <v>40371</v>
      </c>
      <c r="B132" t="s">
        <v>0</v>
      </c>
      <c r="C132">
        <v>237.02697219999999</v>
      </c>
      <c r="D132">
        <v>-1.7839981337841759E-2</v>
      </c>
      <c r="E132">
        <v>0</v>
      </c>
      <c r="F132">
        <v>234.63792373500002</v>
      </c>
      <c r="G132">
        <v>10.846848382672517</v>
      </c>
      <c r="H132">
        <v>256.33162050034502</v>
      </c>
      <c r="I132">
        <v>212.94422696965498</v>
      </c>
    </row>
    <row r="133" spans="1:9" x14ac:dyDescent="0.25">
      <c r="A133" s="1">
        <v>40372</v>
      </c>
      <c r="B133" t="s">
        <v>0</v>
      </c>
      <c r="C133">
        <v>243.68701770000001</v>
      </c>
      <c r="D133">
        <v>-2.8098260034222486E-2</v>
      </c>
      <c r="E133">
        <v>0</v>
      </c>
      <c r="F133">
        <v>234.78761270999999</v>
      </c>
      <c r="G133">
        <v>10.685366475315636</v>
      </c>
      <c r="H133">
        <v>256.15834566063126</v>
      </c>
      <c r="I133">
        <v>213.41687975936873</v>
      </c>
    </row>
    <row r="134" spans="1:9" x14ac:dyDescent="0.25">
      <c r="A134" s="1">
        <v>40373</v>
      </c>
      <c r="B134" t="s">
        <v>0</v>
      </c>
      <c r="C134">
        <v>244.75302909999999</v>
      </c>
      <c r="D134">
        <v>-4.3745104276023952E-3</v>
      </c>
      <c r="E134">
        <v>0</v>
      </c>
      <c r="F134">
        <v>234.62198362999999</v>
      </c>
      <c r="G134">
        <v>10.789839643912041</v>
      </c>
      <c r="H134">
        <v>256.20166291782408</v>
      </c>
      <c r="I134">
        <v>213.0423043421759</v>
      </c>
    </row>
    <row r="135" spans="1:9" x14ac:dyDescent="0.25">
      <c r="A135" s="1">
        <v>40374</v>
      </c>
      <c r="B135" t="s">
        <v>0</v>
      </c>
      <c r="C135">
        <v>246.08802270000001</v>
      </c>
      <c r="D135">
        <v>-5.4544517994691427E-3</v>
      </c>
      <c r="E135">
        <v>0</v>
      </c>
      <c r="F135">
        <v>234.44141004000002</v>
      </c>
      <c r="G135">
        <v>10.608892262561623</v>
      </c>
      <c r="H135">
        <v>255.65919456512327</v>
      </c>
      <c r="I135">
        <v>213.22362551487677</v>
      </c>
    </row>
    <row r="136" spans="1:9" x14ac:dyDescent="0.25">
      <c r="A136" s="1">
        <v>40375</v>
      </c>
      <c r="B136" t="s">
        <v>0</v>
      </c>
      <c r="C136">
        <v>228.94724600000001</v>
      </c>
      <c r="D136">
        <v>6.9653031106255467E-2</v>
      </c>
      <c r="E136">
        <v>1</v>
      </c>
      <c r="F136">
        <v>233.43343634500002</v>
      </c>
      <c r="G136">
        <v>10.426232697462245</v>
      </c>
      <c r="H136">
        <v>254.2859017399245</v>
      </c>
      <c r="I136">
        <v>212.58097095007554</v>
      </c>
    </row>
    <row r="137" spans="1:9" x14ac:dyDescent="0.25">
      <c r="A137" s="1">
        <v>40378</v>
      </c>
      <c r="B137" t="s">
        <v>0</v>
      </c>
      <c r="C137">
        <v>232.2199875</v>
      </c>
      <c r="D137">
        <v>-1.4294740632084279E-2</v>
      </c>
      <c r="E137">
        <v>0</v>
      </c>
      <c r="F137">
        <v>232.59034560500004</v>
      </c>
      <c r="G137">
        <v>9.9066056032483409</v>
      </c>
      <c r="H137">
        <v>252.40355681149671</v>
      </c>
      <c r="I137">
        <v>212.77713439850336</v>
      </c>
    </row>
    <row r="138" spans="1:9" x14ac:dyDescent="0.25">
      <c r="A138" s="1">
        <v>40379</v>
      </c>
      <c r="B138" t="s">
        <v>0</v>
      </c>
      <c r="C138">
        <v>239.89622460000001</v>
      </c>
      <c r="D138">
        <v>-3.3055884562908304E-2</v>
      </c>
      <c r="E138">
        <v>0</v>
      </c>
      <c r="F138">
        <v>232.41674607499999</v>
      </c>
      <c r="G138">
        <v>9.1967071517620713</v>
      </c>
      <c r="H138">
        <v>250.81016037852413</v>
      </c>
      <c r="I138">
        <v>214.02333177147585</v>
      </c>
    </row>
    <row r="139" spans="1:9" x14ac:dyDescent="0.25">
      <c r="A139" s="1">
        <v>40380</v>
      </c>
      <c r="B139" t="s">
        <v>0</v>
      </c>
      <c r="C139">
        <v>237.85885210000001</v>
      </c>
      <c r="D139">
        <v>8.4927243160958163E-3</v>
      </c>
      <c r="E139">
        <v>1</v>
      </c>
      <c r="F139">
        <v>232.19881204500007</v>
      </c>
      <c r="G139">
        <v>9.0237084298645787</v>
      </c>
      <c r="H139">
        <v>250.24622890472924</v>
      </c>
      <c r="I139">
        <v>214.1513951852709</v>
      </c>
    </row>
    <row r="140" spans="1:9" x14ac:dyDescent="0.25">
      <c r="A140" s="1">
        <v>40381</v>
      </c>
      <c r="B140" t="s">
        <v>0</v>
      </c>
      <c r="C140">
        <v>241.5002159</v>
      </c>
      <c r="D140">
        <v>-1.5308926986955695E-2</v>
      </c>
      <c r="E140">
        <v>0</v>
      </c>
      <c r="F140">
        <v>232.26755453000004</v>
      </c>
      <c r="G140">
        <v>8.8326159120340506</v>
      </c>
      <c r="H140">
        <v>249.93278635406813</v>
      </c>
      <c r="I140">
        <v>214.60232270593195</v>
      </c>
    </row>
    <row r="141" spans="1:9" x14ac:dyDescent="0.25">
      <c r="A141" s="1">
        <v>40382</v>
      </c>
      <c r="B141" t="s">
        <v>0</v>
      </c>
      <c r="C141">
        <v>244.115409</v>
      </c>
      <c r="D141">
        <v>-1.0828947254783797E-2</v>
      </c>
      <c r="E141">
        <v>0</v>
      </c>
      <c r="F141">
        <v>232.64015802</v>
      </c>
      <c r="G141">
        <v>8.9066704663904801</v>
      </c>
      <c r="H141">
        <v>250.45349895278096</v>
      </c>
      <c r="I141">
        <v>214.82681708721904</v>
      </c>
    </row>
    <row r="142" spans="1:9" x14ac:dyDescent="0.25">
      <c r="A142" s="1">
        <v>40385</v>
      </c>
      <c r="B142" t="s">
        <v>0</v>
      </c>
      <c r="C142">
        <v>243.57245459999999</v>
      </c>
      <c r="D142">
        <v>2.2241709453089606E-3</v>
      </c>
      <c r="E142">
        <v>1</v>
      </c>
      <c r="F142">
        <v>233.04588838999999</v>
      </c>
      <c r="G142">
        <v>9.2340763394265366</v>
      </c>
      <c r="H142">
        <v>251.51404106885306</v>
      </c>
      <c r="I142">
        <v>214.57773571114691</v>
      </c>
    </row>
    <row r="143" spans="1:9" x14ac:dyDescent="0.25">
      <c r="A143" s="1">
        <v>40386</v>
      </c>
      <c r="B143" t="s">
        <v>0</v>
      </c>
      <c r="C143">
        <v>245.3956235</v>
      </c>
      <c r="D143">
        <v>-7.4851193785194677E-3</v>
      </c>
      <c r="E143">
        <v>0</v>
      </c>
      <c r="F143">
        <v>233.55772094499997</v>
      </c>
      <c r="G143">
        <v>9.527837684927972</v>
      </c>
      <c r="H143">
        <v>252.61339631485592</v>
      </c>
      <c r="I143">
        <v>214.50204557514402</v>
      </c>
    </row>
    <row r="144" spans="1:9" x14ac:dyDescent="0.25">
      <c r="A144" s="1">
        <v>40387</v>
      </c>
      <c r="B144" t="s">
        <v>0</v>
      </c>
      <c r="C144">
        <v>241.27107430000001</v>
      </c>
      <c r="D144">
        <v>1.6807753704702846E-2</v>
      </c>
      <c r="E144">
        <v>1</v>
      </c>
      <c r="F144">
        <v>234.30716300499998</v>
      </c>
      <c r="G144">
        <v>9.9105979075738642</v>
      </c>
      <c r="H144">
        <v>254.1283588201477</v>
      </c>
      <c r="I144">
        <v>214.48596718985226</v>
      </c>
    </row>
    <row r="145" spans="1:9" x14ac:dyDescent="0.25">
      <c r="A145" s="1">
        <v>40388</v>
      </c>
      <c r="B145" t="s">
        <v>0</v>
      </c>
      <c r="C145">
        <v>241.58987629999999</v>
      </c>
      <c r="D145">
        <v>-1.321343641897054E-3</v>
      </c>
      <c r="E145">
        <v>0</v>
      </c>
      <c r="F145">
        <v>235.30442651499999</v>
      </c>
      <c r="G145">
        <v>9.9206508567335572</v>
      </c>
      <c r="H145">
        <v>255.14572822846711</v>
      </c>
      <c r="I145">
        <v>215.46312480153287</v>
      </c>
    </row>
    <row r="146" spans="1:9" x14ac:dyDescent="0.25">
      <c r="A146" s="1">
        <v>40389</v>
      </c>
      <c r="B146" t="s">
        <v>0</v>
      </c>
      <c r="C146">
        <v>241.52014370000001</v>
      </c>
      <c r="D146">
        <v>2.8864040607971657E-4</v>
      </c>
      <c r="E146">
        <v>1</v>
      </c>
      <c r="F146">
        <v>236.43419377000001</v>
      </c>
      <c r="G146">
        <v>9.6094483053484296</v>
      </c>
      <c r="H146">
        <v>255.65309038069688</v>
      </c>
      <c r="I146">
        <v>217.21529715930313</v>
      </c>
    </row>
    <row r="147" spans="1:9" x14ac:dyDescent="0.25">
      <c r="A147" s="1">
        <v>40392</v>
      </c>
      <c r="B147" t="s">
        <v>0</v>
      </c>
      <c r="C147">
        <v>244.28975600000001</v>
      </c>
      <c r="D147">
        <v>-1.1467417406973022E-2</v>
      </c>
      <c r="E147">
        <v>0</v>
      </c>
      <c r="F147">
        <v>237.77566792000002</v>
      </c>
      <c r="G147">
        <v>8.9501646913252078</v>
      </c>
      <c r="H147">
        <v>255.67599730265044</v>
      </c>
      <c r="I147">
        <v>219.87533853734959</v>
      </c>
    </row>
    <row r="148" spans="1:9" x14ac:dyDescent="0.25">
      <c r="A148" s="1">
        <v>40393</v>
      </c>
      <c r="B148" t="s">
        <v>0</v>
      </c>
      <c r="C148">
        <v>244.0008454</v>
      </c>
      <c r="D148">
        <v>1.1826554036920333E-3</v>
      </c>
      <c r="E148">
        <v>1</v>
      </c>
      <c r="F148">
        <v>239.11465107999999</v>
      </c>
      <c r="G148">
        <v>7.9614212011756909</v>
      </c>
      <c r="H148">
        <v>255.03749348235138</v>
      </c>
      <c r="I148">
        <v>223.19180867764859</v>
      </c>
    </row>
    <row r="149" spans="1:9" x14ac:dyDescent="0.25">
      <c r="A149" s="1">
        <v>40394</v>
      </c>
      <c r="B149" t="s">
        <v>0</v>
      </c>
      <c r="C149">
        <v>252.21506249999999</v>
      </c>
      <c r="D149">
        <v>-3.3664707540394384E-2</v>
      </c>
      <c r="E149">
        <v>0</v>
      </c>
      <c r="F149">
        <v>240.512414245</v>
      </c>
      <c r="G149">
        <v>6.5242252547428334</v>
      </c>
      <c r="H149">
        <v>253.56086475448566</v>
      </c>
      <c r="I149">
        <v>227.46396373551434</v>
      </c>
    </row>
    <row r="150" spans="1:9" x14ac:dyDescent="0.25">
      <c r="A150" s="1">
        <v>40395</v>
      </c>
      <c r="B150" t="s">
        <v>0</v>
      </c>
      <c r="C150">
        <v>253.1017525</v>
      </c>
      <c r="D150">
        <v>-3.515610809326726E-3</v>
      </c>
      <c r="E150">
        <v>0</v>
      </c>
      <c r="F150">
        <v>241.79610481000003</v>
      </c>
      <c r="G150">
        <v>6.1525279893925706</v>
      </c>
      <c r="H150">
        <v>254.10116078878517</v>
      </c>
      <c r="I150">
        <v>229.4910488312149</v>
      </c>
    </row>
    <row r="151" spans="1:9" x14ac:dyDescent="0.25">
      <c r="A151" s="1">
        <v>40396</v>
      </c>
      <c r="B151" t="s">
        <v>0</v>
      </c>
      <c r="C151">
        <v>249.17645250000001</v>
      </c>
      <c r="D151">
        <v>1.5508782381899915E-2</v>
      </c>
      <c r="E151">
        <v>1</v>
      </c>
      <c r="F151">
        <v>242.61130090500006</v>
      </c>
      <c r="G151">
        <v>5.8810562437283282</v>
      </c>
      <c r="H151">
        <v>254.37341339245671</v>
      </c>
      <c r="I151">
        <v>230.84918841754342</v>
      </c>
    </row>
    <row r="152" spans="1:9" x14ac:dyDescent="0.25">
      <c r="A152" s="1">
        <v>40399</v>
      </c>
      <c r="B152" t="s">
        <v>0</v>
      </c>
      <c r="C152">
        <v>251.73187709999999</v>
      </c>
      <c r="D152">
        <v>-1.025548190593965E-2</v>
      </c>
      <c r="E152">
        <v>0</v>
      </c>
      <c r="F152">
        <v>243.34654615000005</v>
      </c>
      <c r="G152">
        <v>5.70440939386192</v>
      </c>
      <c r="H152">
        <v>254.7553649377239</v>
      </c>
      <c r="I152">
        <v>231.93772736227621</v>
      </c>
    </row>
    <row r="153" spans="1:9" x14ac:dyDescent="0.25">
      <c r="A153" s="1">
        <v>40400</v>
      </c>
      <c r="B153" t="s">
        <v>0</v>
      </c>
      <c r="C153">
        <v>250.9149352</v>
      </c>
      <c r="D153">
        <v>3.2452858549791869E-3</v>
      </c>
      <c r="E153">
        <v>1</v>
      </c>
      <c r="F153">
        <v>243.70794202500002</v>
      </c>
      <c r="G153">
        <v>5.8471986047014441</v>
      </c>
      <c r="H153">
        <v>255.40233923440292</v>
      </c>
      <c r="I153">
        <v>232.01354481559713</v>
      </c>
    </row>
    <row r="154" spans="1:9" x14ac:dyDescent="0.25">
      <c r="A154" s="1">
        <v>40401</v>
      </c>
      <c r="B154" t="s">
        <v>0</v>
      </c>
      <c r="C154">
        <v>244.95227869999999</v>
      </c>
      <c r="D154">
        <v>2.37636571742821E-2</v>
      </c>
      <c r="E154">
        <v>1</v>
      </c>
      <c r="F154">
        <v>243.71790450499998</v>
      </c>
      <c r="G154">
        <v>6.0652161060992906</v>
      </c>
      <c r="H154">
        <v>255.84833671719855</v>
      </c>
      <c r="I154">
        <v>231.58747229280141</v>
      </c>
    </row>
    <row r="155" spans="1:9" x14ac:dyDescent="0.25">
      <c r="A155" s="1">
        <v>40402</v>
      </c>
      <c r="B155" t="s">
        <v>0</v>
      </c>
      <c r="C155">
        <v>245.0867696</v>
      </c>
      <c r="D155">
        <v>-5.490493932686284E-4</v>
      </c>
      <c r="E155">
        <v>0</v>
      </c>
      <c r="F155">
        <v>243.66784185</v>
      </c>
      <c r="G155">
        <v>6.067286256590938</v>
      </c>
      <c r="H155">
        <v>255.80241436318187</v>
      </c>
      <c r="I155">
        <v>231.53326933681814</v>
      </c>
    </row>
    <row r="156" spans="1:9" x14ac:dyDescent="0.25">
      <c r="A156" s="1">
        <v>40403</v>
      </c>
      <c r="B156" t="s">
        <v>0</v>
      </c>
      <c r="C156">
        <v>242.2673375</v>
      </c>
      <c r="D156">
        <v>1.1503811913639913E-2</v>
      </c>
      <c r="E156">
        <v>1</v>
      </c>
      <c r="F156">
        <v>244.33384642499999</v>
      </c>
      <c r="G156">
        <v>6.0879658872228308</v>
      </c>
      <c r="H156">
        <v>256.50977819944563</v>
      </c>
      <c r="I156">
        <v>232.15791465055432</v>
      </c>
    </row>
    <row r="157" spans="1:9" x14ac:dyDescent="0.25">
      <c r="A157" s="1">
        <v>40406</v>
      </c>
      <c r="B157" t="s">
        <v>0</v>
      </c>
      <c r="C157">
        <v>241.88875110000001</v>
      </c>
      <c r="D157">
        <v>1.5626803179771974E-3</v>
      </c>
      <c r="E157">
        <v>1</v>
      </c>
      <c r="F157">
        <v>244.81728460500003</v>
      </c>
      <c r="G157">
        <v>5.0668718597173301</v>
      </c>
      <c r="H157">
        <v>254.95102832443467</v>
      </c>
      <c r="I157">
        <v>234.68354088556538</v>
      </c>
    </row>
    <row r="158" spans="1:9" x14ac:dyDescent="0.25">
      <c r="A158" s="1">
        <v>40407</v>
      </c>
      <c r="B158" t="s">
        <v>0</v>
      </c>
      <c r="C158">
        <v>244.34455059999999</v>
      </c>
      <c r="D158">
        <v>-1.0152599030885581E-2</v>
      </c>
      <c r="E158">
        <v>0</v>
      </c>
      <c r="F158">
        <v>245.03970090499996</v>
      </c>
      <c r="G158">
        <v>4.2681237283160289</v>
      </c>
      <c r="H158">
        <v>253.57594836163202</v>
      </c>
      <c r="I158">
        <v>236.50345344836791</v>
      </c>
    </row>
    <row r="159" spans="1:9" x14ac:dyDescent="0.25">
      <c r="A159" s="1">
        <v>40408</v>
      </c>
      <c r="B159" t="s">
        <v>0</v>
      </c>
      <c r="C159">
        <v>240.17517050000001</v>
      </c>
      <c r="D159">
        <v>1.7063528078534458E-2</v>
      </c>
      <c r="E159">
        <v>1</v>
      </c>
      <c r="F159">
        <v>245.15551682500001</v>
      </c>
      <c r="G159">
        <v>4.1148132108106736</v>
      </c>
      <c r="H159">
        <v>253.38514324662134</v>
      </c>
      <c r="I159">
        <v>236.92589040337867</v>
      </c>
    </row>
    <row r="160" spans="1:9" x14ac:dyDescent="0.25">
      <c r="A160" s="1">
        <v>40409</v>
      </c>
      <c r="B160" t="s">
        <v>0</v>
      </c>
      <c r="C160">
        <v>233.11163640000001</v>
      </c>
      <c r="D160">
        <v>2.9409926451993498E-2</v>
      </c>
      <c r="E160">
        <v>1</v>
      </c>
      <c r="F160">
        <v>244.73608784999996</v>
      </c>
      <c r="G160">
        <v>3.9605220735814246</v>
      </c>
      <c r="H160">
        <v>252.65713199716282</v>
      </c>
      <c r="I160">
        <v>236.8150437028371</v>
      </c>
    </row>
    <row r="161" spans="1:9" x14ac:dyDescent="0.25">
      <c r="A161" s="1">
        <v>40410</v>
      </c>
      <c r="B161" t="s">
        <v>0</v>
      </c>
      <c r="C161">
        <v>230.14774869999999</v>
      </c>
      <c r="D161">
        <v>1.2714456239817358E-2</v>
      </c>
      <c r="E161">
        <v>1</v>
      </c>
      <c r="F161">
        <v>244.03770483499997</v>
      </c>
      <c r="G161">
        <v>4.7335318888538938</v>
      </c>
      <c r="H161">
        <v>253.50476861270775</v>
      </c>
      <c r="I161">
        <v>234.57064105729219</v>
      </c>
    </row>
    <row r="162" spans="1:9" x14ac:dyDescent="0.25">
      <c r="A162" s="1">
        <v>40413</v>
      </c>
      <c r="B162" t="s">
        <v>0</v>
      </c>
      <c r="C162">
        <v>231.16891469999999</v>
      </c>
      <c r="D162">
        <v>-4.4370019075489391E-3</v>
      </c>
      <c r="E162">
        <v>0</v>
      </c>
      <c r="F162">
        <v>243.41752783999996</v>
      </c>
      <c r="G162">
        <v>5.6953652931723573</v>
      </c>
      <c r="H162">
        <v>254.80825842634468</v>
      </c>
      <c r="I162">
        <v>232.02679725365525</v>
      </c>
    </row>
    <row r="163" spans="1:9" x14ac:dyDescent="0.25">
      <c r="A163" s="1">
        <v>40414</v>
      </c>
      <c r="B163" t="s">
        <v>0</v>
      </c>
      <c r="C163">
        <v>224.85258880000001</v>
      </c>
      <c r="D163">
        <v>2.7323422390925736E-2</v>
      </c>
      <c r="E163">
        <v>1</v>
      </c>
      <c r="F163">
        <v>242.39037610499994</v>
      </c>
      <c r="G163">
        <v>6.402534856367958</v>
      </c>
      <c r="H163">
        <v>255.19544581773587</v>
      </c>
      <c r="I163">
        <v>229.58530639226402</v>
      </c>
    </row>
    <row r="164" spans="1:9" x14ac:dyDescent="0.25">
      <c r="A164" s="1">
        <v>40415</v>
      </c>
      <c r="B164" t="s">
        <v>0</v>
      </c>
      <c r="C164">
        <v>226.46155450000001</v>
      </c>
      <c r="D164">
        <v>-7.1556467665628174E-3</v>
      </c>
      <c r="E164">
        <v>0</v>
      </c>
      <c r="F164">
        <v>241.64990011499998</v>
      </c>
      <c r="G164">
        <v>7.5145113521297118</v>
      </c>
      <c r="H164">
        <v>256.67892281925941</v>
      </c>
      <c r="I164">
        <v>226.62087741074055</v>
      </c>
    </row>
    <row r="165" spans="1:9" x14ac:dyDescent="0.25">
      <c r="A165" s="1">
        <v>40416</v>
      </c>
      <c r="B165" t="s">
        <v>0</v>
      </c>
      <c r="C165">
        <v>224.64834980000001</v>
      </c>
      <c r="D165">
        <v>8.0066777957227171E-3</v>
      </c>
      <c r="E165">
        <v>1</v>
      </c>
      <c r="F165">
        <v>240.80282378999999</v>
      </c>
      <c r="G165">
        <v>8.2893024940456073</v>
      </c>
      <c r="H165">
        <v>257.38142877809122</v>
      </c>
      <c r="I165">
        <v>224.22421880190876</v>
      </c>
    </row>
    <row r="166" spans="1:9" x14ac:dyDescent="0.25">
      <c r="A166" s="1">
        <v>40417</v>
      </c>
      <c r="B166" t="s">
        <v>0</v>
      </c>
      <c r="C166">
        <v>228.5586959</v>
      </c>
      <c r="D166">
        <v>-1.740652047291379E-2</v>
      </c>
      <c r="E166">
        <v>0</v>
      </c>
      <c r="F166">
        <v>240.15475139999998</v>
      </c>
      <c r="G166">
        <v>9.063658895417209</v>
      </c>
      <c r="H166">
        <v>258.28206919083442</v>
      </c>
      <c r="I166">
        <v>222.02743360916557</v>
      </c>
    </row>
    <row r="167" spans="1:9" x14ac:dyDescent="0.25">
      <c r="A167" s="1">
        <v>40420</v>
      </c>
      <c r="B167" t="s">
        <v>0</v>
      </c>
      <c r="C167">
        <v>225.5001575</v>
      </c>
      <c r="D167">
        <v>1.3381850941861291E-2</v>
      </c>
      <c r="E167">
        <v>1</v>
      </c>
      <c r="F167">
        <v>239.21527147499995</v>
      </c>
      <c r="G167">
        <v>9.4690414220903385</v>
      </c>
      <c r="H167">
        <v>258.15335431918061</v>
      </c>
      <c r="I167">
        <v>220.27718863081927</v>
      </c>
    </row>
    <row r="168" spans="1:9" x14ac:dyDescent="0.25">
      <c r="A168" s="1">
        <v>40421</v>
      </c>
      <c r="B168" t="s">
        <v>0</v>
      </c>
      <c r="C168">
        <v>224.17013829999999</v>
      </c>
      <c r="D168">
        <v>5.8980854592086459E-3</v>
      </c>
      <c r="E168">
        <v>1</v>
      </c>
      <c r="F168">
        <v>238.22373612000001</v>
      </c>
      <c r="G168">
        <v>9.9379870054813573</v>
      </c>
      <c r="H168">
        <v>258.09971013096271</v>
      </c>
      <c r="I168">
        <v>218.34776210903729</v>
      </c>
    </row>
    <row r="169" spans="1:9" x14ac:dyDescent="0.25">
      <c r="A169" s="1">
        <v>40422</v>
      </c>
      <c r="B169" t="s">
        <v>0</v>
      </c>
      <c r="C169">
        <v>229.30590470000001</v>
      </c>
      <c r="D169">
        <v>-2.2910127276305575E-2</v>
      </c>
      <c r="E169">
        <v>0</v>
      </c>
      <c r="F169">
        <v>237.07827822999994</v>
      </c>
      <c r="G169">
        <v>10.405868080152759</v>
      </c>
      <c r="H169">
        <v>257.89001439030545</v>
      </c>
      <c r="I169">
        <v>216.26654206969442</v>
      </c>
    </row>
    <row r="170" spans="1:9" x14ac:dyDescent="0.25">
      <c r="A170" s="1">
        <v>40423</v>
      </c>
      <c r="B170" t="s">
        <v>0</v>
      </c>
      <c r="C170">
        <v>230.7255849</v>
      </c>
      <c r="D170">
        <v>-6.1912064665641713E-3</v>
      </c>
      <c r="E170">
        <v>0</v>
      </c>
      <c r="F170">
        <v>235.95946985</v>
      </c>
      <c r="G170">
        <v>10.054760081939618</v>
      </c>
      <c r="H170">
        <v>256.06899001387922</v>
      </c>
      <c r="I170">
        <v>215.84994968612077</v>
      </c>
    </row>
    <row r="171" spans="1:9" x14ac:dyDescent="0.25">
      <c r="A171" s="1">
        <v>40424</v>
      </c>
      <c r="B171" t="s">
        <v>0</v>
      </c>
      <c r="C171">
        <v>234.27229790000001</v>
      </c>
      <c r="D171">
        <v>-1.5371997004741416E-2</v>
      </c>
      <c r="E171">
        <v>0</v>
      </c>
      <c r="F171">
        <v>235.21426212</v>
      </c>
      <c r="G171">
        <v>9.3984211294815587</v>
      </c>
      <c r="H171">
        <v>254.01110437896313</v>
      </c>
      <c r="I171">
        <v>216.41741986103688</v>
      </c>
    </row>
    <row r="172" spans="1:9" x14ac:dyDescent="0.25">
      <c r="A172" s="1">
        <v>40428</v>
      </c>
      <c r="B172" t="s">
        <v>0</v>
      </c>
      <c r="C172">
        <v>231.33329749999999</v>
      </c>
      <c r="D172">
        <v>1.2545232305932087E-2</v>
      </c>
      <c r="E172">
        <v>1</v>
      </c>
      <c r="F172">
        <v>234.19433313999997</v>
      </c>
      <c r="G172">
        <v>8.9256821403492239</v>
      </c>
      <c r="H172">
        <v>252.04569742069842</v>
      </c>
      <c r="I172">
        <v>216.34296885930152</v>
      </c>
    </row>
    <row r="173" spans="1:9" x14ac:dyDescent="0.25">
      <c r="A173" s="1">
        <v>40429</v>
      </c>
      <c r="B173" t="s">
        <v>0</v>
      </c>
      <c r="C173">
        <v>234.41176369999999</v>
      </c>
      <c r="D173">
        <v>-1.3307492839417154E-2</v>
      </c>
      <c r="E173">
        <v>0</v>
      </c>
      <c r="F173">
        <v>233.36917456499995</v>
      </c>
      <c r="G173">
        <v>8.0857709702703087</v>
      </c>
      <c r="H173">
        <v>249.54071650554056</v>
      </c>
      <c r="I173">
        <v>217.19763262445935</v>
      </c>
    </row>
    <row r="174" spans="1:9" x14ac:dyDescent="0.25">
      <c r="A174" s="1">
        <v>40430</v>
      </c>
      <c r="B174" t="s">
        <v>0</v>
      </c>
      <c r="C174">
        <v>237.2013192</v>
      </c>
      <c r="D174">
        <v>-1.190023681392576E-2</v>
      </c>
      <c r="E174">
        <v>0</v>
      </c>
      <c r="F174">
        <v>232.98162659000005</v>
      </c>
      <c r="G174">
        <v>7.0845994529527037</v>
      </c>
      <c r="H174">
        <v>247.15082549590545</v>
      </c>
      <c r="I174">
        <v>218.81242768409464</v>
      </c>
    </row>
    <row r="175" spans="1:9" x14ac:dyDescent="0.25">
      <c r="A175" s="1">
        <v>40431</v>
      </c>
      <c r="B175" t="s">
        <v>0</v>
      </c>
      <c r="C175">
        <v>237.1813914</v>
      </c>
      <c r="D175">
        <v>8.4012180316765013E-5</v>
      </c>
      <c r="E175">
        <v>1</v>
      </c>
      <c r="F175">
        <v>232.58635768000008</v>
      </c>
      <c r="G175">
        <v>6.6387688323364884</v>
      </c>
      <c r="H175">
        <v>245.86389534467304</v>
      </c>
      <c r="I175">
        <v>219.30882001532711</v>
      </c>
    </row>
    <row r="176" spans="1:9" x14ac:dyDescent="0.25">
      <c r="A176" s="1">
        <v>40434</v>
      </c>
      <c r="B176" t="s">
        <v>0</v>
      </c>
      <c r="C176">
        <v>240.23495489999999</v>
      </c>
      <c r="D176">
        <v>-1.2874380582624391E-2</v>
      </c>
      <c r="E176">
        <v>0</v>
      </c>
      <c r="F176">
        <v>232.48473855000006</v>
      </c>
      <c r="G176">
        <v>6.109523704242199</v>
      </c>
      <c r="H176">
        <v>244.70378595848445</v>
      </c>
      <c r="I176">
        <v>220.26569114151567</v>
      </c>
    </row>
    <row r="177" spans="1:9" x14ac:dyDescent="0.25">
      <c r="A177" s="1">
        <v>40435</v>
      </c>
      <c r="B177" t="s">
        <v>0</v>
      </c>
      <c r="C177">
        <v>239.3183884</v>
      </c>
      <c r="D177">
        <v>3.8152919935465547E-3</v>
      </c>
      <c r="E177">
        <v>1</v>
      </c>
      <c r="F177">
        <v>232.35622041500005</v>
      </c>
      <c r="G177">
        <v>5.9633151322468709</v>
      </c>
      <c r="H177">
        <v>244.28285067949381</v>
      </c>
      <c r="I177">
        <v>220.4295901505063</v>
      </c>
    </row>
    <row r="178" spans="1:9" x14ac:dyDescent="0.25">
      <c r="A178" s="1">
        <v>40436</v>
      </c>
      <c r="B178" t="s">
        <v>0</v>
      </c>
      <c r="C178">
        <v>239.42300280000001</v>
      </c>
      <c r="D178">
        <v>-4.3713481734278074E-4</v>
      </c>
      <c r="E178">
        <v>0</v>
      </c>
      <c r="F178">
        <v>232.11014302499999</v>
      </c>
      <c r="G178">
        <v>5.7880751150877749</v>
      </c>
      <c r="H178">
        <v>243.68629325517554</v>
      </c>
      <c r="I178">
        <v>220.53399279482443</v>
      </c>
    </row>
    <row r="179" spans="1:9" x14ac:dyDescent="0.25">
      <c r="A179" s="1">
        <v>40437</v>
      </c>
      <c r="B179" t="s">
        <v>0</v>
      </c>
      <c r="C179">
        <v>239.63221609999999</v>
      </c>
      <c r="D179">
        <v>-8.7382288900098785E-4</v>
      </c>
      <c r="E179">
        <v>0</v>
      </c>
      <c r="F179">
        <v>232.08299530500003</v>
      </c>
      <c r="G179">
        <v>5.3565296606552408</v>
      </c>
      <c r="H179">
        <v>242.79605462631051</v>
      </c>
      <c r="I179">
        <v>221.36993598368954</v>
      </c>
    </row>
    <row r="180" spans="1:9" x14ac:dyDescent="0.25">
      <c r="A180" s="1">
        <v>40438</v>
      </c>
      <c r="B180" t="s">
        <v>0</v>
      </c>
      <c r="C180">
        <v>244.16025440000001</v>
      </c>
      <c r="D180">
        <v>-1.889578276950225E-2</v>
      </c>
      <c r="E180">
        <v>0</v>
      </c>
      <c r="F180">
        <v>232.63542620500002</v>
      </c>
      <c r="G180">
        <v>5.3453682441912767</v>
      </c>
      <c r="H180">
        <v>243.32616269338257</v>
      </c>
      <c r="I180">
        <v>221.94468971661746</v>
      </c>
    </row>
    <row r="181" spans="1:9" x14ac:dyDescent="0.25">
      <c r="A181" s="1">
        <v>40441</v>
      </c>
      <c r="B181" t="s">
        <v>0</v>
      </c>
      <c r="C181">
        <v>253.19141289999999</v>
      </c>
      <c r="D181">
        <v>-3.6988651253633258E-2</v>
      </c>
      <c r="E181">
        <v>0</v>
      </c>
      <c r="F181">
        <v>233.78760941499999</v>
      </c>
      <c r="G181">
        <v>6.04402450806883</v>
      </c>
      <c r="H181">
        <v>245.87565843113765</v>
      </c>
      <c r="I181">
        <v>221.69956039886233</v>
      </c>
    </row>
    <row r="182" spans="1:9" x14ac:dyDescent="0.25">
      <c r="A182" s="1">
        <v>40442</v>
      </c>
      <c r="B182" t="s">
        <v>0</v>
      </c>
      <c r="C182">
        <v>255.77173970000001</v>
      </c>
      <c r="D182">
        <v>-1.019120976673543E-2</v>
      </c>
      <c r="E182">
        <v>0</v>
      </c>
      <c r="F182">
        <v>235.01775066499999</v>
      </c>
      <c r="G182">
        <v>7.4970947661132774</v>
      </c>
      <c r="H182">
        <v>250.01194019722655</v>
      </c>
      <c r="I182">
        <v>220.02356113277344</v>
      </c>
    </row>
    <row r="183" spans="1:9" x14ac:dyDescent="0.25">
      <c r="A183" s="1">
        <v>40443</v>
      </c>
      <c r="B183" t="s">
        <v>0</v>
      </c>
      <c r="C183">
        <v>257.03700070000002</v>
      </c>
      <c r="D183">
        <v>-4.9468365875137751E-3</v>
      </c>
      <c r="E183">
        <v>0</v>
      </c>
      <c r="F183">
        <v>236.62697125999998</v>
      </c>
      <c r="G183">
        <v>8.9214206819556683</v>
      </c>
      <c r="H183">
        <v>254.46981262391131</v>
      </c>
      <c r="I183">
        <v>218.78412989608864</v>
      </c>
    </row>
    <row r="184" spans="1:9" x14ac:dyDescent="0.25">
      <c r="A184" s="1">
        <v>40444</v>
      </c>
      <c r="B184" t="s">
        <v>0</v>
      </c>
      <c r="C184">
        <v>255.7817039</v>
      </c>
      <c r="D184">
        <v>4.8837202293110357E-3</v>
      </c>
      <c r="E184">
        <v>1</v>
      </c>
      <c r="F184">
        <v>238.09297872999997</v>
      </c>
      <c r="G184">
        <v>9.7794471141209058</v>
      </c>
      <c r="H184">
        <v>257.65187295824177</v>
      </c>
      <c r="I184">
        <v>218.53408450175817</v>
      </c>
    </row>
    <row r="185" spans="1:9" x14ac:dyDescent="0.25">
      <c r="A185" s="1">
        <v>40445</v>
      </c>
      <c r="B185" t="s">
        <v>0</v>
      </c>
      <c r="C185">
        <v>262.66094229999999</v>
      </c>
      <c r="D185">
        <v>-2.6894958846194437E-2</v>
      </c>
      <c r="E185">
        <v>0</v>
      </c>
      <c r="F185">
        <v>239.99360835499996</v>
      </c>
      <c r="G185">
        <v>10.398558902818859</v>
      </c>
      <c r="H185">
        <v>260.79072616063769</v>
      </c>
      <c r="I185">
        <v>219.19649054936224</v>
      </c>
    </row>
    <row r="186" spans="1:9" x14ac:dyDescent="0.25">
      <c r="A186" s="1">
        <v>40448</v>
      </c>
      <c r="B186" t="s">
        <v>0</v>
      </c>
      <c r="C186">
        <v>264.21511390000001</v>
      </c>
      <c r="D186">
        <v>-5.9170259056822777E-3</v>
      </c>
      <c r="E186">
        <v>0</v>
      </c>
      <c r="F186">
        <v>241.77642925499995</v>
      </c>
      <c r="G186">
        <v>11.190399055421906</v>
      </c>
      <c r="H186">
        <v>264.15722736584377</v>
      </c>
      <c r="I186">
        <v>219.39563114415614</v>
      </c>
    </row>
    <row r="187" spans="1:9" x14ac:dyDescent="0.25">
      <c r="A187" s="1">
        <v>40449</v>
      </c>
      <c r="B187" t="s">
        <v>0</v>
      </c>
      <c r="C187">
        <v>262.60115839999997</v>
      </c>
      <c r="D187">
        <v>6.1084904499856905E-3</v>
      </c>
      <c r="E187">
        <v>1</v>
      </c>
      <c r="F187">
        <v>243.63147929999997</v>
      </c>
      <c r="G187">
        <v>12.045976355893119</v>
      </c>
      <c r="H187">
        <v>267.7234320117862</v>
      </c>
      <c r="I187">
        <v>219.53952658821373</v>
      </c>
    </row>
    <row r="188" spans="1:9" x14ac:dyDescent="0.25">
      <c r="A188" s="1">
        <v>40450</v>
      </c>
      <c r="B188" t="s">
        <v>0</v>
      </c>
      <c r="C188">
        <v>262.86019199999998</v>
      </c>
      <c r="D188">
        <v>-9.8641453669996194E-4</v>
      </c>
      <c r="E188">
        <v>0</v>
      </c>
      <c r="F188">
        <v>245.56598198500001</v>
      </c>
      <c r="G188">
        <v>12.26389178654555</v>
      </c>
      <c r="H188">
        <v>270.09376555809109</v>
      </c>
      <c r="I188">
        <v>221.03819841190892</v>
      </c>
    </row>
    <row r="189" spans="1:9" x14ac:dyDescent="0.25">
      <c r="A189" s="1">
        <v>40451</v>
      </c>
      <c r="B189" t="s">
        <v>0</v>
      </c>
      <c r="C189">
        <v>261.9137485</v>
      </c>
      <c r="D189">
        <v>3.6005585052604188E-3</v>
      </c>
      <c r="E189">
        <v>1</v>
      </c>
      <c r="F189">
        <v>247.19637417500007</v>
      </c>
      <c r="G189">
        <v>12.046850173294727</v>
      </c>
      <c r="H189">
        <v>271.29007452158953</v>
      </c>
      <c r="I189">
        <v>223.10267382841062</v>
      </c>
    </row>
    <row r="190" spans="1:9" x14ac:dyDescent="0.25">
      <c r="A190" s="1">
        <v>40452</v>
      </c>
      <c r="B190" t="s">
        <v>0</v>
      </c>
      <c r="C190">
        <v>261.8290624</v>
      </c>
      <c r="D190">
        <v>3.233358328266566E-4</v>
      </c>
      <c r="E190">
        <v>1</v>
      </c>
      <c r="F190">
        <v>248.75154805000003</v>
      </c>
      <c r="G190">
        <v>11.931964437116241</v>
      </c>
      <c r="H190">
        <v>272.6154769242325</v>
      </c>
      <c r="I190">
        <v>224.88761917576755</v>
      </c>
    </row>
    <row r="191" spans="1:9" x14ac:dyDescent="0.25">
      <c r="A191" s="1">
        <v>40455</v>
      </c>
      <c r="B191" t="s">
        <v>0</v>
      </c>
      <c r="C191">
        <v>260.20015289999998</v>
      </c>
      <c r="D191">
        <v>6.2212707980885329E-3</v>
      </c>
      <c r="E191">
        <v>1</v>
      </c>
      <c r="F191">
        <v>250.04794080000005</v>
      </c>
      <c r="G191">
        <v>11.677187640666061</v>
      </c>
      <c r="H191">
        <v>273.40231608133217</v>
      </c>
      <c r="I191">
        <v>226.69356551866792</v>
      </c>
    </row>
    <row r="192" spans="1:9" x14ac:dyDescent="0.25">
      <c r="A192" s="1">
        <v>40456</v>
      </c>
      <c r="B192" t="s">
        <v>0</v>
      </c>
      <c r="C192">
        <v>268.11050599999999</v>
      </c>
      <c r="D192">
        <v>-3.0401031712844969E-2</v>
      </c>
      <c r="E192">
        <v>0</v>
      </c>
      <c r="F192">
        <v>251.88680122500006</v>
      </c>
      <c r="G192">
        <v>11.508603040278555</v>
      </c>
      <c r="H192">
        <v>274.90400730555717</v>
      </c>
      <c r="I192">
        <v>228.86959514444294</v>
      </c>
    </row>
    <row r="193" spans="1:9" x14ac:dyDescent="0.25">
      <c r="A193" s="1">
        <v>40457</v>
      </c>
      <c r="B193" t="s">
        <v>0</v>
      </c>
      <c r="C193">
        <v>266.1777634</v>
      </c>
      <c r="D193">
        <v>7.2087536920316855E-3</v>
      </c>
      <c r="E193">
        <v>1</v>
      </c>
      <c r="F193">
        <v>253.4751012100001</v>
      </c>
      <c r="G193">
        <v>11.269815652604896</v>
      </c>
      <c r="H193">
        <v>276.01473251520991</v>
      </c>
      <c r="I193">
        <v>230.93546990479032</v>
      </c>
    </row>
    <row r="194" spans="1:9" x14ac:dyDescent="0.25">
      <c r="A194" s="1">
        <v>40458</v>
      </c>
      <c r="B194" t="s">
        <v>0</v>
      </c>
      <c r="C194">
        <v>264.01586420000001</v>
      </c>
      <c r="D194">
        <v>8.1220127947021197E-3</v>
      </c>
      <c r="E194">
        <v>1</v>
      </c>
      <c r="F194">
        <v>254.81582846000009</v>
      </c>
      <c r="G194">
        <v>10.89511972799037</v>
      </c>
      <c r="H194">
        <v>276.60606791598082</v>
      </c>
      <c r="I194">
        <v>233.02558900401937</v>
      </c>
    </row>
    <row r="195" spans="1:9" x14ac:dyDescent="0.25">
      <c r="A195" s="1">
        <v>40459</v>
      </c>
      <c r="B195" t="s">
        <v>0</v>
      </c>
      <c r="C195">
        <v>267.17401169999999</v>
      </c>
      <c r="D195">
        <v>-1.1961961110062659E-2</v>
      </c>
      <c r="E195">
        <v>0</v>
      </c>
      <c r="F195">
        <v>256.31545947500001</v>
      </c>
      <c r="G195">
        <v>10.47239290352149</v>
      </c>
      <c r="H195">
        <v>277.260245282043</v>
      </c>
      <c r="I195">
        <v>235.37067366795702</v>
      </c>
    </row>
    <row r="196" spans="1:9" x14ac:dyDescent="0.25">
      <c r="A196" s="1">
        <v>40462</v>
      </c>
      <c r="B196" t="s">
        <v>0</v>
      </c>
      <c r="C196">
        <v>268.41437000000002</v>
      </c>
      <c r="D196">
        <v>-4.6425110440486209E-3</v>
      </c>
      <c r="E196">
        <v>0</v>
      </c>
      <c r="F196">
        <v>257.72443023</v>
      </c>
      <c r="G196">
        <v>9.9622282387219165</v>
      </c>
      <c r="H196">
        <v>277.64888670744381</v>
      </c>
      <c r="I196">
        <v>237.79997375255616</v>
      </c>
    </row>
    <row r="197" spans="1:9" x14ac:dyDescent="0.25">
      <c r="A197" s="1">
        <v>40463</v>
      </c>
      <c r="B197" t="s">
        <v>0</v>
      </c>
      <c r="C197">
        <v>269.68460540000001</v>
      </c>
      <c r="D197">
        <v>-4.7323673468003596E-3</v>
      </c>
      <c r="E197">
        <v>0</v>
      </c>
      <c r="F197">
        <v>259.24274107999997</v>
      </c>
      <c r="G197">
        <v>9.5901466394416239</v>
      </c>
      <c r="H197">
        <v>278.42303435888323</v>
      </c>
      <c r="I197">
        <v>240.06244780111672</v>
      </c>
    </row>
    <row r="198" spans="1:9" x14ac:dyDescent="0.25">
      <c r="A198" s="1">
        <v>40464</v>
      </c>
      <c r="B198" t="s">
        <v>0</v>
      </c>
      <c r="C198">
        <v>270.63605360000003</v>
      </c>
      <c r="D198">
        <v>-3.5280033822798836E-3</v>
      </c>
      <c r="E198">
        <v>0</v>
      </c>
      <c r="F198">
        <v>260.80339361999995</v>
      </c>
      <c r="G198">
        <v>8.9447852939360804</v>
      </c>
      <c r="H198">
        <v>278.69296420787214</v>
      </c>
      <c r="I198">
        <v>242.91382303212779</v>
      </c>
    </row>
    <row r="199" spans="1:9" x14ac:dyDescent="0.25">
      <c r="A199" s="1">
        <v>40465</v>
      </c>
      <c r="B199" t="s">
        <v>0</v>
      </c>
      <c r="C199">
        <v>269.45547920000001</v>
      </c>
      <c r="D199">
        <v>4.3622214568089304E-3</v>
      </c>
      <c r="E199">
        <v>1</v>
      </c>
      <c r="F199">
        <v>262.29455677499993</v>
      </c>
      <c r="G199">
        <v>8.0131614262263788</v>
      </c>
      <c r="H199">
        <v>278.32087962745271</v>
      </c>
      <c r="I199">
        <v>246.26823392254718</v>
      </c>
    </row>
    <row r="200" spans="1:9" x14ac:dyDescent="0.25">
      <c r="A200" s="1">
        <v>40466</v>
      </c>
      <c r="B200" t="s">
        <v>0</v>
      </c>
      <c r="C200">
        <v>299.60253410000001</v>
      </c>
      <c r="D200">
        <v>-0.11188139498779211</v>
      </c>
      <c r="E200">
        <v>0</v>
      </c>
      <c r="F200">
        <v>265.06667075999997</v>
      </c>
      <c r="G200">
        <v>6.9842843759364772</v>
      </c>
      <c r="H200">
        <v>279.03523951187293</v>
      </c>
      <c r="I200">
        <v>251.098102008127</v>
      </c>
    </row>
    <row r="201" spans="1:9" x14ac:dyDescent="0.25">
      <c r="A201" s="1">
        <v>40469</v>
      </c>
      <c r="B201" t="s">
        <v>0</v>
      </c>
      <c r="C201">
        <v>307.70218770000002</v>
      </c>
      <c r="D201">
        <v>-2.7034663189118902E-2</v>
      </c>
      <c r="E201">
        <v>0</v>
      </c>
      <c r="F201">
        <v>267.79220950000001</v>
      </c>
      <c r="G201">
        <v>9.6949043444618646</v>
      </c>
      <c r="H201">
        <v>287.18201818892373</v>
      </c>
      <c r="I201">
        <v>248.40240081107629</v>
      </c>
    </row>
    <row r="202" spans="1:9" x14ac:dyDescent="0.25">
      <c r="A202" s="1">
        <v>40470</v>
      </c>
      <c r="B202" t="s">
        <v>0</v>
      </c>
      <c r="C202">
        <v>302.78063980000002</v>
      </c>
      <c r="D202">
        <v>1.5994517090656378E-2</v>
      </c>
      <c r="E202">
        <v>1</v>
      </c>
      <c r="F202">
        <v>270.142654505</v>
      </c>
      <c r="G202">
        <v>12.980636228563302</v>
      </c>
      <c r="H202">
        <v>296.10392696212659</v>
      </c>
      <c r="I202">
        <v>244.1813820478734</v>
      </c>
    </row>
    <row r="203" spans="1:9" x14ac:dyDescent="0.25">
      <c r="A203" s="1">
        <v>40471</v>
      </c>
      <c r="B203" t="s">
        <v>0</v>
      </c>
      <c r="C203">
        <v>302.85534730000001</v>
      </c>
      <c r="D203">
        <v>-2.4673803466871515E-4</v>
      </c>
      <c r="E203">
        <v>0</v>
      </c>
      <c r="F203">
        <v>272.43357183499995</v>
      </c>
      <c r="G203">
        <v>14.720087081956672</v>
      </c>
      <c r="H203">
        <v>301.87374599891331</v>
      </c>
      <c r="I203">
        <v>242.9933976710866</v>
      </c>
    </row>
    <row r="204" spans="1:9" x14ac:dyDescent="0.25">
      <c r="A204" s="1">
        <v>40472</v>
      </c>
      <c r="B204" t="s">
        <v>0</v>
      </c>
      <c r="C204">
        <v>304.85284819999998</v>
      </c>
      <c r="D204">
        <v>-6.5955609428989511E-3</v>
      </c>
      <c r="E204">
        <v>0</v>
      </c>
      <c r="F204">
        <v>274.88712905</v>
      </c>
      <c r="G204">
        <v>16.03503687847504</v>
      </c>
      <c r="H204">
        <v>306.95720280695008</v>
      </c>
      <c r="I204">
        <v>242.81705529304992</v>
      </c>
    </row>
    <row r="205" spans="1:9" x14ac:dyDescent="0.25">
      <c r="A205" s="1">
        <v>40473</v>
      </c>
      <c r="B205" t="s">
        <v>0</v>
      </c>
      <c r="C205">
        <v>305.1218609</v>
      </c>
      <c r="D205">
        <v>-8.8243459619420043E-4</v>
      </c>
      <c r="E205">
        <v>0</v>
      </c>
      <c r="F205">
        <v>277.01017497999999</v>
      </c>
      <c r="G205">
        <v>16.978695015096573</v>
      </c>
      <c r="H205">
        <v>310.96756501019314</v>
      </c>
      <c r="I205">
        <v>243.05278494980683</v>
      </c>
    </row>
    <row r="206" spans="1:9" x14ac:dyDescent="0.25">
      <c r="A206" s="1">
        <v>40476</v>
      </c>
      <c r="B206" t="s">
        <v>0</v>
      </c>
      <c r="C206">
        <v>307.09943390000001</v>
      </c>
      <c r="D206">
        <v>-6.4812563549752743E-3</v>
      </c>
      <c r="E206">
        <v>0</v>
      </c>
      <c r="F206">
        <v>279.15439098000002</v>
      </c>
      <c r="G206">
        <v>17.946923608471693</v>
      </c>
      <c r="H206">
        <v>315.04823819694343</v>
      </c>
      <c r="I206">
        <v>243.26054376305663</v>
      </c>
    </row>
    <row r="207" spans="1:9" x14ac:dyDescent="0.25">
      <c r="A207" s="1">
        <v>40477</v>
      </c>
      <c r="B207" t="s">
        <v>0</v>
      </c>
      <c r="C207">
        <v>308.14551749999998</v>
      </c>
      <c r="D207">
        <v>-3.406335162247834E-3</v>
      </c>
      <c r="E207">
        <v>0</v>
      </c>
      <c r="F207">
        <v>281.43160893500004</v>
      </c>
      <c r="G207">
        <v>18.845820752338561</v>
      </c>
      <c r="H207">
        <v>319.12325043967718</v>
      </c>
      <c r="I207">
        <v>243.73996743032291</v>
      </c>
    </row>
    <row r="208" spans="1:9" x14ac:dyDescent="0.25">
      <c r="A208" s="1">
        <v>40478</v>
      </c>
      <c r="B208" t="s">
        <v>0</v>
      </c>
      <c r="C208">
        <v>307.0845109</v>
      </c>
      <c r="D208">
        <v>3.4431998511871417E-3</v>
      </c>
      <c r="E208">
        <v>1</v>
      </c>
      <c r="F208">
        <v>283.64282487999998</v>
      </c>
      <c r="G208">
        <v>19.442396661885628</v>
      </c>
      <c r="H208">
        <v>322.52761820377123</v>
      </c>
      <c r="I208">
        <v>244.75803155622873</v>
      </c>
    </row>
    <row r="209" spans="1:9" x14ac:dyDescent="0.25">
      <c r="A209" s="1">
        <v>40479</v>
      </c>
      <c r="B209" t="s">
        <v>0</v>
      </c>
      <c r="C209">
        <v>308.13556870000002</v>
      </c>
      <c r="D209">
        <v>-3.4226988424769286E-3</v>
      </c>
      <c r="E209">
        <v>0</v>
      </c>
      <c r="F209">
        <v>285.95391589000002</v>
      </c>
      <c r="G209">
        <v>19.728853750696583</v>
      </c>
      <c r="H209">
        <v>325.41162339139316</v>
      </c>
      <c r="I209">
        <v>246.49620838860685</v>
      </c>
    </row>
    <row r="210" spans="1:9" x14ac:dyDescent="0.25">
      <c r="A210" s="1">
        <v>40480</v>
      </c>
      <c r="B210" t="s">
        <v>0</v>
      </c>
      <c r="C210">
        <v>305.70465639999998</v>
      </c>
      <c r="D210">
        <v>7.8890999512191175E-3</v>
      </c>
      <c r="E210">
        <v>1</v>
      </c>
      <c r="F210">
        <v>288.14769559000001</v>
      </c>
      <c r="G210">
        <v>19.741964019588195</v>
      </c>
      <c r="H210">
        <v>327.63162362917637</v>
      </c>
      <c r="I210">
        <v>248.66376755082362</v>
      </c>
    </row>
    <row r="211" spans="1:9" x14ac:dyDescent="0.25">
      <c r="A211" s="1">
        <v>40483</v>
      </c>
      <c r="B211" t="s">
        <v>0</v>
      </c>
      <c r="C211">
        <v>306.35224060000002</v>
      </c>
      <c r="D211">
        <v>-2.118332797498206E-3</v>
      </c>
      <c r="E211">
        <v>0</v>
      </c>
      <c r="F211">
        <v>290.455299975</v>
      </c>
      <c r="G211">
        <v>19.386825483897336</v>
      </c>
      <c r="H211">
        <v>329.22895094279465</v>
      </c>
      <c r="I211">
        <v>251.68164900720532</v>
      </c>
    </row>
    <row r="212" spans="1:9" x14ac:dyDescent="0.25">
      <c r="A212" s="1">
        <v>40484</v>
      </c>
      <c r="B212" t="s">
        <v>0</v>
      </c>
      <c r="C212">
        <v>306.65113029999998</v>
      </c>
      <c r="D212">
        <v>-9.7564065278117975E-4</v>
      </c>
      <c r="E212">
        <v>0</v>
      </c>
      <c r="F212">
        <v>292.38233119</v>
      </c>
      <c r="G212">
        <v>18.612613773511779</v>
      </c>
      <c r="H212">
        <v>329.60755873702357</v>
      </c>
      <c r="I212">
        <v>255.15710364297644</v>
      </c>
    </row>
    <row r="213" spans="1:9" x14ac:dyDescent="0.25">
      <c r="A213" s="1">
        <v>40485</v>
      </c>
      <c r="B213" t="s">
        <v>0</v>
      </c>
      <c r="C213">
        <v>308.93256689999998</v>
      </c>
      <c r="D213">
        <v>-7.43984409177965E-3</v>
      </c>
      <c r="E213">
        <v>0</v>
      </c>
      <c r="F213">
        <v>294.52007136500004</v>
      </c>
      <c r="G213">
        <v>18.213269367060661</v>
      </c>
      <c r="H213">
        <v>330.94661009912136</v>
      </c>
      <c r="I213">
        <v>258.09353263087871</v>
      </c>
    </row>
    <row r="214" spans="1:9" x14ac:dyDescent="0.25">
      <c r="A214" s="1">
        <v>40486</v>
      </c>
      <c r="B214" t="s">
        <v>0</v>
      </c>
      <c r="C214">
        <v>310.96995479999998</v>
      </c>
      <c r="D214">
        <v>-6.5949275611965237E-3</v>
      </c>
      <c r="E214">
        <v>0</v>
      </c>
      <c r="F214">
        <v>296.86777589500008</v>
      </c>
      <c r="G214">
        <v>17.534439766798013</v>
      </c>
      <c r="H214">
        <v>331.93665542859611</v>
      </c>
      <c r="I214">
        <v>261.79889636140405</v>
      </c>
    </row>
    <row r="215" spans="1:9" x14ac:dyDescent="0.25">
      <c r="A215" s="1">
        <v>40487</v>
      </c>
      <c r="B215" t="s">
        <v>0</v>
      </c>
      <c r="C215">
        <v>311.37342799999999</v>
      </c>
      <c r="D215">
        <v>-1.297466825242011E-3</v>
      </c>
      <c r="E215">
        <v>0</v>
      </c>
      <c r="F215">
        <v>299.07774671000004</v>
      </c>
      <c r="G215">
        <v>16.380528573011514</v>
      </c>
      <c r="H215">
        <v>331.83880385602305</v>
      </c>
      <c r="I215">
        <v>266.31668956397704</v>
      </c>
    </row>
    <row r="216" spans="1:9" x14ac:dyDescent="0.25">
      <c r="A216" s="1">
        <v>40490</v>
      </c>
      <c r="B216" t="s">
        <v>0</v>
      </c>
      <c r="C216">
        <v>312.21528749999999</v>
      </c>
      <c r="D216">
        <v>-2.7036973109985422E-3</v>
      </c>
      <c r="E216">
        <v>0</v>
      </c>
      <c r="F216">
        <v>301.26779258500005</v>
      </c>
      <c r="G216">
        <v>15.158653990565883</v>
      </c>
      <c r="H216">
        <v>331.58510056613181</v>
      </c>
      <c r="I216">
        <v>270.95048460386829</v>
      </c>
    </row>
    <row r="217" spans="1:9" x14ac:dyDescent="0.25">
      <c r="A217" s="1">
        <v>40491</v>
      </c>
      <c r="B217" t="s">
        <v>0</v>
      </c>
      <c r="C217">
        <v>311.2439114</v>
      </c>
      <c r="D217">
        <v>3.1112381068143127E-3</v>
      </c>
      <c r="E217">
        <v>1</v>
      </c>
      <c r="F217">
        <v>303.34575788500007</v>
      </c>
      <c r="G217">
        <v>13.642864217676994</v>
      </c>
      <c r="H217">
        <v>330.63148632035404</v>
      </c>
      <c r="I217">
        <v>276.06002944964609</v>
      </c>
    </row>
    <row r="218" spans="1:9" x14ac:dyDescent="0.25">
      <c r="A218" s="1">
        <v>40492</v>
      </c>
      <c r="B218" t="s">
        <v>0</v>
      </c>
      <c r="C218">
        <v>310.27754010000001</v>
      </c>
      <c r="D218">
        <v>3.1048681262652697E-3</v>
      </c>
      <c r="E218">
        <v>1</v>
      </c>
      <c r="F218">
        <v>305.32783221000005</v>
      </c>
      <c r="G218">
        <v>11.684252000372114</v>
      </c>
      <c r="H218">
        <v>328.69633621074428</v>
      </c>
      <c r="I218">
        <v>281.95932820925583</v>
      </c>
    </row>
    <row r="219" spans="1:9" x14ac:dyDescent="0.25">
      <c r="A219" s="1">
        <v>40493</v>
      </c>
      <c r="B219" t="s">
        <v>0</v>
      </c>
      <c r="C219">
        <v>307.44315410000002</v>
      </c>
      <c r="D219">
        <v>9.13500216318105E-3</v>
      </c>
      <c r="E219">
        <v>1</v>
      </c>
      <c r="F219">
        <v>307.22721595500008</v>
      </c>
      <c r="G219">
        <v>9.0099061411606218</v>
      </c>
      <c r="H219">
        <v>325.24702823732133</v>
      </c>
      <c r="I219">
        <v>289.20740367267882</v>
      </c>
    </row>
    <row r="220" spans="1:9" x14ac:dyDescent="0.25">
      <c r="A220" s="1">
        <v>40494</v>
      </c>
      <c r="B220" t="s">
        <v>0</v>
      </c>
      <c r="C220">
        <v>300.5191006</v>
      </c>
      <c r="D220">
        <v>2.2521410568627828E-2</v>
      </c>
      <c r="E220">
        <v>1</v>
      </c>
      <c r="F220">
        <v>307.27304428000002</v>
      </c>
      <c r="G220">
        <v>3.1380942461258781</v>
      </c>
      <c r="H220">
        <v>313.5492327722518</v>
      </c>
      <c r="I220">
        <v>300.99685578774825</v>
      </c>
    </row>
    <row r="221" spans="1:9" x14ac:dyDescent="0.25">
      <c r="A221" s="1">
        <v>40497</v>
      </c>
      <c r="B221" t="s">
        <v>0</v>
      </c>
      <c r="C221">
        <v>296.62367760000001</v>
      </c>
      <c r="D221">
        <v>1.2962314183100527E-2</v>
      </c>
      <c r="E221">
        <v>1</v>
      </c>
      <c r="F221">
        <v>306.71911877500003</v>
      </c>
      <c r="G221">
        <v>3.0811394650703892</v>
      </c>
      <c r="H221">
        <v>312.88139770514078</v>
      </c>
      <c r="I221">
        <v>300.55683984485927</v>
      </c>
    </row>
    <row r="222" spans="1:9" x14ac:dyDescent="0.25">
      <c r="A222" s="1">
        <v>40498</v>
      </c>
      <c r="B222" t="s">
        <v>0</v>
      </c>
      <c r="C222">
        <v>290.77060990000001</v>
      </c>
      <c r="D222">
        <v>1.9732301033273943E-2</v>
      </c>
      <c r="E222">
        <v>1</v>
      </c>
      <c r="F222">
        <v>306.11861728000002</v>
      </c>
      <c r="G222">
        <v>3.8602587800613453</v>
      </c>
      <c r="H222">
        <v>313.83913484012271</v>
      </c>
      <c r="I222">
        <v>298.39809971987734</v>
      </c>
    </row>
    <row r="223" spans="1:9" x14ac:dyDescent="0.25">
      <c r="A223" s="1">
        <v>40499</v>
      </c>
      <c r="B223" t="s">
        <v>0</v>
      </c>
      <c r="C223">
        <v>290.68592330000001</v>
      </c>
      <c r="D223">
        <v>2.9124883023467401E-4</v>
      </c>
      <c r="E223">
        <v>1</v>
      </c>
      <c r="F223">
        <v>305.51014608000003</v>
      </c>
      <c r="G223">
        <v>5.1471153954664253</v>
      </c>
      <c r="H223">
        <v>315.80437687093286</v>
      </c>
      <c r="I223">
        <v>295.2159152890672</v>
      </c>
    </row>
    <row r="224" spans="1:9" x14ac:dyDescent="0.25">
      <c r="A224" s="1">
        <v>40500</v>
      </c>
      <c r="B224" t="s">
        <v>0</v>
      </c>
      <c r="C224">
        <v>297.16664750000001</v>
      </c>
      <c r="D224">
        <v>-2.2294592481217672E-2</v>
      </c>
      <c r="E224">
        <v>0</v>
      </c>
      <c r="F224">
        <v>305.12583604500003</v>
      </c>
      <c r="G224">
        <v>6.1054051725244456</v>
      </c>
      <c r="H224">
        <v>317.33664639004894</v>
      </c>
      <c r="I224">
        <v>292.91502569995112</v>
      </c>
    </row>
    <row r="225" spans="1:9" x14ac:dyDescent="0.25">
      <c r="A225" s="1">
        <v>40501</v>
      </c>
      <c r="B225" t="s">
        <v>0</v>
      </c>
      <c r="C225">
        <v>294.312364</v>
      </c>
      <c r="D225">
        <v>9.6049927675682656E-3</v>
      </c>
      <c r="E225">
        <v>1</v>
      </c>
      <c r="F225">
        <v>304.58536119999997</v>
      </c>
      <c r="G225">
        <v>6.3821464551773772</v>
      </c>
      <c r="H225">
        <v>317.34965411035472</v>
      </c>
      <c r="I225">
        <v>291.82106828964521</v>
      </c>
    </row>
    <row r="226" spans="1:9" x14ac:dyDescent="0.25">
      <c r="A226" s="1">
        <v>40504</v>
      </c>
      <c r="B226" t="s">
        <v>0</v>
      </c>
      <c r="C226">
        <v>294.5066084</v>
      </c>
      <c r="D226">
        <v>-6.5999401914355969E-4</v>
      </c>
      <c r="E226">
        <v>0</v>
      </c>
      <c r="F226">
        <v>303.95571992500004</v>
      </c>
      <c r="G226">
        <v>6.8110625813944834</v>
      </c>
      <c r="H226">
        <v>317.577845087789</v>
      </c>
      <c r="I226">
        <v>290.33359476221108</v>
      </c>
    </row>
    <row r="227" spans="1:9" x14ac:dyDescent="0.25">
      <c r="A227" s="1">
        <v>40505</v>
      </c>
      <c r="B227" t="s">
        <v>0</v>
      </c>
      <c r="C227">
        <v>290.41694100000001</v>
      </c>
      <c r="D227">
        <v>1.3886504694133703E-2</v>
      </c>
      <c r="E227">
        <v>1</v>
      </c>
      <c r="F227">
        <v>303.06929109999999</v>
      </c>
      <c r="G227">
        <v>7.1516758946576218</v>
      </c>
      <c r="H227">
        <v>317.37264288931522</v>
      </c>
      <c r="I227">
        <v>288.76593931068476</v>
      </c>
    </row>
    <row r="228" spans="1:9" x14ac:dyDescent="0.25">
      <c r="A228" s="1">
        <v>40506</v>
      </c>
      <c r="B228" t="s">
        <v>0</v>
      </c>
      <c r="C228">
        <v>296.37462319999997</v>
      </c>
      <c r="D228">
        <v>-2.0514237838487409E-2</v>
      </c>
      <c r="E228">
        <v>0</v>
      </c>
      <c r="F228">
        <v>302.53379671499999</v>
      </c>
      <c r="G228">
        <v>7.6255437031099014</v>
      </c>
      <c r="H228">
        <v>317.78488412121982</v>
      </c>
      <c r="I228">
        <v>287.28270930878017</v>
      </c>
    </row>
    <row r="229" spans="1:9" x14ac:dyDescent="0.25">
      <c r="A229" s="1">
        <v>40508</v>
      </c>
      <c r="B229" t="s">
        <v>0</v>
      </c>
      <c r="C229">
        <v>293.89891069999999</v>
      </c>
      <c r="D229">
        <v>8.3533214594061992E-3</v>
      </c>
      <c r="E229">
        <v>1</v>
      </c>
      <c r="F229">
        <v>301.821963815</v>
      </c>
      <c r="G229">
        <v>7.7147225345619095</v>
      </c>
      <c r="H229">
        <v>317.2514088841238</v>
      </c>
      <c r="I229">
        <v>286.3925187458762</v>
      </c>
    </row>
    <row r="230" spans="1:9" x14ac:dyDescent="0.25">
      <c r="A230" s="1">
        <v>40511</v>
      </c>
      <c r="B230" t="s">
        <v>0</v>
      </c>
      <c r="C230">
        <v>289.96863689999998</v>
      </c>
      <c r="D230">
        <v>1.33728763765711E-2</v>
      </c>
      <c r="E230">
        <v>1</v>
      </c>
      <c r="F230">
        <v>301.03516284</v>
      </c>
      <c r="G230">
        <v>7.8282602001018757</v>
      </c>
      <c r="H230">
        <v>316.69168324020376</v>
      </c>
      <c r="I230">
        <v>285.37864243979624</v>
      </c>
    </row>
    <row r="231" spans="1:9" x14ac:dyDescent="0.25">
      <c r="A231" s="1">
        <v>40512</v>
      </c>
      <c r="B231" t="s">
        <v>0</v>
      </c>
      <c r="C231">
        <v>276.8178881</v>
      </c>
      <c r="D231">
        <v>4.5352314445424681E-2</v>
      </c>
      <c r="E231">
        <v>1</v>
      </c>
      <c r="F231">
        <v>299.55844521500001</v>
      </c>
      <c r="G231">
        <v>8.2762034785386511</v>
      </c>
      <c r="H231">
        <v>316.11085217207733</v>
      </c>
      <c r="I231">
        <v>283.00603825792268</v>
      </c>
    </row>
    <row r="232" spans="1:9" x14ac:dyDescent="0.25">
      <c r="A232" s="1">
        <v>40513</v>
      </c>
      <c r="B232" t="s">
        <v>0</v>
      </c>
      <c r="C232">
        <v>281.12175910000002</v>
      </c>
      <c r="D232">
        <v>-1.5547662145465284E-2</v>
      </c>
      <c r="E232">
        <v>0</v>
      </c>
      <c r="F232">
        <v>298.28197665499999</v>
      </c>
      <c r="G232">
        <v>9.6785215870612316</v>
      </c>
      <c r="H232">
        <v>317.63901982912245</v>
      </c>
      <c r="I232">
        <v>278.92493348087754</v>
      </c>
    </row>
    <row r="233" spans="1:9" x14ac:dyDescent="0.25">
      <c r="A233" s="1">
        <v>40514</v>
      </c>
      <c r="B233" t="s">
        <v>0</v>
      </c>
      <c r="C233">
        <v>284.8428346</v>
      </c>
      <c r="D233">
        <v>-1.3236526094290449E-2</v>
      </c>
      <c r="E233">
        <v>0</v>
      </c>
      <c r="F233">
        <v>297.07749004000004</v>
      </c>
      <c r="G233">
        <v>10.312423808542293</v>
      </c>
      <c r="H233">
        <v>317.70233765708463</v>
      </c>
      <c r="I233">
        <v>276.45264242291546</v>
      </c>
    </row>
    <row r="234" spans="1:9" x14ac:dyDescent="0.25">
      <c r="A234" s="1">
        <v>40515</v>
      </c>
      <c r="B234" t="s">
        <v>0</v>
      </c>
      <c r="C234">
        <v>285.43063489999997</v>
      </c>
      <c r="D234">
        <v>-2.0635951781107905E-3</v>
      </c>
      <c r="E234">
        <v>0</v>
      </c>
      <c r="F234">
        <v>295.80052404500003</v>
      </c>
      <c r="G234">
        <v>10.413161108824115</v>
      </c>
      <c r="H234">
        <v>316.62684626264826</v>
      </c>
      <c r="I234">
        <v>274.97420182735181</v>
      </c>
    </row>
    <row r="235" spans="1:9" x14ac:dyDescent="0.25">
      <c r="A235" s="1">
        <v>40518</v>
      </c>
      <c r="B235" t="s">
        <v>0</v>
      </c>
      <c r="C235">
        <v>288.10062210000001</v>
      </c>
      <c r="D235">
        <v>-9.354241884146252E-3</v>
      </c>
      <c r="E235">
        <v>0</v>
      </c>
      <c r="F235">
        <v>294.63688375000004</v>
      </c>
      <c r="G235">
        <v>10.181312861655771</v>
      </c>
      <c r="H235">
        <v>314.9995094733116</v>
      </c>
      <c r="I235">
        <v>274.27425802668847</v>
      </c>
    </row>
    <row r="236" spans="1:9" x14ac:dyDescent="0.25">
      <c r="A236" s="1">
        <v>40519</v>
      </c>
      <c r="B236" t="s">
        <v>0</v>
      </c>
      <c r="C236">
        <v>292.4742258</v>
      </c>
      <c r="D236">
        <v>-1.5180820048635326E-2</v>
      </c>
      <c r="E236">
        <v>0</v>
      </c>
      <c r="F236">
        <v>293.64983066499997</v>
      </c>
      <c r="G236">
        <v>9.6314041305397442</v>
      </c>
      <c r="H236">
        <v>312.91263892607947</v>
      </c>
      <c r="I236">
        <v>274.38702240392047</v>
      </c>
    </row>
    <row r="237" spans="1:9" x14ac:dyDescent="0.25">
      <c r="A237" s="1">
        <v>40520</v>
      </c>
      <c r="B237" t="s">
        <v>0</v>
      </c>
      <c r="C237">
        <v>294.16789349999999</v>
      </c>
      <c r="D237">
        <v>-5.7908271929512081E-3</v>
      </c>
      <c r="E237">
        <v>0</v>
      </c>
      <c r="F237">
        <v>292.79602977000002</v>
      </c>
      <c r="G237">
        <v>8.7366019973098776</v>
      </c>
      <c r="H237">
        <v>310.2692337646198</v>
      </c>
      <c r="I237">
        <v>275.32282577538024</v>
      </c>
    </row>
    <row r="238" spans="1:9" x14ac:dyDescent="0.25">
      <c r="A238" s="1">
        <v>40521</v>
      </c>
      <c r="B238" t="s">
        <v>0</v>
      </c>
      <c r="C238">
        <v>294.6461046</v>
      </c>
      <c r="D238">
        <v>-1.6256400190730197E-3</v>
      </c>
      <c r="E238">
        <v>0</v>
      </c>
      <c r="F238">
        <v>292.01445799499993</v>
      </c>
      <c r="G238">
        <v>7.7470608989368106</v>
      </c>
      <c r="H238">
        <v>307.50857979287355</v>
      </c>
      <c r="I238">
        <v>276.52033619712631</v>
      </c>
    </row>
    <row r="239" spans="1:9" x14ac:dyDescent="0.25">
      <c r="A239" s="1">
        <v>40522</v>
      </c>
      <c r="B239" t="s">
        <v>0</v>
      </c>
      <c r="C239">
        <v>294.99977339999998</v>
      </c>
      <c r="D239">
        <v>-1.2003172432233809E-3</v>
      </c>
      <c r="E239">
        <v>0</v>
      </c>
      <c r="F239">
        <v>291.39228896000003</v>
      </c>
      <c r="G239">
        <v>6.6387737326956797</v>
      </c>
      <c r="H239">
        <v>304.6698364253914</v>
      </c>
      <c r="I239">
        <v>278.11474149460867</v>
      </c>
    </row>
    <row r="240" spans="1:9" x14ac:dyDescent="0.25">
      <c r="A240" s="1">
        <v>40525</v>
      </c>
      <c r="B240" t="s">
        <v>0</v>
      </c>
      <c r="C240">
        <v>296.2002761</v>
      </c>
      <c r="D240">
        <v>-4.069503803896873E-3</v>
      </c>
      <c r="E240">
        <v>0</v>
      </c>
      <c r="F240">
        <v>291.17634773499992</v>
      </c>
      <c r="G240">
        <v>5.6470462100733165</v>
      </c>
      <c r="H240">
        <v>302.47044015514655</v>
      </c>
      <c r="I240">
        <v>279.8822553148533</v>
      </c>
    </row>
    <row r="241" spans="1:9" x14ac:dyDescent="0.25">
      <c r="A241" s="1">
        <v>40526</v>
      </c>
      <c r="B241" t="s">
        <v>0</v>
      </c>
      <c r="C241">
        <v>296.34474660000001</v>
      </c>
      <c r="D241">
        <v>-4.8774600045017066E-4</v>
      </c>
      <c r="E241">
        <v>0</v>
      </c>
      <c r="F241">
        <v>291.16240118499996</v>
      </c>
      <c r="G241">
        <v>5.3653486989169279</v>
      </c>
      <c r="H241">
        <v>301.89309858283383</v>
      </c>
      <c r="I241">
        <v>280.4317037871661</v>
      </c>
    </row>
    <row r="242" spans="1:9" x14ac:dyDescent="0.25">
      <c r="A242" s="1">
        <v>40527</v>
      </c>
      <c r="B242" t="s">
        <v>0</v>
      </c>
      <c r="C242">
        <v>294.04835559999998</v>
      </c>
      <c r="D242">
        <v>7.7490525016785574E-3</v>
      </c>
      <c r="E242">
        <v>1</v>
      </c>
      <c r="F242">
        <v>291.32628847000007</v>
      </c>
      <c r="G242">
        <v>5.3540063409675822</v>
      </c>
      <c r="H242">
        <v>302.03430115193521</v>
      </c>
      <c r="I242">
        <v>280.61827578806492</v>
      </c>
    </row>
    <row r="243" spans="1:9" x14ac:dyDescent="0.25">
      <c r="A243" s="1">
        <v>40528</v>
      </c>
      <c r="B243" t="s">
        <v>0</v>
      </c>
      <c r="C243">
        <v>294.75071889999998</v>
      </c>
      <c r="D243">
        <v>-2.3885979520845918E-3</v>
      </c>
      <c r="E243">
        <v>0</v>
      </c>
      <c r="F243">
        <v>291.52952825</v>
      </c>
      <c r="G243">
        <v>5.3908936037218309</v>
      </c>
      <c r="H243">
        <v>302.31131545744364</v>
      </c>
      <c r="I243">
        <v>280.74774104255636</v>
      </c>
    </row>
    <row r="244" spans="1:9" x14ac:dyDescent="0.25">
      <c r="A244" s="1">
        <v>40529</v>
      </c>
      <c r="B244" t="s">
        <v>0</v>
      </c>
      <c r="C244">
        <v>294.29741009999998</v>
      </c>
      <c r="D244">
        <v>1.5379395907556583E-3</v>
      </c>
      <c r="E244">
        <v>1</v>
      </c>
      <c r="F244">
        <v>291.38606637999999</v>
      </c>
      <c r="G244">
        <v>5.437419898204662</v>
      </c>
      <c r="H244">
        <v>302.26090617640932</v>
      </c>
      <c r="I244">
        <v>280.51122658359066</v>
      </c>
    </row>
    <row r="245" spans="1:9" x14ac:dyDescent="0.25">
      <c r="A245" s="1">
        <v>40532</v>
      </c>
      <c r="B245" t="s">
        <v>0</v>
      </c>
      <c r="C245">
        <v>296.4194536</v>
      </c>
      <c r="D245">
        <v>-7.2105408582391669E-3</v>
      </c>
      <c r="E245">
        <v>0</v>
      </c>
      <c r="F245">
        <v>291.49142086000001</v>
      </c>
      <c r="G245">
        <v>5.3225628154491718</v>
      </c>
      <c r="H245">
        <v>302.13654649089835</v>
      </c>
      <c r="I245">
        <v>280.84629522910166</v>
      </c>
    </row>
    <row r="246" spans="1:9" x14ac:dyDescent="0.25">
      <c r="A246" s="1">
        <v>40533</v>
      </c>
      <c r="B246" t="s">
        <v>0</v>
      </c>
      <c r="C246">
        <v>300.40951189999998</v>
      </c>
      <c r="D246">
        <v>-1.3460851680080106E-2</v>
      </c>
      <c r="E246">
        <v>0</v>
      </c>
      <c r="F246">
        <v>291.78656603500002</v>
      </c>
      <c r="G246">
        <v>5.4067712105375731</v>
      </c>
      <c r="H246">
        <v>302.60010845607519</v>
      </c>
      <c r="I246">
        <v>280.97302361392485</v>
      </c>
    </row>
    <row r="247" spans="1:9" x14ac:dyDescent="0.25">
      <c r="A247" s="1">
        <v>40534</v>
      </c>
      <c r="B247" t="s">
        <v>0</v>
      </c>
      <c r="C247">
        <v>301.61498849999998</v>
      </c>
      <c r="D247">
        <v>-4.0127777325548704E-3</v>
      </c>
      <c r="E247">
        <v>0</v>
      </c>
      <c r="F247">
        <v>292.34646841000006</v>
      </c>
      <c r="G247">
        <v>5.735372162187466</v>
      </c>
      <c r="H247">
        <v>303.817212734375</v>
      </c>
      <c r="I247">
        <v>280.87572408562511</v>
      </c>
    </row>
    <row r="248" spans="1:9" x14ac:dyDescent="0.25">
      <c r="A248" s="1">
        <v>40535</v>
      </c>
      <c r="B248" t="s">
        <v>0</v>
      </c>
      <c r="C248">
        <v>300.9873326</v>
      </c>
      <c r="D248">
        <v>2.0809837837352015E-3</v>
      </c>
      <c r="E248">
        <v>1</v>
      </c>
      <c r="F248">
        <v>292.57710388000004</v>
      </c>
      <c r="G248">
        <v>6.0874301630866041</v>
      </c>
      <c r="H248">
        <v>304.75196420617323</v>
      </c>
      <c r="I248">
        <v>280.40224355382685</v>
      </c>
    </row>
    <row r="249" spans="1:9" x14ac:dyDescent="0.25">
      <c r="A249" s="1">
        <v>40539</v>
      </c>
      <c r="B249" t="s">
        <v>0</v>
      </c>
      <c r="C249">
        <v>300.06579169999998</v>
      </c>
      <c r="D249">
        <v>3.0617265252977127E-3</v>
      </c>
      <c r="E249">
        <v>1</v>
      </c>
      <c r="F249">
        <v>292.88544792999994</v>
      </c>
      <c r="G249">
        <v>6.3219792589405062</v>
      </c>
      <c r="H249">
        <v>305.52940644788094</v>
      </c>
      <c r="I249">
        <v>280.24148941211894</v>
      </c>
    </row>
    <row r="250" spans="1:9" x14ac:dyDescent="0.25">
      <c r="A250" s="1">
        <v>40540</v>
      </c>
      <c r="B250" t="s">
        <v>0</v>
      </c>
      <c r="C250">
        <v>298.34224749999998</v>
      </c>
      <c r="D250">
        <v>5.7438876662194091E-3</v>
      </c>
      <c r="E250">
        <v>1</v>
      </c>
      <c r="F250">
        <v>293.30412846000002</v>
      </c>
      <c r="G250">
        <v>6.5321686008656528</v>
      </c>
      <c r="H250">
        <v>306.36846566173131</v>
      </c>
      <c r="I250">
        <v>280.23979125826872</v>
      </c>
    </row>
    <row r="251" spans="1:9" x14ac:dyDescent="0.25">
      <c r="A251" s="1">
        <v>40541</v>
      </c>
      <c r="B251" t="s">
        <v>0</v>
      </c>
      <c r="C251">
        <v>299.3783818</v>
      </c>
      <c r="D251">
        <v>-3.4729720939037129E-3</v>
      </c>
      <c r="E251">
        <v>0</v>
      </c>
      <c r="F251">
        <v>294.43215314499992</v>
      </c>
      <c r="G251">
        <v>6.6824040057320131</v>
      </c>
      <c r="H251">
        <v>307.79696115646396</v>
      </c>
      <c r="I251">
        <v>281.06734513353587</v>
      </c>
    </row>
    <row r="252" spans="1:9" x14ac:dyDescent="0.25">
      <c r="A252" s="1">
        <v>40542</v>
      </c>
      <c r="B252" t="s">
        <v>0</v>
      </c>
      <c r="C252">
        <v>298.31237049999999</v>
      </c>
      <c r="D252">
        <v>3.560749088129428E-3</v>
      </c>
      <c r="E252">
        <v>1</v>
      </c>
      <c r="F252">
        <v>295.29168371499998</v>
      </c>
      <c r="G252">
        <v>5.5770474570501607</v>
      </c>
      <c r="H252">
        <v>306.44577862910029</v>
      </c>
      <c r="I252">
        <v>284.13758880089966</v>
      </c>
    </row>
    <row r="253" spans="1:9" x14ac:dyDescent="0.25">
      <c r="A253" s="1">
        <v>40543</v>
      </c>
      <c r="B253" t="s">
        <v>0</v>
      </c>
      <c r="C253">
        <v>295.87648380000002</v>
      </c>
      <c r="D253">
        <v>8.1655571169146988E-3</v>
      </c>
      <c r="E253">
        <v>1</v>
      </c>
      <c r="F253">
        <v>295.84336617499991</v>
      </c>
      <c r="G253">
        <v>4.6716914632471012</v>
      </c>
      <c r="H253">
        <v>305.18674910149412</v>
      </c>
      <c r="I253">
        <v>286.49998324850571</v>
      </c>
    </row>
    <row r="254" spans="1:9" x14ac:dyDescent="0.25">
      <c r="A254" s="1">
        <v>40546</v>
      </c>
      <c r="B254" t="s">
        <v>0</v>
      </c>
      <c r="C254">
        <v>301.04711650000002</v>
      </c>
      <c r="D254">
        <v>-1.7475646031724263E-2</v>
      </c>
      <c r="E254">
        <v>0</v>
      </c>
      <c r="F254">
        <v>296.62419025499997</v>
      </c>
      <c r="G254">
        <v>4.0476977979969604</v>
      </c>
      <c r="H254">
        <v>304.71958585099389</v>
      </c>
      <c r="I254">
        <v>288.52879465900605</v>
      </c>
    </row>
    <row r="255" spans="1:9" x14ac:dyDescent="0.25">
      <c r="A255" s="1">
        <v>40547</v>
      </c>
      <c r="B255" t="s">
        <v>0</v>
      </c>
      <c r="C255">
        <v>299.93627470000001</v>
      </c>
      <c r="D255">
        <v>3.6899267228158381E-3</v>
      </c>
      <c r="E255">
        <v>1</v>
      </c>
      <c r="F255">
        <v>297.21597288500004</v>
      </c>
      <c r="G255">
        <v>3.3833997545726491</v>
      </c>
      <c r="H255">
        <v>303.98277239414534</v>
      </c>
      <c r="I255">
        <v>290.44917337585474</v>
      </c>
    </row>
    <row r="256" spans="1:9" x14ac:dyDescent="0.25">
      <c r="A256" s="1">
        <v>40548</v>
      </c>
      <c r="B256" t="s">
        <v>0</v>
      </c>
      <c r="C256">
        <v>303.39831659999999</v>
      </c>
      <c r="D256">
        <v>-1.1542591517023913E-2</v>
      </c>
      <c r="E256">
        <v>0</v>
      </c>
      <c r="F256">
        <v>297.762177425</v>
      </c>
      <c r="G256">
        <v>2.8215694923771517</v>
      </c>
      <c r="H256">
        <v>303.40531640975433</v>
      </c>
      <c r="I256">
        <v>292.11903844024567</v>
      </c>
    </row>
    <row r="257" spans="1:9" x14ac:dyDescent="0.25">
      <c r="A257" s="1">
        <v>40549</v>
      </c>
      <c r="B257" t="s">
        <v>0</v>
      </c>
      <c r="C257">
        <v>305.60504680000003</v>
      </c>
      <c r="D257">
        <v>-7.2733765458210791E-3</v>
      </c>
      <c r="E257">
        <v>0</v>
      </c>
      <c r="F257">
        <v>298.33403508999999</v>
      </c>
      <c r="G257">
        <v>2.9117790455173904</v>
      </c>
      <c r="H257">
        <v>304.15759318103477</v>
      </c>
      <c r="I257">
        <v>292.5104769989652</v>
      </c>
    </row>
    <row r="258" spans="1:9" x14ac:dyDescent="0.25">
      <c r="A258" s="1">
        <v>40550</v>
      </c>
      <c r="B258" t="s">
        <v>0</v>
      </c>
      <c r="C258">
        <v>307.06955740000001</v>
      </c>
      <c r="D258">
        <v>-4.7921675879862551E-3</v>
      </c>
      <c r="E258">
        <v>0</v>
      </c>
      <c r="F258">
        <v>298.95520772999998</v>
      </c>
      <c r="G258">
        <v>3.261879279732808</v>
      </c>
      <c r="H258">
        <v>305.47896628946557</v>
      </c>
      <c r="I258">
        <v>292.43144917053439</v>
      </c>
    </row>
    <row r="259" spans="1:9" x14ac:dyDescent="0.25">
      <c r="A259" s="1">
        <v>40553</v>
      </c>
      <c r="B259" t="s">
        <v>0</v>
      </c>
      <c r="C259">
        <v>305.9587156</v>
      </c>
      <c r="D259">
        <v>3.6175575638485707E-3</v>
      </c>
      <c r="E259">
        <v>1</v>
      </c>
      <c r="F259">
        <v>299.50315483999998</v>
      </c>
      <c r="G259">
        <v>3.6474398569421611</v>
      </c>
      <c r="H259">
        <v>306.79803455388429</v>
      </c>
      <c r="I259">
        <v>292.20827512611567</v>
      </c>
    </row>
    <row r="260" spans="1:9" x14ac:dyDescent="0.25">
      <c r="A260" s="1">
        <v>40554</v>
      </c>
      <c r="B260" t="s">
        <v>0</v>
      </c>
      <c r="C260">
        <v>306.85535379999999</v>
      </c>
      <c r="D260">
        <v>-2.9305855799585004E-3</v>
      </c>
      <c r="E260">
        <v>0</v>
      </c>
      <c r="F260">
        <v>300.03590872500001</v>
      </c>
      <c r="G260">
        <v>3.8284899410327098</v>
      </c>
      <c r="H260">
        <v>307.69288860706541</v>
      </c>
      <c r="I260">
        <v>292.37892884293461</v>
      </c>
    </row>
    <row r="261" spans="1:9" x14ac:dyDescent="0.25">
      <c r="A261" s="1">
        <v>40555</v>
      </c>
      <c r="B261" t="s">
        <v>0</v>
      </c>
      <c r="C261">
        <v>307.28376050000003</v>
      </c>
      <c r="D261">
        <v>-1.3961193594792646E-3</v>
      </c>
      <c r="E261">
        <v>0</v>
      </c>
      <c r="F261">
        <v>300.58285941999998</v>
      </c>
      <c r="G261">
        <v>4.0676931996155323</v>
      </c>
      <c r="H261">
        <v>308.71824581923102</v>
      </c>
      <c r="I261">
        <v>292.44747302076894</v>
      </c>
    </row>
    <row r="262" spans="1:9" x14ac:dyDescent="0.25">
      <c r="A262" s="1">
        <v>40556</v>
      </c>
      <c r="B262" t="s">
        <v>0</v>
      </c>
      <c r="C262">
        <v>307.19409960000002</v>
      </c>
      <c r="D262">
        <v>2.9178535127961171E-4</v>
      </c>
      <c r="E262">
        <v>1</v>
      </c>
      <c r="F262">
        <v>301.24014662000002</v>
      </c>
      <c r="G262">
        <v>4.2807917702134501</v>
      </c>
      <c r="H262">
        <v>309.80173016042693</v>
      </c>
      <c r="I262">
        <v>292.67856307957311</v>
      </c>
    </row>
    <row r="263" spans="1:9" x14ac:dyDescent="0.25">
      <c r="A263" s="1">
        <v>40557</v>
      </c>
      <c r="B263" t="s">
        <v>0</v>
      </c>
      <c r="C263">
        <v>310.92512429999999</v>
      </c>
      <c r="D263">
        <v>-1.214549597423315E-2</v>
      </c>
      <c r="E263">
        <v>0</v>
      </c>
      <c r="F263">
        <v>302.04886688999994</v>
      </c>
      <c r="G263">
        <v>4.2621111618153353</v>
      </c>
      <c r="H263">
        <v>310.57308921363062</v>
      </c>
      <c r="I263">
        <v>293.52464456636926</v>
      </c>
    </row>
    <row r="264" spans="1:9" x14ac:dyDescent="0.25">
      <c r="A264" s="1">
        <v>40561</v>
      </c>
      <c r="B264" t="s">
        <v>0</v>
      </c>
      <c r="C264">
        <v>318.62127370000002</v>
      </c>
      <c r="D264">
        <v>-2.4752420433461975E-2</v>
      </c>
      <c r="E264">
        <v>0</v>
      </c>
      <c r="F264">
        <v>303.26506007</v>
      </c>
      <c r="G264">
        <v>4.5739443025665949</v>
      </c>
      <c r="H264">
        <v>312.41294867513318</v>
      </c>
      <c r="I264">
        <v>294.11717146486683</v>
      </c>
    </row>
    <row r="265" spans="1:9" x14ac:dyDescent="0.25">
      <c r="A265" s="1">
        <v>40562</v>
      </c>
      <c r="B265" t="s">
        <v>0</v>
      </c>
      <c r="C265">
        <v>314.69597420000002</v>
      </c>
      <c r="D265">
        <v>1.2319640350492999E-2</v>
      </c>
      <c r="E265">
        <v>1</v>
      </c>
      <c r="F265">
        <v>304.17888609999994</v>
      </c>
      <c r="G265">
        <v>5.4337622371037453</v>
      </c>
      <c r="H265">
        <v>315.04641057420741</v>
      </c>
      <c r="I265">
        <v>293.31136162579247</v>
      </c>
    </row>
    <row r="266" spans="1:9" x14ac:dyDescent="0.25">
      <c r="A266" s="1">
        <v>40563</v>
      </c>
      <c r="B266" t="s">
        <v>0</v>
      </c>
      <c r="C266">
        <v>312.21528749999999</v>
      </c>
      <c r="D266">
        <v>7.8828040501829691E-3</v>
      </c>
      <c r="E266">
        <v>1</v>
      </c>
      <c r="F266">
        <v>304.76917487999992</v>
      </c>
      <c r="G266">
        <v>5.6915929547204875</v>
      </c>
      <c r="H266">
        <v>316.15236078944088</v>
      </c>
      <c r="I266">
        <v>293.38598897055897</v>
      </c>
    </row>
    <row r="267" spans="1:9" x14ac:dyDescent="0.25">
      <c r="A267" s="1">
        <v>40564</v>
      </c>
      <c r="B267" t="s">
        <v>0</v>
      </c>
      <c r="C267">
        <v>304.77316680000001</v>
      </c>
      <c r="D267">
        <v>2.3836503201336595E-2</v>
      </c>
      <c r="E267">
        <v>1</v>
      </c>
      <c r="F267">
        <v>304.92708379499993</v>
      </c>
      <c r="G267">
        <v>5.8515862960557508</v>
      </c>
      <c r="H267">
        <v>316.63025638711144</v>
      </c>
      <c r="I267">
        <v>293.22391120288842</v>
      </c>
    </row>
    <row r="268" spans="1:9" x14ac:dyDescent="0.25">
      <c r="A268" s="1">
        <v>40567</v>
      </c>
      <c r="B268" t="s">
        <v>0</v>
      </c>
      <c r="C268">
        <v>304.39956969999997</v>
      </c>
      <c r="D268">
        <v>1.2258201859522773E-3</v>
      </c>
      <c r="E268">
        <v>1</v>
      </c>
      <c r="F268">
        <v>305.09769564999993</v>
      </c>
      <c r="G268">
        <v>5.8071383955579554</v>
      </c>
      <c r="H268">
        <v>316.71197244111585</v>
      </c>
      <c r="I268">
        <v>293.48341885888402</v>
      </c>
    </row>
    <row r="269" spans="1:9" x14ac:dyDescent="0.25">
      <c r="A269" s="1">
        <v>40568</v>
      </c>
      <c r="B269" t="s">
        <v>0</v>
      </c>
      <c r="C269">
        <v>308.79807599999998</v>
      </c>
      <c r="D269">
        <v>-1.4449778310576923E-2</v>
      </c>
      <c r="E269">
        <v>0</v>
      </c>
      <c r="F269">
        <v>305.53430986499995</v>
      </c>
      <c r="G269">
        <v>5.7526605227378385</v>
      </c>
      <c r="H269">
        <v>317.03963091047564</v>
      </c>
      <c r="I269">
        <v>294.02898881952427</v>
      </c>
    </row>
    <row r="270" spans="1:9" x14ac:dyDescent="0.25">
      <c r="A270" s="1">
        <v>40569</v>
      </c>
      <c r="B270" t="s">
        <v>0</v>
      </c>
      <c r="C270">
        <v>307.09943390000001</v>
      </c>
      <c r="D270">
        <v>5.5008182758236237E-3</v>
      </c>
      <c r="E270">
        <v>1</v>
      </c>
      <c r="F270">
        <v>305.97216918499998</v>
      </c>
      <c r="G270">
        <v>5.6852614537177741</v>
      </c>
      <c r="H270">
        <v>317.34269209243553</v>
      </c>
      <c r="I270">
        <v>294.60164627756444</v>
      </c>
    </row>
    <row r="271" spans="1:9" x14ac:dyDescent="0.25">
      <c r="A271" s="1">
        <v>40570</v>
      </c>
      <c r="B271" t="s">
        <v>0</v>
      </c>
      <c r="C271">
        <v>307.24390440000002</v>
      </c>
      <c r="D271">
        <v>-4.7043557900876764E-4</v>
      </c>
      <c r="E271">
        <v>0</v>
      </c>
      <c r="F271">
        <v>306.36544531499999</v>
      </c>
      <c r="G271">
        <v>5.4433091913356755</v>
      </c>
      <c r="H271">
        <v>317.25206369767136</v>
      </c>
      <c r="I271">
        <v>295.47882693232862</v>
      </c>
    </row>
    <row r="272" spans="1:9" x14ac:dyDescent="0.25">
      <c r="A272" s="1">
        <v>40571</v>
      </c>
      <c r="B272" t="s">
        <v>0</v>
      </c>
      <c r="C272">
        <v>299.37337710000003</v>
      </c>
      <c r="D272">
        <v>2.5616544990111092E-2</v>
      </c>
      <c r="E272">
        <v>1</v>
      </c>
      <c r="F272">
        <v>306.41849564500001</v>
      </c>
      <c r="G272">
        <v>5.2182430932317923</v>
      </c>
      <c r="H272">
        <v>316.85498183146359</v>
      </c>
      <c r="I272">
        <v>295.98200945853642</v>
      </c>
    </row>
    <row r="273" spans="1:9" x14ac:dyDescent="0.25">
      <c r="A273" s="1">
        <v>40574</v>
      </c>
      <c r="B273" t="s">
        <v>0</v>
      </c>
      <c r="C273">
        <v>299.05956429999998</v>
      </c>
      <c r="D273">
        <v>1.0482321542413819E-3</v>
      </c>
      <c r="E273">
        <v>1</v>
      </c>
      <c r="F273">
        <v>306.57764967000003</v>
      </c>
      <c r="G273">
        <v>5.1431131142596964</v>
      </c>
      <c r="H273">
        <v>316.86387589851944</v>
      </c>
      <c r="I273">
        <v>296.29142344148062</v>
      </c>
    </row>
    <row r="274" spans="1:9" x14ac:dyDescent="0.25">
      <c r="A274" s="1">
        <v>40575</v>
      </c>
      <c r="B274" t="s">
        <v>0</v>
      </c>
      <c r="C274">
        <v>304.37964190000002</v>
      </c>
      <c r="D274">
        <v>-1.7789357823925805E-2</v>
      </c>
      <c r="E274">
        <v>0</v>
      </c>
      <c r="F274">
        <v>306.74427593999997</v>
      </c>
      <c r="G274">
        <v>4.8558943205749401</v>
      </c>
      <c r="H274">
        <v>316.45606458114986</v>
      </c>
      <c r="I274">
        <v>297.03248729885007</v>
      </c>
    </row>
    <row r="275" spans="1:9" x14ac:dyDescent="0.25">
      <c r="A275" s="1">
        <v>40576</v>
      </c>
      <c r="B275" t="s">
        <v>0</v>
      </c>
      <c r="C275">
        <v>304.85785290000001</v>
      </c>
      <c r="D275">
        <v>-1.5711004751004258E-3</v>
      </c>
      <c r="E275">
        <v>0</v>
      </c>
      <c r="F275">
        <v>306.99035485000002</v>
      </c>
      <c r="G275">
        <v>4.7219654705912504</v>
      </c>
      <c r="H275">
        <v>316.4342857911825</v>
      </c>
      <c r="I275">
        <v>297.54642390881753</v>
      </c>
    </row>
    <row r="276" spans="1:9" x14ac:dyDescent="0.25">
      <c r="A276" s="1">
        <v>40577</v>
      </c>
      <c r="B276" t="s">
        <v>0</v>
      </c>
      <c r="C276">
        <v>303.93628169999999</v>
      </c>
      <c r="D276">
        <v>3.0229537839798143E-3</v>
      </c>
      <c r="E276">
        <v>1</v>
      </c>
      <c r="F276">
        <v>307.01725310500007</v>
      </c>
      <c r="G276">
        <v>4.4762771710188565</v>
      </c>
      <c r="H276">
        <v>315.96980744703779</v>
      </c>
      <c r="I276">
        <v>298.06469876296234</v>
      </c>
    </row>
    <row r="277" spans="1:9" x14ac:dyDescent="0.25">
      <c r="A277" s="1">
        <v>40578</v>
      </c>
      <c r="B277" t="s">
        <v>0</v>
      </c>
      <c r="C277">
        <v>304.34973450000001</v>
      </c>
      <c r="D277">
        <v>-1.3603272294030171E-3</v>
      </c>
      <c r="E277">
        <v>0</v>
      </c>
      <c r="F277">
        <v>306.95448749000002</v>
      </c>
      <c r="G277">
        <v>4.4565436161638994</v>
      </c>
      <c r="H277">
        <v>315.86757472232784</v>
      </c>
      <c r="I277">
        <v>298.04140025767219</v>
      </c>
    </row>
    <row r="278" spans="1:9" x14ac:dyDescent="0.25">
      <c r="A278" s="1">
        <v>40581</v>
      </c>
      <c r="B278" t="s">
        <v>0</v>
      </c>
      <c r="C278">
        <v>305.99857170000001</v>
      </c>
      <c r="D278">
        <v>-5.4175739719595599E-3</v>
      </c>
      <c r="E278">
        <v>0</v>
      </c>
      <c r="F278">
        <v>306.90093820499999</v>
      </c>
      <c r="G278">
        <v>4.4846221609907708</v>
      </c>
      <c r="H278">
        <v>315.87018252698152</v>
      </c>
      <c r="I278">
        <v>297.93169388301845</v>
      </c>
    </row>
    <row r="279" spans="1:9" x14ac:dyDescent="0.25">
      <c r="A279" s="1">
        <v>40582</v>
      </c>
      <c r="B279" t="s">
        <v>0</v>
      </c>
      <c r="C279">
        <v>308.0359287</v>
      </c>
      <c r="D279">
        <v>-6.6580604892411193E-3</v>
      </c>
      <c r="E279">
        <v>0</v>
      </c>
      <c r="F279">
        <v>307.00479886000005</v>
      </c>
      <c r="G279">
        <v>4.4902020674272265</v>
      </c>
      <c r="H279">
        <v>315.98520299485449</v>
      </c>
      <c r="I279">
        <v>298.02439472514561</v>
      </c>
    </row>
    <row r="280" spans="1:9" x14ac:dyDescent="0.25">
      <c r="A280" s="1">
        <v>40583</v>
      </c>
      <c r="B280" t="s">
        <v>0</v>
      </c>
      <c r="C280">
        <v>307.09943390000001</v>
      </c>
      <c r="D280">
        <v>3.0402128866988602E-3</v>
      </c>
      <c r="E280">
        <v>1</v>
      </c>
      <c r="F280">
        <v>307.01700286500005</v>
      </c>
      <c r="G280">
        <v>4.4900457093519748</v>
      </c>
      <c r="H280">
        <v>315.99709428370397</v>
      </c>
      <c r="I280">
        <v>298.03691144629613</v>
      </c>
    </row>
    <row r="281" spans="1:9" x14ac:dyDescent="0.25">
      <c r="A281" s="1">
        <v>40584</v>
      </c>
      <c r="B281" t="s">
        <v>0</v>
      </c>
      <c r="C281">
        <v>307.06955740000001</v>
      </c>
      <c r="D281">
        <v>9.7286079692771144E-5</v>
      </c>
      <c r="E281">
        <v>1</v>
      </c>
      <c r="F281">
        <v>307.00629271000003</v>
      </c>
      <c r="G281">
        <v>4.4899508240353807</v>
      </c>
      <c r="H281">
        <v>315.9861943580708</v>
      </c>
      <c r="I281">
        <v>298.02639106192925</v>
      </c>
    </row>
    <row r="282" spans="1:9" x14ac:dyDescent="0.25">
      <c r="A282" s="1">
        <v>40585</v>
      </c>
      <c r="B282" t="s">
        <v>0</v>
      </c>
      <c r="C282">
        <v>311.08451789999998</v>
      </c>
      <c r="D282">
        <v>-1.3075084791847139E-2</v>
      </c>
      <c r="E282">
        <v>0</v>
      </c>
      <c r="F282">
        <v>307.20081362500002</v>
      </c>
      <c r="G282">
        <v>4.4937565010750307</v>
      </c>
      <c r="H282">
        <v>316.1883266271501</v>
      </c>
      <c r="I282">
        <v>298.21330062284994</v>
      </c>
    </row>
    <row r="283" spans="1:9" x14ac:dyDescent="0.25">
      <c r="A283" s="1">
        <v>40588</v>
      </c>
      <c r="B283" t="s">
        <v>0</v>
      </c>
      <c r="C283">
        <v>312.90269740000002</v>
      </c>
      <c r="D283">
        <v>-5.8446479827212322E-3</v>
      </c>
      <c r="E283">
        <v>0</v>
      </c>
      <c r="F283">
        <v>307.29969227999999</v>
      </c>
      <c r="G283">
        <v>4.5779668162017915</v>
      </c>
      <c r="H283">
        <v>316.45562591240355</v>
      </c>
      <c r="I283">
        <v>298.14375864759643</v>
      </c>
    </row>
    <row r="284" spans="1:9" x14ac:dyDescent="0.25">
      <c r="A284" s="1">
        <v>40589</v>
      </c>
      <c r="B284" t="s">
        <v>0</v>
      </c>
      <c r="C284">
        <v>310.91017040000003</v>
      </c>
      <c r="D284">
        <v>6.3678805473921596E-3</v>
      </c>
      <c r="E284">
        <v>1</v>
      </c>
      <c r="F284">
        <v>306.91413711500002</v>
      </c>
      <c r="G284">
        <v>4.6924331010317246</v>
      </c>
      <c r="H284">
        <v>316.29900331706347</v>
      </c>
      <c r="I284">
        <v>297.52927091293657</v>
      </c>
    </row>
    <row r="285" spans="1:9" x14ac:dyDescent="0.25">
      <c r="A285" s="1">
        <v>40590</v>
      </c>
      <c r="B285" t="s">
        <v>0</v>
      </c>
      <c r="C285">
        <v>310.94502169999998</v>
      </c>
      <c r="D285">
        <v>-1.1209443536414163E-4</v>
      </c>
      <c r="E285">
        <v>0</v>
      </c>
      <c r="F285">
        <v>306.72658949000004</v>
      </c>
      <c r="G285">
        <v>3.9999580334111577</v>
      </c>
      <c r="H285">
        <v>314.72650555682236</v>
      </c>
      <c r="I285">
        <v>298.72667342317771</v>
      </c>
    </row>
    <row r="286" spans="1:9" x14ac:dyDescent="0.25">
      <c r="A286" s="1">
        <v>40591</v>
      </c>
      <c r="B286" t="s">
        <v>0</v>
      </c>
      <c r="C286">
        <v>311.4630889</v>
      </c>
      <c r="D286">
        <v>-1.666105465100034E-3</v>
      </c>
      <c r="E286">
        <v>0</v>
      </c>
      <c r="F286">
        <v>306.68897956000001</v>
      </c>
      <c r="G286">
        <v>3.7034149995111592</v>
      </c>
      <c r="H286">
        <v>314.09580955902231</v>
      </c>
      <c r="I286">
        <v>299.2821495609777</v>
      </c>
    </row>
    <row r="287" spans="1:9" x14ac:dyDescent="0.25">
      <c r="A287" s="1">
        <v>40592</v>
      </c>
      <c r="B287" t="s">
        <v>0</v>
      </c>
      <c r="C287">
        <v>313.86409429999998</v>
      </c>
      <c r="D287">
        <v>-7.7087959555003759E-3</v>
      </c>
      <c r="E287">
        <v>0</v>
      </c>
      <c r="F287">
        <v>307.14352593499996</v>
      </c>
      <c r="G287">
        <v>3.6789260787298037</v>
      </c>
      <c r="H287">
        <v>314.50137809245956</v>
      </c>
      <c r="I287">
        <v>299.78567377754035</v>
      </c>
    </row>
    <row r="288" spans="1:9" x14ac:dyDescent="0.25">
      <c r="A288" s="1">
        <v>40596</v>
      </c>
      <c r="B288" t="s">
        <v>0</v>
      </c>
      <c r="C288">
        <v>303.96618910000001</v>
      </c>
      <c r="D288">
        <v>3.1535640360758427E-2</v>
      </c>
      <c r="E288">
        <v>1</v>
      </c>
      <c r="F288">
        <v>307.12185690500002</v>
      </c>
      <c r="G288">
        <v>3.9385706132564717</v>
      </c>
      <c r="H288">
        <v>314.99899813151296</v>
      </c>
      <c r="I288">
        <v>299.24471567848707</v>
      </c>
    </row>
    <row r="289" spans="1:9" x14ac:dyDescent="0.25">
      <c r="A289" s="1">
        <v>40597</v>
      </c>
      <c r="B289" t="s">
        <v>0</v>
      </c>
      <c r="C289">
        <v>304.51910709999999</v>
      </c>
      <c r="D289">
        <v>-1.8190115211072892E-3</v>
      </c>
      <c r="E289">
        <v>0</v>
      </c>
      <c r="F289">
        <v>306.90790845999993</v>
      </c>
      <c r="G289">
        <v>3.9604901207016967</v>
      </c>
      <c r="H289">
        <v>314.82888870140334</v>
      </c>
      <c r="I289">
        <v>298.98692821859652</v>
      </c>
    </row>
    <row r="290" spans="1:9" x14ac:dyDescent="0.25">
      <c r="A290" s="1">
        <v>40598</v>
      </c>
      <c r="B290" t="s">
        <v>0</v>
      </c>
      <c r="C290">
        <v>303.27377439999998</v>
      </c>
      <c r="D290">
        <v>4.0895059487714028E-3</v>
      </c>
      <c r="E290">
        <v>1</v>
      </c>
      <c r="F290">
        <v>306.71662548499995</v>
      </c>
      <c r="G290">
        <v>3.97853655294431</v>
      </c>
      <c r="H290">
        <v>314.67369859088859</v>
      </c>
      <c r="I290">
        <v>298.75955237911131</v>
      </c>
    </row>
    <row r="291" spans="1:9" x14ac:dyDescent="0.25">
      <c r="A291" s="1">
        <v>40599</v>
      </c>
      <c r="B291" t="s">
        <v>0</v>
      </c>
      <c r="C291">
        <v>303.88150250000001</v>
      </c>
      <c r="D291">
        <v>-2.0038926913557458E-3</v>
      </c>
      <c r="E291">
        <v>0</v>
      </c>
      <c r="F291">
        <v>306.54850538999995</v>
      </c>
      <c r="G291">
        <v>4.0549169578428303</v>
      </c>
      <c r="H291">
        <v>314.65833930568562</v>
      </c>
      <c r="I291">
        <v>298.43867147431428</v>
      </c>
    </row>
    <row r="292" spans="1:9" x14ac:dyDescent="0.25">
      <c r="A292" s="1">
        <v>40602</v>
      </c>
      <c r="B292" t="s">
        <v>0</v>
      </c>
      <c r="C292">
        <v>305.5552419</v>
      </c>
      <c r="D292">
        <v>-5.5078686469242667E-3</v>
      </c>
      <c r="E292">
        <v>0</v>
      </c>
      <c r="F292">
        <v>306.85759862999993</v>
      </c>
      <c r="G292">
        <v>4.1072322064406048</v>
      </c>
      <c r="H292">
        <v>315.07206304288115</v>
      </c>
      <c r="I292">
        <v>298.6431342171187</v>
      </c>
    </row>
    <row r="293" spans="1:9" x14ac:dyDescent="0.25">
      <c r="A293" s="1">
        <v>40603</v>
      </c>
      <c r="B293" t="s">
        <v>0</v>
      </c>
      <c r="C293">
        <v>299.25881399999997</v>
      </c>
      <c r="D293">
        <v>2.0606512461863367E-2</v>
      </c>
      <c r="E293">
        <v>1</v>
      </c>
      <c r="F293">
        <v>306.86756111499994</v>
      </c>
      <c r="G293">
        <v>3.7621248923757746</v>
      </c>
      <c r="H293">
        <v>314.39181089975148</v>
      </c>
      <c r="I293">
        <v>299.34331133024841</v>
      </c>
    </row>
    <row r="294" spans="1:9" x14ac:dyDescent="0.25">
      <c r="A294" s="1">
        <v>40604</v>
      </c>
      <c r="B294" t="s">
        <v>0</v>
      </c>
      <c r="C294">
        <v>299.2737674</v>
      </c>
      <c r="D294">
        <v>-4.9968118900666473E-5</v>
      </c>
      <c r="E294">
        <v>0</v>
      </c>
      <c r="F294">
        <v>306.61226738999994</v>
      </c>
      <c r="G294">
        <v>3.7503559180038337</v>
      </c>
      <c r="H294">
        <v>314.11297922600761</v>
      </c>
      <c r="I294">
        <v>299.11155555399228</v>
      </c>
    </row>
    <row r="295" spans="1:9" x14ac:dyDescent="0.25">
      <c r="A295" s="1">
        <v>40605</v>
      </c>
      <c r="B295" t="s">
        <v>0</v>
      </c>
      <c r="C295">
        <v>303.64239679999997</v>
      </c>
      <c r="D295">
        <v>-1.4597435110846187E-2</v>
      </c>
      <c r="E295">
        <v>0</v>
      </c>
      <c r="F295">
        <v>306.551494585</v>
      </c>
      <c r="G295">
        <v>4.0635343140873728</v>
      </c>
      <c r="H295">
        <v>314.67856321317475</v>
      </c>
      <c r="I295">
        <v>298.42442595682525</v>
      </c>
    </row>
    <row r="296" spans="1:9" x14ac:dyDescent="0.25">
      <c r="A296" s="1">
        <v>40606</v>
      </c>
      <c r="B296" t="s">
        <v>0</v>
      </c>
      <c r="C296">
        <v>299.18908140000002</v>
      </c>
      <c r="D296">
        <v>1.4666316189478688E-2</v>
      </c>
      <c r="E296">
        <v>1</v>
      </c>
      <c r="F296">
        <v>306.31413456999996</v>
      </c>
      <c r="G296">
        <v>4.104676879702283</v>
      </c>
      <c r="H296">
        <v>314.52348832940453</v>
      </c>
      <c r="I296">
        <v>298.1047808105954</v>
      </c>
    </row>
    <row r="297" spans="1:9" x14ac:dyDescent="0.25">
      <c r="A297" s="1">
        <v>40609</v>
      </c>
      <c r="B297" t="s">
        <v>0</v>
      </c>
      <c r="C297">
        <v>294.72581680000002</v>
      </c>
      <c r="D297">
        <v>1.4917872601215861E-2</v>
      </c>
      <c r="E297">
        <v>1</v>
      </c>
      <c r="F297">
        <v>305.83293868499999</v>
      </c>
      <c r="G297">
        <v>4.3972186307598324</v>
      </c>
      <c r="H297">
        <v>314.62737594651963</v>
      </c>
      <c r="I297">
        <v>297.03850142348034</v>
      </c>
    </row>
    <row r="298" spans="1:9" x14ac:dyDescent="0.25">
      <c r="A298" s="1">
        <v>40610</v>
      </c>
      <c r="B298" t="s">
        <v>0</v>
      </c>
      <c r="C298">
        <v>295.04957819999998</v>
      </c>
      <c r="D298">
        <v>-1.0985172711207383E-3</v>
      </c>
      <c r="E298">
        <v>0</v>
      </c>
      <c r="F298">
        <v>305.28548900999999</v>
      </c>
      <c r="G298">
        <v>5.0688900095633542</v>
      </c>
      <c r="H298">
        <v>315.42326902912669</v>
      </c>
      <c r="I298">
        <v>295.1477089908733</v>
      </c>
    </row>
    <row r="299" spans="1:9" x14ac:dyDescent="0.25">
      <c r="A299" s="1">
        <v>40611</v>
      </c>
      <c r="B299" t="s">
        <v>0</v>
      </c>
      <c r="C299">
        <v>294.780596</v>
      </c>
      <c r="D299">
        <v>9.1165085420882061E-4</v>
      </c>
      <c r="E299">
        <v>1</v>
      </c>
      <c r="F299">
        <v>304.62272237500002</v>
      </c>
      <c r="G299">
        <v>5.5987654622153293</v>
      </c>
      <c r="H299">
        <v>315.8202532994307</v>
      </c>
      <c r="I299">
        <v>293.42519145056934</v>
      </c>
    </row>
    <row r="300" spans="1:9" x14ac:dyDescent="0.25">
      <c r="A300" s="1">
        <v>40612</v>
      </c>
      <c r="B300" t="s">
        <v>0</v>
      </c>
      <c r="C300">
        <v>289.0669934</v>
      </c>
      <c r="D300">
        <v>1.9382560037974825E-2</v>
      </c>
      <c r="E300">
        <v>1</v>
      </c>
      <c r="F300">
        <v>303.72110035000003</v>
      </c>
      <c r="G300">
        <v>6.0348960790624089</v>
      </c>
      <c r="H300">
        <v>315.79089250812484</v>
      </c>
      <c r="I300">
        <v>291.65130819187522</v>
      </c>
    </row>
    <row r="301" spans="1:9" x14ac:dyDescent="0.25">
      <c r="A301" s="1">
        <v>40613</v>
      </c>
      <c r="B301" t="s">
        <v>0</v>
      </c>
      <c r="C301">
        <v>287.27869090000002</v>
      </c>
      <c r="D301">
        <v>6.1864638330582445E-3</v>
      </c>
      <c r="E301">
        <v>1</v>
      </c>
      <c r="F301">
        <v>302.73155702500003</v>
      </c>
      <c r="G301">
        <v>6.8967856515542092</v>
      </c>
      <c r="H301">
        <v>316.52512832810845</v>
      </c>
      <c r="I301">
        <v>288.93798572189161</v>
      </c>
    </row>
    <row r="302" spans="1:9" x14ac:dyDescent="0.25">
      <c r="A302" s="1">
        <v>40616</v>
      </c>
      <c r="B302" t="s">
        <v>0</v>
      </c>
      <c r="C302">
        <v>283.9312425</v>
      </c>
      <c r="D302">
        <v>1.1652268358342129E-2</v>
      </c>
      <c r="E302">
        <v>1</v>
      </c>
      <c r="F302">
        <v>301.37389325500004</v>
      </c>
      <c r="G302">
        <v>7.7722290526616717</v>
      </c>
      <c r="H302">
        <v>316.91835136032341</v>
      </c>
      <c r="I302">
        <v>285.82943514967667</v>
      </c>
    </row>
    <row r="303" spans="1:9" x14ac:dyDescent="0.25">
      <c r="A303" s="1">
        <v>40617</v>
      </c>
      <c r="B303" t="s">
        <v>0</v>
      </c>
      <c r="C303">
        <v>283.71703939999998</v>
      </c>
      <c r="D303">
        <v>7.5441891534715557E-4</v>
      </c>
      <c r="E303">
        <v>1</v>
      </c>
      <c r="F303">
        <v>299.91461035500004</v>
      </c>
      <c r="G303">
        <v>8.5460249676391449</v>
      </c>
      <c r="H303">
        <v>317.00666029027832</v>
      </c>
      <c r="I303">
        <v>282.82256041972175</v>
      </c>
    </row>
    <row r="304" spans="1:9" x14ac:dyDescent="0.25">
      <c r="A304" s="1">
        <v>40618</v>
      </c>
      <c r="B304" t="s">
        <v>0</v>
      </c>
      <c r="C304">
        <v>277.51030229999998</v>
      </c>
      <c r="D304">
        <v>2.1876504538204337E-2</v>
      </c>
      <c r="E304">
        <v>1</v>
      </c>
      <c r="F304">
        <v>298.24461694999997</v>
      </c>
      <c r="G304">
        <v>8.9725673977933145</v>
      </c>
      <c r="H304">
        <v>316.18975174558659</v>
      </c>
      <c r="I304">
        <v>280.29948215441334</v>
      </c>
    </row>
    <row r="305" spans="1:9" x14ac:dyDescent="0.25">
      <c r="A305" s="1">
        <v>40619</v>
      </c>
      <c r="B305" t="s">
        <v>0</v>
      </c>
      <c r="C305">
        <v>279.6323458</v>
      </c>
      <c r="D305">
        <v>-7.64671971603419E-3</v>
      </c>
      <c r="E305">
        <v>0</v>
      </c>
      <c r="F305">
        <v>296.67898315499991</v>
      </c>
      <c r="G305">
        <v>9.8200281505965972</v>
      </c>
      <c r="H305">
        <v>316.31903945619308</v>
      </c>
      <c r="I305">
        <v>277.03892685380674</v>
      </c>
    </row>
    <row r="306" spans="1:9" x14ac:dyDescent="0.25">
      <c r="A306" s="1">
        <v>40620</v>
      </c>
      <c r="B306" t="s">
        <v>0</v>
      </c>
      <c r="C306">
        <v>279.48290100000003</v>
      </c>
      <c r="D306">
        <v>5.3443316642222763E-4</v>
      </c>
      <c r="E306">
        <v>1</v>
      </c>
      <c r="F306">
        <v>295.07997375999992</v>
      </c>
      <c r="G306">
        <v>10.165784937282545</v>
      </c>
      <c r="H306">
        <v>315.41154363456502</v>
      </c>
      <c r="I306">
        <v>274.74840388543481</v>
      </c>
    </row>
    <row r="307" spans="1:9" x14ac:dyDescent="0.25">
      <c r="A307" s="1">
        <v>40623</v>
      </c>
      <c r="B307" t="s">
        <v>0</v>
      </c>
      <c r="C307">
        <v>287.17410690000003</v>
      </c>
      <c r="D307">
        <v>-2.7519414863952624E-2</v>
      </c>
      <c r="E307">
        <v>0</v>
      </c>
      <c r="F307">
        <v>293.74547438999991</v>
      </c>
      <c r="G307">
        <v>10.191525048250771</v>
      </c>
      <c r="H307">
        <v>314.12852448650148</v>
      </c>
      <c r="I307">
        <v>273.36242429349835</v>
      </c>
    </row>
    <row r="308" spans="1:9" x14ac:dyDescent="0.25">
      <c r="A308" s="1">
        <v>40624</v>
      </c>
      <c r="B308" t="s">
        <v>0</v>
      </c>
      <c r="C308">
        <v>287.58255500000001</v>
      </c>
      <c r="D308">
        <v>-1.4223012806033274E-3</v>
      </c>
      <c r="E308">
        <v>0</v>
      </c>
      <c r="F308">
        <v>292.92629268499991</v>
      </c>
      <c r="G308">
        <v>9.2983569330935296</v>
      </c>
      <c r="H308">
        <v>311.523006551187</v>
      </c>
      <c r="I308">
        <v>274.32957881881282</v>
      </c>
    </row>
    <row r="309" spans="1:9" x14ac:dyDescent="0.25">
      <c r="A309" s="1">
        <v>40625</v>
      </c>
      <c r="B309" t="s">
        <v>0</v>
      </c>
      <c r="C309">
        <v>289.993539</v>
      </c>
      <c r="D309">
        <v>-8.3836239649515074E-3</v>
      </c>
      <c r="E309">
        <v>0</v>
      </c>
      <c r="F309">
        <v>292.20001427999995</v>
      </c>
      <c r="G309">
        <v>9.0730773696902709</v>
      </c>
      <c r="H309">
        <v>310.34616901938051</v>
      </c>
      <c r="I309">
        <v>274.05385954061938</v>
      </c>
    </row>
    <row r="310" spans="1:9" x14ac:dyDescent="0.25">
      <c r="A310" s="1">
        <v>40626</v>
      </c>
      <c r="B310" t="s">
        <v>0</v>
      </c>
      <c r="C310">
        <v>292.34971400000001</v>
      </c>
      <c r="D310">
        <v>-8.1249223969779797E-3</v>
      </c>
      <c r="E310">
        <v>0</v>
      </c>
      <c r="F310">
        <v>291.65381126</v>
      </c>
      <c r="G310">
        <v>8.6760875374858077</v>
      </c>
      <c r="H310">
        <v>309.00598633497162</v>
      </c>
      <c r="I310">
        <v>274.30163618502837</v>
      </c>
    </row>
    <row r="311" spans="1:9" x14ac:dyDescent="0.25">
      <c r="A311" s="1">
        <v>40627</v>
      </c>
      <c r="B311" t="s">
        <v>0</v>
      </c>
      <c r="C311">
        <v>288.7880624</v>
      </c>
      <c r="D311">
        <v>1.2182846192214864E-2</v>
      </c>
      <c r="E311">
        <v>1</v>
      </c>
      <c r="F311">
        <v>290.89913925499997</v>
      </c>
      <c r="G311">
        <v>8.3136671605060304</v>
      </c>
      <c r="H311">
        <v>307.52647357601205</v>
      </c>
      <c r="I311">
        <v>274.27180493398788</v>
      </c>
    </row>
    <row r="312" spans="1:9" x14ac:dyDescent="0.25">
      <c r="A312" s="1">
        <v>40630</v>
      </c>
      <c r="B312" t="s">
        <v>0</v>
      </c>
      <c r="C312">
        <v>286.60623500000003</v>
      </c>
      <c r="D312">
        <v>7.5551163087133706E-3</v>
      </c>
      <c r="E312">
        <v>1</v>
      </c>
      <c r="F312">
        <v>289.95168890999997</v>
      </c>
      <c r="G312">
        <v>7.8619633880505004</v>
      </c>
      <c r="H312">
        <v>305.67561568610097</v>
      </c>
      <c r="I312">
        <v>274.22776213389898</v>
      </c>
    </row>
    <row r="313" spans="1:9" x14ac:dyDescent="0.25">
      <c r="A313" s="1">
        <v>40631</v>
      </c>
      <c r="B313" t="s">
        <v>0</v>
      </c>
      <c r="C313">
        <v>289.77933589999998</v>
      </c>
      <c r="D313">
        <v>-1.1071290546069075E-2</v>
      </c>
      <c r="E313">
        <v>0</v>
      </c>
      <c r="F313">
        <v>289.47771500499994</v>
      </c>
      <c r="G313">
        <v>7.1007872363053703</v>
      </c>
      <c r="H313">
        <v>303.67928947761067</v>
      </c>
      <c r="I313">
        <v>275.27614053238921</v>
      </c>
    </row>
    <row r="314" spans="1:9" x14ac:dyDescent="0.25">
      <c r="A314" s="1">
        <v>40632</v>
      </c>
      <c r="B314" t="s">
        <v>0</v>
      </c>
      <c r="C314">
        <v>289.83411510000002</v>
      </c>
      <c r="D314">
        <v>-1.8903763385994196E-4</v>
      </c>
      <c r="E314">
        <v>0</v>
      </c>
      <c r="F314">
        <v>289.00573238999993</v>
      </c>
      <c r="G314">
        <v>6.7723704007426422</v>
      </c>
      <c r="H314">
        <v>302.5504731914852</v>
      </c>
      <c r="I314">
        <v>275.46099158851467</v>
      </c>
    </row>
    <row r="315" spans="1:9" x14ac:dyDescent="0.25">
      <c r="A315" s="1">
        <v>40633</v>
      </c>
      <c r="B315" t="s">
        <v>0</v>
      </c>
      <c r="C315">
        <v>292.28495570000001</v>
      </c>
      <c r="D315">
        <v>-8.4560114641935476E-3</v>
      </c>
      <c r="E315">
        <v>0</v>
      </c>
      <c r="F315">
        <v>288.43786033499998</v>
      </c>
      <c r="G315">
        <v>6.3992314587837047</v>
      </c>
      <c r="H315">
        <v>301.23632325256739</v>
      </c>
      <c r="I315">
        <v>275.63939741743258</v>
      </c>
    </row>
    <row r="316" spans="1:9" x14ac:dyDescent="0.25">
      <c r="A316" s="1">
        <v>40634</v>
      </c>
      <c r="B316" t="s">
        <v>0</v>
      </c>
      <c r="C316">
        <v>294.79554940000003</v>
      </c>
      <c r="D316">
        <v>-8.5895413056321576E-3</v>
      </c>
      <c r="E316">
        <v>0</v>
      </c>
      <c r="F316">
        <v>288.21818373499991</v>
      </c>
      <c r="G316">
        <v>5.4935900605404777</v>
      </c>
      <c r="H316">
        <v>299.20536385608085</v>
      </c>
      <c r="I316">
        <v>277.23100361391897</v>
      </c>
    </row>
    <row r="317" spans="1:9" x14ac:dyDescent="0.25">
      <c r="A317" s="1">
        <v>40637</v>
      </c>
      <c r="B317" t="s">
        <v>0</v>
      </c>
      <c r="C317">
        <v>292.74323900000002</v>
      </c>
      <c r="D317">
        <v>6.9618093087805959E-3</v>
      </c>
      <c r="E317">
        <v>1</v>
      </c>
      <c r="F317">
        <v>288.11905484499994</v>
      </c>
      <c r="G317">
        <v>5.1317068764556932</v>
      </c>
      <c r="H317">
        <v>298.38246859791133</v>
      </c>
      <c r="I317">
        <v>277.85564109208855</v>
      </c>
    </row>
    <row r="318" spans="1:9" x14ac:dyDescent="0.25">
      <c r="A318" s="1">
        <v>40638</v>
      </c>
      <c r="B318" t="s">
        <v>0</v>
      </c>
      <c r="C318">
        <v>283.48293840000002</v>
      </c>
      <c r="D318">
        <v>3.1632841911679449E-2</v>
      </c>
      <c r="E318">
        <v>1</v>
      </c>
      <c r="F318">
        <v>287.5407228549999</v>
      </c>
      <c r="G318">
        <v>5.0552519358570054</v>
      </c>
      <c r="H318">
        <v>297.6512267267139</v>
      </c>
      <c r="I318">
        <v>277.4302189832859</v>
      </c>
    </row>
    <row r="319" spans="1:9" x14ac:dyDescent="0.25">
      <c r="A319" s="1">
        <v>40639</v>
      </c>
      <c r="B319" t="s">
        <v>0</v>
      </c>
      <c r="C319">
        <v>286.0184347</v>
      </c>
      <c r="D319">
        <v>-8.9440878322713784E-3</v>
      </c>
      <c r="E319">
        <v>0</v>
      </c>
      <c r="F319">
        <v>287.1026147899999</v>
      </c>
      <c r="G319">
        <v>4.873566057432611</v>
      </c>
      <c r="H319">
        <v>296.84974690486513</v>
      </c>
      <c r="I319">
        <v>277.35548267513468</v>
      </c>
    </row>
    <row r="320" spans="1:9" x14ac:dyDescent="0.25">
      <c r="A320" s="1">
        <v>40640</v>
      </c>
      <c r="B320" t="s">
        <v>0</v>
      </c>
      <c r="C320">
        <v>288.91754859999998</v>
      </c>
      <c r="D320">
        <v>-1.0136108545034194E-2</v>
      </c>
      <c r="E320">
        <v>0</v>
      </c>
      <c r="F320">
        <v>287.09514254999993</v>
      </c>
      <c r="G320">
        <v>4.5675928562922232</v>
      </c>
      <c r="H320">
        <v>296.23032826258441</v>
      </c>
      <c r="I320">
        <v>277.95995683741546</v>
      </c>
    </row>
    <row r="321" spans="1:9" x14ac:dyDescent="0.25">
      <c r="A321" s="1">
        <v>40641</v>
      </c>
      <c r="B321" t="s">
        <v>0</v>
      </c>
      <c r="C321">
        <v>288.00098209999999</v>
      </c>
      <c r="D321">
        <v>3.1724154674624971E-3</v>
      </c>
      <c r="E321">
        <v>1</v>
      </c>
      <c r="F321">
        <v>287.13125710999998</v>
      </c>
      <c r="G321">
        <v>4.5646311093140133</v>
      </c>
      <c r="H321">
        <v>296.26051932862799</v>
      </c>
      <c r="I321">
        <v>278.00199489137196</v>
      </c>
    </row>
    <row r="322" spans="1:9" x14ac:dyDescent="0.25">
      <c r="A322" s="1">
        <v>40644</v>
      </c>
      <c r="B322" t="s">
        <v>0</v>
      </c>
      <c r="C322">
        <v>287.60745709999998</v>
      </c>
      <c r="D322">
        <v>1.3664015904757258E-3</v>
      </c>
      <c r="E322">
        <v>1</v>
      </c>
      <c r="F322">
        <v>287.31506784000004</v>
      </c>
      <c r="G322">
        <v>4.5723492638216365</v>
      </c>
      <c r="H322">
        <v>296.45976636764334</v>
      </c>
      <c r="I322">
        <v>278.17036931235674</v>
      </c>
    </row>
    <row r="323" spans="1:9" x14ac:dyDescent="0.25">
      <c r="A323" s="1">
        <v>40645</v>
      </c>
      <c r="B323" t="s">
        <v>0</v>
      </c>
      <c r="C323">
        <v>284.24008090000001</v>
      </c>
      <c r="D323">
        <v>1.1708236754199122E-2</v>
      </c>
      <c r="E323">
        <v>1</v>
      </c>
      <c r="F323">
        <v>287.34121991500001</v>
      </c>
      <c r="G323">
        <v>4.5098583790163422</v>
      </c>
      <c r="H323">
        <v>296.36093667303271</v>
      </c>
      <c r="I323">
        <v>278.32150315696731</v>
      </c>
    </row>
    <row r="324" spans="1:9" x14ac:dyDescent="0.25">
      <c r="A324" s="1">
        <v>40646</v>
      </c>
      <c r="B324" t="s">
        <v>0</v>
      </c>
      <c r="C324">
        <v>287.06451820000001</v>
      </c>
      <c r="D324">
        <v>-9.9368016328199669E-3</v>
      </c>
      <c r="E324">
        <v>0</v>
      </c>
      <c r="F324">
        <v>287.81893071000002</v>
      </c>
      <c r="G324">
        <v>4.5156560034723547</v>
      </c>
      <c r="H324">
        <v>296.85024271694471</v>
      </c>
      <c r="I324">
        <v>278.78761870305533</v>
      </c>
    </row>
    <row r="325" spans="1:9" x14ac:dyDescent="0.25">
      <c r="A325" s="1">
        <v>40647</v>
      </c>
      <c r="B325" t="s">
        <v>0</v>
      </c>
      <c r="C325">
        <v>288.1753291</v>
      </c>
      <c r="D325">
        <v>-3.8695513711174837E-3</v>
      </c>
      <c r="E325">
        <v>0</v>
      </c>
      <c r="F325">
        <v>288.24607987500002</v>
      </c>
      <c r="G325">
        <v>3.9100730783254365</v>
      </c>
      <c r="H325">
        <v>296.0662260316509</v>
      </c>
      <c r="I325">
        <v>280.42593371834914</v>
      </c>
    </row>
    <row r="326" spans="1:9" x14ac:dyDescent="0.25">
      <c r="A326" s="1">
        <v>40648</v>
      </c>
      <c r="B326" t="s">
        <v>0</v>
      </c>
      <c r="C326">
        <v>264.35958440000002</v>
      </c>
      <c r="D326">
        <v>8.2643246298629736E-2</v>
      </c>
      <c r="E326">
        <v>1</v>
      </c>
      <c r="F326">
        <v>287.48991404499998</v>
      </c>
      <c r="G326">
        <v>3.4858123569940362</v>
      </c>
      <c r="H326">
        <v>294.46153875898807</v>
      </c>
      <c r="I326">
        <v>280.51828933101189</v>
      </c>
    </row>
    <row r="327" spans="1:9" x14ac:dyDescent="0.25">
      <c r="A327" s="1">
        <v>40651</v>
      </c>
      <c r="B327" t="s">
        <v>0</v>
      </c>
      <c r="C327">
        <v>262.43675960000002</v>
      </c>
      <c r="D327">
        <v>7.2735202862574963E-3</v>
      </c>
      <c r="E327">
        <v>1</v>
      </c>
      <c r="F327">
        <v>286.25304668000001</v>
      </c>
      <c r="G327">
        <v>6.1012886545345957</v>
      </c>
      <c r="H327">
        <v>298.45562398906918</v>
      </c>
      <c r="I327">
        <v>274.05046937093084</v>
      </c>
    </row>
    <row r="328" spans="1:9" x14ac:dyDescent="0.25">
      <c r="A328" s="1">
        <v>40652</v>
      </c>
      <c r="B328" t="s">
        <v>0</v>
      </c>
      <c r="C328">
        <v>259.7916745</v>
      </c>
      <c r="D328">
        <v>1.0078942843340979E-2</v>
      </c>
      <c r="E328">
        <v>1</v>
      </c>
      <c r="F328">
        <v>284.86350265499999</v>
      </c>
      <c r="G328">
        <v>8.2143115816708097</v>
      </c>
      <c r="H328">
        <v>301.29212581834162</v>
      </c>
      <c r="I328">
        <v>268.43487949165836</v>
      </c>
    </row>
    <row r="329" spans="1:9" x14ac:dyDescent="0.25">
      <c r="A329" s="1">
        <v>40653</v>
      </c>
      <c r="B329" t="s">
        <v>0</v>
      </c>
      <c r="C329">
        <v>261.88384159999998</v>
      </c>
      <c r="D329">
        <v>-8.0532492198859256E-3</v>
      </c>
      <c r="E329">
        <v>0</v>
      </c>
      <c r="F329">
        <v>283.45801778499998</v>
      </c>
      <c r="G329">
        <v>10.025490938079802</v>
      </c>
      <c r="H329">
        <v>303.50899966115958</v>
      </c>
      <c r="I329">
        <v>263.40703590884038</v>
      </c>
    </row>
    <row r="330" spans="1:9" x14ac:dyDescent="0.25">
      <c r="A330" s="1">
        <v>40654</v>
      </c>
      <c r="B330" t="s">
        <v>0</v>
      </c>
      <c r="C330">
        <v>261.57002879999999</v>
      </c>
      <c r="D330">
        <v>1.1982900437183513E-3</v>
      </c>
      <c r="E330">
        <v>1</v>
      </c>
      <c r="F330">
        <v>281.91903352499997</v>
      </c>
      <c r="G330">
        <v>11.136226610819904</v>
      </c>
      <c r="H330">
        <v>304.19148674663978</v>
      </c>
      <c r="I330">
        <v>259.64658030336017</v>
      </c>
    </row>
    <row r="331" spans="1:9" x14ac:dyDescent="0.25">
      <c r="A331" s="1">
        <v>40658</v>
      </c>
      <c r="B331" t="s">
        <v>0</v>
      </c>
      <c r="C331">
        <v>261.54512620000003</v>
      </c>
      <c r="D331">
        <v>9.5204332523136893E-5</v>
      </c>
      <c r="E331">
        <v>1</v>
      </c>
      <c r="F331">
        <v>280.55688671499996</v>
      </c>
      <c r="G331">
        <v>11.880030806603695</v>
      </c>
      <c r="H331">
        <v>304.31694832820733</v>
      </c>
      <c r="I331">
        <v>256.79682510179259</v>
      </c>
    </row>
    <row r="332" spans="1:9" x14ac:dyDescent="0.25">
      <c r="A332" s="1">
        <v>40659</v>
      </c>
      <c r="B332" t="s">
        <v>0</v>
      </c>
      <c r="C332">
        <v>265.41561610000002</v>
      </c>
      <c r="D332">
        <v>-1.4798554865978593E-2</v>
      </c>
      <c r="E332">
        <v>0</v>
      </c>
      <c r="F332">
        <v>279.49735577000001</v>
      </c>
      <c r="G332">
        <v>12.527668459269833</v>
      </c>
      <c r="H332">
        <v>304.55269268853965</v>
      </c>
      <c r="I332">
        <v>254.44201885146035</v>
      </c>
    </row>
    <row r="333" spans="1:9" x14ac:dyDescent="0.25">
      <c r="A333" s="1">
        <v>40660</v>
      </c>
      <c r="B333" t="s">
        <v>0</v>
      </c>
      <c r="C333">
        <v>267.87640549999998</v>
      </c>
      <c r="D333">
        <v>-9.2714567294819895E-3</v>
      </c>
      <c r="E333">
        <v>0</v>
      </c>
      <c r="F333">
        <v>278.40220925000006</v>
      </c>
      <c r="G333">
        <v>12.865837879322065</v>
      </c>
      <c r="H333">
        <v>304.1338850086442</v>
      </c>
      <c r="I333">
        <v>252.67053349135591</v>
      </c>
    </row>
    <row r="334" spans="1:9" x14ac:dyDescent="0.25">
      <c r="A334" s="1">
        <v>40661</v>
      </c>
      <c r="B334" t="s">
        <v>0</v>
      </c>
      <c r="C334">
        <v>267.98098950000002</v>
      </c>
      <c r="D334">
        <v>-3.9041885680389017E-4</v>
      </c>
      <c r="E334">
        <v>0</v>
      </c>
      <c r="F334">
        <v>277.30955297000003</v>
      </c>
      <c r="G334">
        <v>12.875999330999157</v>
      </c>
      <c r="H334">
        <v>303.06155163199833</v>
      </c>
      <c r="I334">
        <v>251.55755430800173</v>
      </c>
    </row>
    <row r="335" spans="1:9" x14ac:dyDescent="0.25">
      <c r="A335" s="1">
        <v>40662</v>
      </c>
      <c r="B335" t="s">
        <v>0</v>
      </c>
      <c r="C335">
        <v>271.03455300000002</v>
      </c>
      <c r="D335">
        <v>-1.1394701936496863E-2</v>
      </c>
      <c r="E335">
        <v>0</v>
      </c>
      <c r="F335">
        <v>276.24703283500008</v>
      </c>
      <c r="G335">
        <v>12.783903152106966</v>
      </c>
      <c r="H335">
        <v>301.81483913921403</v>
      </c>
      <c r="I335">
        <v>250.67922653078614</v>
      </c>
    </row>
    <row r="336" spans="1:9" x14ac:dyDescent="0.25">
      <c r="A336" s="1">
        <v>40665</v>
      </c>
      <c r="B336" t="s">
        <v>0</v>
      </c>
      <c r="C336">
        <v>268.2749048</v>
      </c>
      <c r="D336">
        <v>1.0181905478302668E-2</v>
      </c>
      <c r="E336">
        <v>1</v>
      </c>
      <c r="F336">
        <v>274.92100060500013</v>
      </c>
      <c r="G336">
        <v>12.396946805071748</v>
      </c>
      <c r="H336">
        <v>299.7148942151436</v>
      </c>
      <c r="I336">
        <v>250.12710699485663</v>
      </c>
    </row>
    <row r="337" spans="1:9" x14ac:dyDescent="0.25">
      <c r="A337" s="1">
        <v>40666</v>
      </c>
      <c r="B337" t="s">
        <v>0</v>
      </c>
      <c r="C337">
        <v>265.94860679999999</v>
      </c>
      <c r="D337">
        <v>8.671321686738731E-3</v>
      </c>
      <c r="E337">
        <v>1</v>
      </c>
      <c r="F337">
        <v>273.58126899500007</v>
      </c>
      <c r="G337">
        <v>11.744693093343566</v>
      </c>
      <c r="H337">
        <v>297.07065518168719</v>
      </c>
      <c r="I337">
        <v>250.09188280831293</v>
      </c>
    </row>
    <row r="338" spans="1:9" x14ac:dyDescent="0.25">
      <c r="A338" s="1">
        <v>40667</v>
      </c>
      <c r="B338" t="s">
        <v>0</v>
      </c>
      <c r="C338">
        <v>266.8950802</v>
      </c>
      <c r="D338">
        <v>-3.5588582748687751E-3</v>
      </c>
      <c r="E338">
        <v>0</v>
      </c>
      <c r="F338">
        <v>272.75187608500005</v>
      </c>
      <c r="G338">
        <v>11.098627407995709</v>
      </c>
      <c r="H338">
        <v>294.94913090099146</v>
      </c>
      <c r="I338">
        <v>250.55462126900863</v>
      </c>
    </row>
    <row r="339" spans="1:9" x14ac:dyDescent="0.25">
      <c r="A339" s="1">
        <v>40668</v>
      </c>
      <c r="B339" t="s">
        <v>0</v>
      </c>
      <c r="C339">
        <v>266.13790729999999</v>
      </c>
      <c r="D339">
        <v>2.8369683676169933E-3</v>
      </c>
      <c r="E339">
        <v>1</v>
      </c>
      <c r="F339">
        <v>271.75784971500008</v>
      </c>
      <c r="G339">
        <v>10.960152222814962</v>
      </c>
      <c r="H339">
        <v>293.67815416063002</v>
      </c>
      <c r="I339">
        <v>249.83754526937014</v>
      </c>
    </row>
    <row r="340" spans="1:9" x14ac:dyDescent="0.25">
      <c r="A340" s="1">
        <v>40669</v>
      </c>
      <c r="B340" t="s">
        <v>0</v>
      </c>
      <c r="C340">
        <v>266.65100059999997</v>
      </c>
      <c r="D340">
        <v>-1.9279226518513321E-3</v>
      </c>
      <c r="E340">
        <v>0</v>
      </c>
      <c r="F340">
        <v>270.64452231500002</v>
      </c>
      <c r="G340">
        <v>10.619576643093739</v>
      </c>
      <c r="H340">
        <v>291.88367560118752</v>
      </c>
      <c r="I340">
        <v>249.40536902881254</v>
      </c>
    </row>
    <row r="341" spans="1:9" x14ac:dyDescent="0.25">
      <c r="A341" s="1">
        <v>40672</v>
      </c>
      <c r="B341" t="s">
        <v>0</v>
      </c>
      <c r="C341">
        <v>267.83654940000002</v>
      </c>
      <c r="D341">
        <v>-4.4460691965618271E-3</v>
      </c>
      <c r="E341">
        <v>0</v>
      </c>
      <c r="F341">
        <v>269.63630067999998</v>
      </c>
      <c r="G341">
        <v>9.8941475250583419</v>
      </c>
      <c r="H341">
        <v>289.42459573011666</v>
      </c>
      <c r="I341">
        <v>249.84800562988329</v>
      </c>
    </row>
    <row r="342" spans="1:9" x14ac:dyDescent="0.25">
      <c r="A342" s="1">
        <v>40673</v>
      </c>
      <c r="B342" t="s">
        <v>0</v>
      </c>
      <c r="C342">
        <v>270.3172361</v>
      </c>
      <c r="D342">
        <v>-9.261942425547013E-3</v>
      </c>
      <c r="E342">
        <v>0</v>
      </c>
      <c r="F342">
        <v>268.77178962999994</v>
      </c>
      <c r="G342">
        <v>9.0520944346476355</v>
      </c>
      <c r="H342">
        <v>286.87597849929523</v>
      </c>
      <c r="I342">
        <v>250.66760076070466</v>
      </c>
    </row>
    <row r="343" spans="1:9" x14ac:dyDescent="0.25">
      <c r="A343" s="1">
        <v>40674</v>
      </c>
      <c r="B343" t="s">
        <v>0</v>
      </c>
      <c r="C343">
        <v>266.72570760000002</v>
      </c>
      <c r="D343">
        <v>1.3286346634113063E-2</v>
      </c>
      <c r="E343">
        <v>1</v>
      </c>
      <c r="F343">
        <v>267.89607096499998</v>
      </c>
      <c r="G343">
        <v>8.0676885550676172</v>
      </c>
      <c r="H343">
        <v>284.03144807513519</v>
      </c>
      <c r="I343">
        <v>251.76069385486474</v>
      </c>
    </row>
    <row r="344" spans="1:9" x14ac:dyDescent="0.25">
      <c r="A344" s="1">
        <v>40675</v>
      </c>
      <c r="B344" t="s">
        <v>0</v>
      </c>
      <c r="C344">
        <v>266.52645790000003</v>
      </c>
      <c r="D344">
        <v>7.4702098194000905E-4</v>
      </c>
      <c r="E344">
        <v>1</v>
      </c>
      <c r="F344">
        <v>266.86916795000008</v>
      </c>
      <c r="G344">
        <v>7.2700951098539752</v>
      </c>
      <c r="H344">
        <v>281.40935816970801</v>
      </c>
      <c r="I344">
        <v>252.32897773029214</v>
      </c>
    </row>
    <row r="345" spans="1:9" x14ac:dyDescent="0.25">
      <c r="A345" s="1">
        <v>40676</v>
      </c>
      <c r="B345" t="s">
        <v>0</v>
      </c>
      <c r="C345">
        <v>263.78670720000002</v>
      </c>
      <c r="D345">
        <v>1.0279469894234472E-2</v>
      </c>
      <c r="E345">
        <v>1</v>
      </c>
      <c r="F345">
        <v>265.64973685500001</v>
      </c>
      <c r="G345">
        <v>5.8270540605597168</v>
      </c>
      <c r="H345">
        <v>277.30384497611942</v>
      </c>
      <c r="I345">
        <v>253.99562873388058</v>
      </c>
    </row>
    <row r="346" spans="1:9" x14ac:dyDescent="0.25">
      <c r="A346" s="1">
        <v>40679</v>
      </c>
      <c r="B346" t="s">
        <v>0</v>
      </c>
      <c r="C346">
        <v>258.24247780000002</v>
      </c>
      <c r="D346">
        <v>2.1017849833488523E-2</v>
      </c>
      <c r="E346">
        <v>1</v>
      </c>
      <c r="F346">
        <v>265.34388152500003</v>
      </c>
      <c r="G346">
        <v>2.9751529679909203</v>
      </c>
      <c r="H346">
        <v>271.29418746098185</v>
      </c>
      <c r="I346">
        <v>259.39357558901821</v>
      </c>
    </row>
    <row r="347" spans="1:9" x14ac:dyDescent="0.25">
      <c r="A347" s="1">
        <v>40680</v>
      </c>
      <c r="B347" t="s">
        <v>0</v>
      </c>
      <c r="C347">
        <v>264.24001600000003</v>
      </c>
      <c r="D347">
        <v>-2.3224444913531601E-2</v>
      </c>
      <c r="E347">
        <v>0</v>
      </c>
      <c r="F347">
        <v>265.43404434499996</v>
      </c>
      <c r="G347">
        <v>3.3664104352876469</v>
      </c>
      <c r="H347">
        <v>272.16686521557523</v>
      </c>
      <c r="I347">
        <v>258.70122347442469</v>
      </c>
    </row>
    <row r="348" spans="1:9" x14ac:dyDescent="0.25">
      <c r="A348" s="1">
        <v>40681</v>
      </c>
      <c r="B348" t="s">
        <v>0</v>
      </c>
      <c r="C348">
        <v>263.91622419999999</v>
      </c>
      <c r="D348">
        <v>1.2253700438772214E-3</v>
      </c>
      <c r="E348">
        <v>1</v>
      </c>
      <c r="F348">
        <v>265.64027182999996</v>
      </c>
      <c r="G348">
        <v>3.3162250205143899</v>
      </c>
      <c r="H348">
        <v>272.27272187102875</v>
      </c>
      <c r="I348">
        <v>259.00782178897117</v>
      </c>
    </row>
    <row r="349" spans="1:9" x14ac:dyDescent="0.25">
      <c r="A349" s="1">
        <v>40682</v>
      </c>
      <c r="B349" t="s">
        <v>0</v>
      </c>
      <c r="C349">
        <v>264.63354099999998</v>
      </c>
      <c r="D349">
        <v>-2.717971591835133E-3</v>
      </c>
      <c r="E349">
        <v>0</v>
      </c>
      <c r="F349">
        <v>265.77775680000002</v>
      </c>
      <c r="G349">
        <v>3.0748273087708302</v>
      </c>
      <c r="H349">
        <v>271.92741141754169</v>
      </c>
      <c r="I349">
        <v>259.62810218245835</v>
      </c>
    </row>
    <row r="350" spans="1:9" x14ac:dyDescent="0.25">
      <c r="A350" s="1">
        <v>40683</v>
      </c>
      <c r="B350" t="s">
        <v>0</v>
      </c>
      <c r="C350">
        <v>261.0370077</v>
      </c>
      <c r="D350">
        <v>1.3590617751662766E-2</v>
      </c>
      <c r="E350">
        <v>1</v>
      </c>
      <c r="F350">
        <v>265.75110574500002</v>
      </c>
      <c r="G350">
        <v>2.9601699221673736</v>
      </c>
      <c r="H350">
        <v>271.67144558933478</v>
      </c>
      <c r="I350">
        <v>259.83076590066526</v>
      </c>
    </row>
    <row r="351" spans="1:9" x14ac:dyDescent="0.25">
      <c r="A351" s="1">
        <v>40686</v>
      </c>
      <c r="B351" t="s">
        <v>0</v>
      </c>
      <c r="C351">
        <v>258.22755469999998</v>
      </c>
      <c r="D351">
        <v>1.0762661680633489E-2</v>
      </c>
      <c r="E351">
        <v>1</v>
      </c>
      <c r="F351">
        <v>265.58522717</v>
      </c>
      <c r="G351">
        <v>3.0045278277362546</v>
      </c>
      <c r="H351">
        <v>271.59428282547253</v>
      </c>
      <c r="I351">
        <v>259.57617151452746</v>
      </c>
    </row>
    <row r="352" spans="1:9" x14ac:dyDescent="0.25">
      <c r="A352" s="1">
        <v>40687</v>
      </c>
      <c r="B352" t="s">
        <v>0</v>
      </c>
      <c r="C352">
        <v>258.16279600000001</v>
      </c>
      <c r="D352">
        <v>2.5078152513663681E-4</v>
      </c>
      <c r="E352">
        <v>1</v>
      </c>
      <c r="F352">
        <v>265.222586165</v>
      </c>
      <c r="G352">
        <v>3.3240551112382333</v>
      </c>
      <c r="H352">
        <v>271.87069638747647</v>
      </c>
      <c r="I352">
        <v>258.57447594252352</v>
      </c>
    </row>
    <row r="353" spans="1:9" x14ac:dyDescent="0.25">
      <c r="A353" s="1">
        <v>40688</v>
      </c>
      <c r="B353" t="s">
        <v>0</v>
      </c>
      <c r="C353">
        <v>258.86515930000002</v>
      </c>
      <c r="D353">
        <v>-2.720621680902471E-3</v>
      </c>
      <c r="E353">
        <v>0</v>
      </c>
      <c r="F353">
        <v>264.77202385499993</v>
      </c>
      <c r="G353">
        <v>3.7070901808079664</v>
      </c>
      <c r="H353">
        <v>272.18620421661586</v>
      </c>
      <c r="I353">
        <v>257.357843493384</v>
      </c>
    </row>
    <row r="354" spans="1:9" x14ac:dyDescent="0.25">
      <c r="A354" s="1">
        <v>40689</v>
      </c>
      <c r="B354" t="s">
        <v>0</v>
      </c>
      <c r="C354">
        <v>258.09803770000002</v>
      </c>
      <c r="D354">
        <v>2.9634022673208607E-3</v>
      </c>
      <c r="E354">
        <v>1</v>
      </c>
      <c r="F354">
        <v>264.27787626499997</v>
      </c>
      <c r="G354">
        <v>3.9050470705243412</v>
      </c>
      <c r="H354">
        <v>272.08797040604867</v>
      </c>
      <c r="I354">
        <v>256.46778212395128</v>
      </c>
    </row>
    <row r="355" spans="1:9" x14ac:dyDescent="0.25">
      <c r="A355" s="1">
        <v>40690</v>
      </c>
      <c r="B355" t="s">
        <v>0</v>
      </c>
      <c r="C355">
        <v>259.47786180000003</v>
      </c>
      <c r="D355">
        <v>-5.3461239469160347E-3</v>
      </c>
      <c r="E355">
        <v>0</v>
      </c>
      <c r="F355">
        <v>263.70004170499999</v>
      </c>
      <c r="G355">
        <v>4.0996528212340815</v>
      </c>
      <c r="H355">
        <v>271.89934734746817</v>
      </c>
      <c r="I355">
        <v>255.50073606253181</v>
      </c>
    </row>
    <row r="356" spans="1:9" x14ac:dyDescent="0.25">
      <c r="A356" s="1">
        <v>40694</v>
      </c>
      <c r="B356" t="s">
        <v>0</v>
      </c>
      <c r="C356">
        <v>263.52269919999998</v>
      </c>
      <c r="D356">
        <v>-1.5588371863175066E-2</v>
      </c>
      <c r="E356">
        <v>0</v>
      </c>
      <c r="F356">
        <v>263.46243142500003</v>
      </c>
      <c r="G356">
        <v>3.8813914077942915</v>
      </c>
      <c r="H356">
        <v>271.22521424058863</v>
      </c>
      <c r="I356">
        <v>255.69964860941144</v>
      </c>
    </row>
    <row r="357" spans="1:9" x14ac:dyDescent="0.25">
      <c r="A357" s="1">
        <v>40695</v>
      </c>
      <c r="B357" t="s">
        <v>0</v>
      </c>
      <c r="C357">
        <v>261.81908279999999</v>
      </c>
      <c r="D357">
        <v>6.4647804730742801E-3</v>
      </c>
      <c r="E357">
        <v>1</v>
      </c>
      <c r="F357">
        <v>263.25595522499998</v>
      </c>
      <c r="G357">
        <v>3.7349723282303975</v>
      </c>
      <c r="H357">
        <v>270.72589988146075</v>
      </c>
      <c r="I357">
        <v>255.78601056853918</v>
      </c>
    </row>
    <row r="358" spans="1:9" x14ac:dyDescent="0.25">
      <c r="A358" s="1">
        <v>40696</v>
      </c>
      <c r="B358" t="s">
        <v>0</v>
      </c>
      <c r="C358">
        <v>263.04448769999999</v>
      </c>
      <c r="D358">
        <v>-4.6803498312461469E-3</v>
      </c>
      <c r="E358">
        <v>0</v>
      </c>
      <c r="F358">
        <v>263.06342559999996</v>
      </c>
      <c r="G358">
        <v>3.7051042417478914</v>
      </c>
      <c r="H358">
        <v>270.47363408349577</v>
      </c>
      <c r="I358">
        <v>255.65321711650418</v>
      </c>
    </row>
    <row r="359" spans="1:9" x14ac:dyDescent="0.25">
      <c r="A359" s="1">
        <v>40697</v>
      </c>
      <c r="B359" t="s">
        <v>0</v>
      </c>
      <c r="C359">
        <v>260.56380139999999</v>
      </c>
      <c r="D359">
        <v>9.4306720573791459E-3</v>
      </c>
      <c r="E359">
        <v>1</v>
      </c>
      <c r="F359">
        <v>262.78472030500001</v>
      </c>
      <c r="G359">
        <v>3.6154409367595819</v>
      </c>
      <c r="H359">
        <v>270.01560217851915</v>
      </c>
      <c r="I359">
        <v>255.55383843148084</v>
      </c>
    </row>
    <row r="360" spans="1:9" x14ac:dyDescent="0.25">
      <c r="A360" s="1">
        <v>40700</v>
      </c>
      <c r="B360" t="s">
        <v>0</v>
      </c>
      <c r="C360">
        <v>259.55757399999999</v>
      </c>
      <c r="D360">
        <v>3.8617313479216084E-3</v>
      </c>
      <c r="E360">
        <v>1</v>
      </c>
      <c r="F360">
        <v>262.43004897499998</v>
      </c>
      <c r="G360">
        <v>3.5890995817166269</v>
      </c>
      <c r="H360">
        <v>269.60824813843323</v>
      </c>
      <c r="I360">
        <v>255.25184981156673</v>
      </c>
    </row>
    <row r="361" spans="1:9" x14ac:dyDescent="0.25">
      <c r="A361" s="1">
        <v>40701</v>
      </c>
      <c r="B361" t="s">
        <v>0</v>
      </c>
      <c r="C361">
        <v>258.54634179999999</v>
      </c>
      <c r="D361">
        <v>3.8959841718970412E-3</v>
      </c>
      <c r="E361">
        <v>1</v>
      </c>
      <c r="F361">
        <v>261.965538595</v>
      </c>
      <c r="G361">
        <v>3.5523428457395223</v>
      </c>
      <c r="H361">
        <v>269.07022428647906</v>
      </c>
      <c r="I361">
        <v>254.86085290352096</v>
      </c>
    </row>
    <row r="362" spans="1:9" x14ac:dyDescent="0.25">
      <c r="A362" s="1">
        <v>40702</v>
      </c>
      <c r="B362" t="s">
        <v>0</v>
      </c>
      <c r="C362">
        <v>258.61607450000002</v>
      </c>
      <c r="D362">
        <v>-2.6971064264360596E-4</v>
      </c>
      <c r="E362">
        <v>0</v>
      </c>
      <c r="F362">
        <v>261.38048051500004</v>
      </c>
      <c r="G362">
        <v>3.4383920069089808</v>
      </c>
      <c r="H362">
        <v>268.25726452881798</v>
      </c>
      <c r="I362">
        <v>254.50369650118208</v>
      </c>
    </row>
    <row r="363" spans="1:9" x14ac:dyDescent="0.25">
      <c r="A363" s="1">
        <v>40703</v>
      </c>
      <c r="B363" t="s">
        <v>0</v>
      </c>
      <c r="C363">
        <v>257.40064869999998</v>
      </c>
      <c r="D363">
        <v>4.6997302946072215E-3</v>
      </c>
      <c r="E363">
        <v>1</v>
      </c>
      <c r="F363">
        <v>260.91422757000004</v>
      </c>
      <c r="G363">
        <v>2.9032306855266823</v>
      </c>
      <c r="H363">
        <v>266.72068894105342</v>
      </c>
      <c r="I363">
        <v>255.10776619894668</v>
      </c>
    </row>
    <row r="364" spans="1:9" x14ac:dyDescent="0.25">
      <c r="A364" s="1">
        <v>40704</v>
      </c>
      <c r="B364" t="s">
        <v>0</v>
      </c>
      <c r="C364">
        <v>253.8041154</v>
      </c>
      <c r="D364">
        <v>1.3972510629496235E-2</v>
      </c>
      <c r="E364">
        <v>1</v>
      </c>
      <c r="F364">
        <v>260.27811044500004</v>
      </c>
      <c r="G364">
        <v>2.7860348574511886</v>
      </c>
      <c r="H364">
        <v>265.85018015990244</v>
      </c>
      <c r="I364">
        <v>254.70604073009767</v>
      </c>
    </row>
    <row r="365" spans="1:9" x14ac:dyDescent="0.25">
      <c r="A365" s="1">
        <v>40707</v>
      </c>
      <c r="B365" t="s">
        <v>0</v>
      </c>
      <c r="C365">
        <v>251.42303870000001</v>
      </c>
      <c r="D365">
        <v>9.3815527626389082E-3</v>
      </c>
      <c r="E365">
        <v>1</v>
      </c>
      <c r="F365">
        <v>259.65992702000005</v>
      </c>
      <c r="G365">
        <v>2.8788329701619966</v>
      </c>
      <c r="H365">
        <v>265.41759296032404</v>
      </c>
      <c r="I365">
        <v>253.90226107967607</v>
      </c>
    </row>
    <row r="366" spans="1:9" x14ac:dyDescent="0.25">
      <c r="A366" s="1">
        <v>40708</v>
      </c>
      <c r="B366" t="s">
        <v>0</v>
      </c>
      <c r="C366">
        <v>253.23624340000001</v>
      </c>
      <c r="D366">
        <v>-7.2117682984634132E-3</v>
      </c>
      <c r="E366">
        <v>0</v>
      </c>
      <c r="F366">
        <v>259.40961529999998</v>
      </c>
      <c r="G366">
        <v>3.3001721098098411</v>
      </c>
      <c r="H366">
        <v>266.00995951961966</v>
      </c>
      <c r="I366">
        <v>252.80927108038031</v>
      </c>
    </row>
    <row r="367" spans="1:9" x14ac:dyDescent="0.25">
      <c r="A367" s="1">
        <v>40709</v>
      </c>
      <c r="B367" t="s">
        <v>0</v>
      </c>
      <c r="C367">
        <v>250.53636420000001</v>
      </c>
      <c r="D367">
        <v>1.0661503913305949E-2</v>
      </c>
      <c r="E367">
        <v>1</v>
      </c>
      <c r="F367">
        <v>258.72443270999997</v>
      </c>
      <c r="G367">
        <v>3.6329088441077135</v>
      </c>
      <c r="H367">
        <v>265.99025039821538</v>
      </c>
      <c r="I367">
        <v>251.45861502178454</v>
      </c>
    </row>
    <row r="368" spans="1:9" x14ac:dyDescent="0.25">
      <c r="A368" s="1">
        <v>40710</v>
      </c>
      <c r="B368" t="s">
        <v>0</v>
      </c>
      <c r="C368">
        <v>249.2511749</v>
      </c>
      <c r="D368">
        <v>5.1297515396769421E-3</v>
      </c>
      <c r="E368">
        <v>1</v>
      </c>
      <c r="F368">
        <v>257.99118024500001</v>
      </c>
      <c r="G368">
        <v>3.9454817439446943</v>
      </c>
      <c r="H368">
        <v>265.8821437328894</v>
      </c>
      <c r="I368">
        <v>250.10021675711062</v>
      </c>
    </row>
    <row r="369" spans="1:9" x14ac:dyDescent="0.25">
      <c r="A369" s="1">
        <v>40711</v>
      </c>
      <c r="B369" t="s">
        <v>0</v>
      </c>
      <c r="C369">
        <v>241.60481480000001</v>
      </c>
      <c r="D369">
        <v>3.067732821346866E-2</v>
      </c>
      <c r="E369">
        <v>1</v>
      </c>
      <c r="F369">
        <v>256.839743935</v>
      </c>
      <c r="G369">
        <v>4.3539303101777636</v>
      </c>
      <c r="H369">
        <v>265.54760455535552</v>
      </c>
      <c r="I369">
        <v>248.13188331464448</v>
      </c>
    </row>
    <row r="370" spans="1:9" x14ac:dyDescent="0.25">
      <c r="A370" s="1">
        <v>40714</v>
      </c>
      <c r="B370" t="s">
        <v>0</v>
      </c>
      <c r="C370">
        <v>241.38563740000001</v>
      </c>
      <c r="D370">
        <v>9.071731462861833E-4</v>
      </c>
      <c r="E370">
        <v>1</v>
      </c>
      <c r="F370">
        <v>255.85717541999998</v>
      </c>
      <c r="G370">
        <v>5.3376155430545431</v>
      </c>
      <c r="H370">
        <v>266.53240650610906</v>
      </c>
      <c r="I370">
        <v>245.1819443338909</v>
      </c>
    </row>
    <row r="371" spans="1:9" x14ac:dyDescent="0.25">
      <c r="A371" s="1">
        <v>40715</v>
      </c>
      <c r="B371" t="s">
        <v>0</v>
      </c>
      <c r="C371">
        <v>245.5799346</v>
      </c>
      <c r="D371">
        <v>-1.7375918655216534E-2</v>
      </c>
      <c r="E371">
        <v>0</v>
      </c>
      <c r="F371">
        <v>255.22479441499999</v>
      </c>
      <c r="G371">
        <v>6.1660184018303887</v>
      </c>
      <c r="H371">
        <v>267.55683121866076</v>
      </c>
      <c r="I371">
        <v>242.89275761133922</v>
      </c>
    </row>
    <row r="372" spans="1:9" x14ac:dyDescent="0.25">
      <c r="A372" s="1">
        <v>40716</v>
      </c>
      <c r="B372" t="s">
        <v>0</v>
      </c>
      <c r="C372">
        <v>242.59610369999999</v>
      </c>
      <c r="D372">
        <v>1.2150141276240959E-2</v>
      </c>
      <c r="E372">
        <v>1</v>
      </c>
      <c r="F372">
        <v>254.44645980000004</v>
      </c>
      <c r="G372">
        <v>6.5441519909541785</v>
      </c>
      <c r="H372">
        <v>267.5347637819084</v>
      </c>
      <c r="I372">
        <v>241.35815581809169</v>
      </c>
    </row>
    <row r="373" spans="1:9" x14ac:dyDescent="0.25">
      <c r="A373" s="1">
        <v>40717</v>
      </c>
      <c r="B373" t="s">
        <v>0</v>
      </c>
      <c r="C373">
        <v>239.213774</v>
      </c>
      <c r="D373">
        <v>1.3942225981430656E-2</v>
      </c>
      <c r="E373">
        <v>1</v>
      </c>
      <c r="F373">
        <v>253.46389053499996</v>
      </c>
      <c r="G373">
        <v>7.0797144637690845</v>
      </c>
      <c r="H373">
        <v>267.62331946253812</v>
      </c>
      <c r="I373">
        <v>239.3044616074618</v>
      </c>
    </row>
    <row r="374" spans="1:9" x14ac:dyDescent="0.25">
      <c r="A374" s="1">
        <v>40718</v>
      </c>
      <c r="B374" t="s">
        <v>0</v>
      </c>
      <c r="C374">
        <v>236.55375050000001</v>
      </c>
      <c r="D374">
        <v>1.1119859260278191E-2</v>
      </c>
      <c r="E374">
        <v>1</v>
      </c>
      <c r="F374">
        <v>252.38667617499999</v>
      </c>
      <c r="G374">
        <v>7.7445047301526726</v>
      </c>
      <c r="H374">
        <v>267.87568563530533</v>
      </c>
      <c r="I374">
        <v>236.89766671469465</v>
      </c>
    </row>
    <row r="375" spans="1:9" x14ac:dyDescent="0.25">
      <c r="A375" s="1">
        <v>40721</v>
      </c>
      <c r="B375" t="s">
        <v>0</v>
      </c>
      <c r="C375">
        <v>240.49896279999999</v>
      </c>
      <c r="D375">
        <v>-1.6677868313907711E-2</v>
      </c>
      <c r="E375">
        <v>0</v>
      </c>
      <c r="F375">
        <v>251.43773122500002</v>
      </c>
      <c r="G375">
        <v>8.4723635593338837</v>
      </c>
      <c r="H375">
        <v>268.38245834366779</v>
      </c>
      <c r="I375">
        <v>234.49300410633225</v>
      </c>
    </row>
    <row r="376" spans="1:9" x14ac:dyDescent="0.25">
      <c r="A376" s="1">
        <v>40722</v>
      </c>
      <c r="B376" t="s">
        <v>0</v>
      </c>
      <c r="C376">
        <v>245.90371149999999</v>
      </c>
      <c r="D376">
        <v>-2.24730644867463E-2</v>
      </c>
      <c r="E376">
        <v>0</v>
      </c>
      <c r="F376">
        <v>250.55678184000004</v>
      </c>
      <c r="G376">
        <v>8.6779988390237133</v>
      </c>
      <c r="H376">
        <v>267.91277951804744</v>
      </c>
      <c r="I376">
        <v>233.20078416195261</v>
      </c>
    </row>
    <row r="377" spans="1:9" x14ac:dyDescent="0.25">
      <c r="A377" s="1">
        <v>40723</v>
      </c>
      <c r="B377" t="s">
        <v>0</v>
      </c>
      <c r="C377">
        <v>247.85639739999999</v>
      </c>
      <c r="D377">
        <v>-7.9408557442615345E-3</v>
      </c>
      <c r="E377">
        <v>0</v>
      </c>
      <c r="F377">
        <v>249.85864757000004</v>
      </c>
      <c r="G377">
        <v>8.2747723738588306</v>
      </c>
      <c r="H377">
        <v>266.40819231771769</v>
      </c>
      <c r="I377">
        <v>233.3091028222824</v>
      </c>
    </row>
    <row r="378" spans="1:9" x14ac:dyDescent="0.25">
      <c r="A378" s="1">
        <v>40724</v>
      </c>
      <c r="B378" t="s">
        <v>0</v>
      </c>
      <c r="C378">
        <v>252.24495450000001</v>
      </c>
      <c r="D378">
        <v>-1.7706047316251416E-2</v>
      </c>
      <c r="E378">
        <v>0</v>
      </c>
      <c r="F378">
        <v>249.31867091000004</v>
      </c>
      <c r="G378">
        <v>7.8620151599404888</v>
      </c>
      <c r="H378">
        <v>265.042701229881</v>
      </c>
      <c r="I378">
        <v>233.59464059011907</v>
      </c>
    </row>
    <row r="379" spans="1:9" x14ac:dyDescent="0.25">
      <c r="A379" s="1">
        <v>40725</v>
      </c>
      <c r="B379" t="s">
        <v>0</v>
      </c>
      <c r="C379">
        <v>259.5426205</v>
      </c>
      <c r="D379">
        <v>-2.8930870052348231E-2</v>
      </c>
      <c r="E379">
        <v>0</v>
      </c>
      <c r="F379">
        <v>249.26761186500002</v>
      </c>
      <c r="G379">
        <v>7.2678844140529177</v>
      </c>
      <c r="H379">
        <v>263.80338069310585</v>
      </c>
      <c r="I379">
        <v>234.73184303689419</v>
      </c>
    </row>
    <row r="380" spans="1:9" x14ac:dyDescent="0.25">
      <c r="A380" s="1">
        <v>40729</v>
      </c>
      <c r="B380" t="s">
        <v>0</v>
      </c>
      <c r="C380">
        <v>265.22631519999999</v>
      </c>
      <c r="D380">
        <v>-2.1898887701181969E-2</v>
      </c>
      <c r="E380">
        <v>0</v>
      </c>
      <c r="F380">
        <v>249.55104892499998</v>
      </c>
      <c r="G380">
        <v>7.1972964121917906</v>
      </c>
      <c r="H380">
        <v>263.94564174938358</v>
      </c>
      <c r="I380">
        <v>235.1564561006164</v>
      </c>
    </row>
    <row r="381" spans="1:9" x14ac:dyDescent="0.25">
      <c r="A381" s="1">
        <v>40730</v>
      </c>
      <c r="B381" t="s">
        <v>0</v>
      </c>
      <c r="C381">
        <v>266.68087709999998</v>
      </c>
      <c r="D381">
        <v>-5.4842291908445877E-3</v>
      </c>
      <c r="E381">
        <v>0</v>
      </c>
      <c r="F381">
        <v>249.95777569000001</v>
      </c>
      <c r="G381">
        <v>7.6971211333909526</v>
      </c>
      <c r="H381">
        <v>265.35201795678194</v>
      </c>
      <c r="I381">
        <v>234.5635334232181</v>
      </c>
    </row>
    <row r="382" spans="1:9" x14ac:dyDescent="0.25">
      <c r="A382" s="1">
        <v>40731</v>
      </c>
      <c r="B382" t="s">
        <v>0</v>
      </c>
      <c r="C382">
        <v>272.2798856</v>
      </c>
      <c r="D382">
        <v>-2.0995163061131337E-2</v>
      </c>
      <c r="E382">
        <v>0</v>
      </c>
      <c r="F382">
        <v>250.64096624499999</v>
      </c>
      <c r="G382">
        <v>8.367039842363603</v>
      </c>
      <c r="H382">
        <v>267.37504592972721</v>
      </c>
      <c r="I382">
        <v>233.90688656027277</v>
      </c>
    </row>
    <row r="383" spans="1:9" x14ac:dyDescent="0.25">
      <c r="A383" s="1">
        <v>40732</v>
      </c>
      <c r="B383" t="s">
        <v>0</v>
      </c>
      <c r="C383">
        <v>265.00216330000001</v>
      </c>
      <c r="D383">
        <v>2.6728828256860387E-2</v>
      </c>
      <c r="E383">
        <v>1</v>
      </c>
      <c r="F383">
        <v>251.02104197499997</v>
      </c>
      <c r="G383">
        <v>9.5070414558313665</v>
      </c>
      <c r="H383">
        <v>270.03512488666269</v>
      </c>
      <c r="I383">
        <v>232.00695906333723</v>
      </c>
    </row>
    <row r="384" spans="1:9" x14ac:dyDescent="0.25">
      <c r="A384" s="1">
        <v>40735</v>
      </c>
      <c r="B384" t="s">
        <v>0</v>
      </c>
      <c r="C384">
        <v>262.65596799999997</v>
      </c>
      <c r="D384">
        <v>8.8534948952246287E-3</v>
      </c>
      <c r="E384">
        <v>1</v>
      </c>
      <c r="F384">
        <v>251.46363460499998</v>
      </c>
      <c r="G384">
        <v>9.9155607030546573</v>
      </c>
      <c r="H384">
        <v>271.29475601110931</v>
      </c>
      <c r="I384">
        <v>231.63251319889068</v>
      </c>
    </row>
    <row r="385" spans="1:9" x14ac:dyDescent="0.25">
      <c r="A385" s="1">
        <v>40736</v>
      </c>
      <c r="B385" t="s">
        <v>0</v>
      </c>
      <c r="C385">
        <v>266.00839070000001</v>
      </c>
      <c r="D385">
        <v>-1.2763550455476549E-2</v>
      </c>
      <c r="E385">
        <v>0</v>
      </c>
      <c r="F385">
        <v>252.19290220499997</v>
      </c>
      <c r="G385">
        <v>10.239125895896819</v>
      </c>
      <c r="H385">
        <v>272.67115399679358</v>
      </c>
      <c r="I385">
        <v>231.71465041320633</v>
      </c>
    </row>
    <row r="386" spans="1:9" x14ac:dyDescent="0.25">
      <c r="A386" s="1">
        <v>40737</v>
      </c>
      <c r="B386" t="s">
        <v>0</v>
      </c>
      <c r="C386">
        <v>268.12545999999998</v>
      </c>
      <c r="D386">
        <v>-7.9586560951288386E-3</v>
      </c>
      <c r="E386">
        <v>0</v>
      </c>
      <c r="F386">
        <v>252.937363035</v>
      </c>
      <c r="G386">
        <v>10.719499646270181</v>
      </c>
      <c r="H386">
        <v>274.37636232754039</v>
      </c>
      <c r="I386">
        <v>231.49836374245965</v>
      </c>
    </row>
    <row r="387" spans="1:9" x14ac:dyDescent="0.25">
      <c r="A387" s="1">
        <v>40738</v>
      </c>
      <c r="B387" t="s">
        <v>0</v>
      </c>
      <c r="C387">
        <v>263.48284310000003</v>
      </c>
      <c r="D387">
        <v>1.7315091599283228E-2</v>
      </c>
      <c r="E387">
        <v>1</v>
      </c>
      <c r="F387">
        <v>253.58468697999996</v>
      </c>
      <c r="G387">
        <v>11.263043503131817</v>
      </c>
      <c r="H387">
        <v>276.11077398626361</v>
      </c>
      <c r="I387">
        <v>231.05859997373634</v>
      </c>
    </row>
    <row r="388" spans="1:9" x14ac:dyDescent="0.25">
      <c r="A388" s="1">
        <v>40739</v>
      </c>
      <c r="B388" t="s">
        <v>0</v>
      </c>
      <c r="C388">
        <v>297.69469370000002</v>
      </c>
      <c r="D388">
        <v>-0.12984469955417749</v>
      </c>
      <c r="E388">
        <v>0</v>
      </c>
      <c r="F388">
        <v>256.00686292</v>
      </c>
      <c r="G388">
        <v>11.711410947362241</v>
      </c>
      <c r="H388">
        <v>279.42968481472451</v>
      </c>
      <c r="I388">
        <v>232.58404102527552</v>
      </c>
    </row>
    <row r="389" spans="1:9" x14ac:dyDescent="0.25">
      <c r="A389" s="1">
        <v>40742</v>
      </c>
      <c r="B389" t="s">
        <v>0</v>
      </c>
      <c r="C389">
        <v>296.35966969999998</v>
      </c>
      <c r="D389">
        <v>4.4845408005336996E-3</v>
      </c>
      <c r="E389">
        <v>1</v>
      </c>
      <c r="F389">
        <v>258.74460566499999</v>
      </c>
      <c r="G389">
        <v>15.141472102860856</v>
      </c>
      <c r="H389">
        <v>289.02754987072171</v>
      </c>
      <c r="I389">
        <v>228.46166145927828</v>
      </c>
    </row>
    <row r="390" spans="1:9" x14ac:dyDescent="0.25">
      <c r="A390" s="1">
        <v>40743</v>
      </c>
      <c r="B390" t="s">
        <v>0</v>
      </c>
      <c r="C390">
        <v>300.15047779999998</v>
      </c>
      <c r="D390">
        <v>-1.2791241479778153E-2</v>
      </c>
      <c r="E390">
        <v>0</v>
      </c>
      <c r="F390">
        <v>261.68284768500001</v>
      </c>
      <c r="G390">
        <v>17.145071425423339</v>
      </c>
      <c r="H390">
        <v>295.97299053584669</v>
      </c>
      <c r="I390">
        <v>227.39270483415334</v>
      </c>
    </row>
    <row r="391" spans="1:9" x14ac:dyDescent="0.25">
      <c r="A391" s="1">
        <v>40744</v>
      </c>
      <c r="B391" t="s">
        <v>0</v>
      </c>
      <c r="C391">
        <v>296.56392410000001</v>
      </c>
      <c r="D391">
        <v>1.194918537624253E-2</v>
      </c>
      <c r="E391">
        <v>1</v>
      </c>
      <c r="F391">
        <v>264.23204715999998</v>
      </c>
      <c r="G391">
        <v>18.810661424090203</v>
      </c>
      <c r="H391">
        <v>301.85337000818038</v>
      </c>
      <c r="I391">
        <v>226.61072431181958</v>
      </c>
    </row>
    <row r="392" spans="1:9" x14ac:dyDescent="0.25">
      <c r="A392" s="1">
        <v>40745</v>
      </c>
      <c r="B392" t="s">
        <v>0</v>
      </c>
      <c r="C392">
        <v>302.36218229999997</v>
      </c>
      <c r="D392">
        <v>-1.9551461687716331E-2</v>
      </c>
      <c r="E392">
        <v>0</v>
      </c>
      <c r="F392">
        <v>267.22035109000001</v>
      </c>
      <c r="G392">
        <v>19.940997762535069</v>
      </c>
      <c r="H392">
        <v>307.10234661507013</v>
      </c>
      <c r="I392">
        <v>227.33835556492988</v>
      </c>
    </row>
    <row r="393" spans="1:9" x14ac:dyDescent="0.25">
      <c r="A393" s="1">
        <v>40746</v>
      </c>
      <c r="B393" t="s">
        <v>0</v>
      </c>
      <c r="C393">
        <v>307.96122120000001</v>
      </c>
      <c r="D393">
        <v>-1.8517656068657233E-2</v>
      </c>
      <c r="E393">
        <v>0</v>
      </c>
      <c r="F393">
        <v>270.65772344999999</v>
      </c>
      <c r="G393">
        <v>20.997348822414004</v>
      </c>
      <c r="H393">
        <v>312.65242109482801</v>
      </c>
      <c r="I393">
        <v>228.66302580517197</v>
      </c>
    </row>
    <row r="394" spans="1:9" x14ac:dyDescent="0.25">
      <c r="A394" s="1">
        <v>40749</v>
      </c>
      <c r="B394" t="s">
        <v>0</v>
      </c>
      <c r="C394">
        <v>308.33481840000002</v>
      </c>
      <c r="D394">
        <v>-1.2131306615302058E-3</v>
      </c>
      <c r="E394">
        <v>0</v>
      </c>
      <c r="F394">
        <v>274.246776845</v>
      </c>
      <c r="G394">
        <v>21.769506453082414</v>
      </c>
      <c r="H394">
        <v>317.78578975116483</v>
      </c>
      <c r="I394">
        <v>230.70776393883517</v>
      </c>
    </row>
    <row r="395" spans="1:9" x14ac:dyDescent="0.25">
      <c r="A395" s="1">
        <v>40750</v>
      </c>
      <c r="B395" t="s">
        <v>0</v>
      </c>
      <c r="C395">
        <v>310.09821820000002</v>
      </c>
      <c r="D395">
        <v>-5.7191069407943381E-3</v>
      </c>
      <c r="E395">
        <v>0</v>
      </c>
      <c r="F395">
        <v>277.72673961499993</v>
      </c>
      <c r="G395">
        <v>21.750472849846499</v>
      </c>
      <c r="H395">
        <v>321.22768531469291</v>
      </c>
      <c r="I395">
        <v>234.22579391530692</v>
      </c>
    </row>
    <row r="396" spans="1:9" x14ac:dyDescent="0.25">
      <c r="A396" s="1">
        <v>40751</v>
      </c>
      <c r="B396" t="s">
        <v>0</v>
      </c>
      <c r="C396">
        <v>302.47677579999998</v>
      </c>
      <c r="D396">
        <v>2.4577511100320262E-2</v>
      </c>
      <c r="E396">
        <v>1</v>
      </c>
      <c r="F396">
        <v>280.55539282999996</v>
      </c>
      <c r="G396">
        <v>21.54494398141297</v>
      </c>
      <c r="H396">
        <v>323.64528079282593</v>
      </c>
      <c r="I396">
        <v>237.46550486717402</v>
      </c>
    </row>
    <row r="397" spans="1:9" x14ac:dyDescent="0.25">
      <c r="A397" s="1">
        <v>40752</v>
      </c>
      <c r="B397" t="s">
        <v>0</v>
      </c>
      <c r="C397">
        <v>304.32980670000001</v>
      </c>
      <c r="D397">
        <v>-6.1261923170764692E-3</v>
      </c>
      <c r="E397">
        <v>0</v>
      </c>
      <c r="F397">
        <v>283.37906329499992</v>
      </c>
      <c r="G397">
        <v>20.884159707137197</v>
      </c>
      <c r="H397">
        <v>325.14738270927432</v>
      </c>
      <c r="I397">
        <v>241.61074388072552</v>
      </c>
    </row>
    <row r="398" spans="1:9" x14ac:dyDescent="0.25">
      <c r="A398" s="1">
        <v>40753</v>
      </c>
      <c r="B398" t="s">
        <v>0</v>
      </c>
      <c r="C398">
        <v>300.7183503</v>
      </c>
      <c r="D398">
        <v>1.1866916484983291E-2</v>
      </c>
      <c r="E398">
        <v>1</v>
      </c>
      <c r="F398">
        <v>285.80273308499989</v>
      </c>
      <c r="G398">
        <v>20.021887892276521</v>
      </c>
      <c r="H398">
        <v>325.84650886955291</v>
      </c>
      <c r="I398">
        <v>245.75895730044684</v>
      </c>
    </row>
    <row r="399" spans="1:9" x14ac:dyDescent="0.25">
      <c r="A399" s="1">
        <v>40756</v>
      </c>
      <c r="B399" t="s">
        <v>0</v>
      </c>
      <c r="C399">
        <v>302.25259360000001</v>
      </c>
      <c r="D399">
        <v>-5.1019277622048531E-3</v>
      </c>
      <c r="E399">
        <v>0</v>
      </c>
      <c r="F399">
        <v>287.93823173999988</v>
      </c>
      <c r="G399">
        <v>18.980355790754345</v>
      </c>
      <c r="H399">
        <v>325.89894332150857</v>
      </c>
      <c r="I399">
        <v>249.97752015849119</v>
      </c>
    </row>
    <row r="400" spans="1:9" x14ac:dyDescent="0.25">
      <c r="A400" s="1">
        <v>40757</v>
      </c>
      <c r="B400" t="s">
        <v>0</v>
      </c>
      <c r="C400">
        <v>295.09440869999997</v>
      </c>
      <c r="D400">
        <v>2.3682790657780603E-2</v>
      </c>
      <c r="E400">
        <v>1</v>
      </c>
      <c r="F400">
        <v>289.4316364149999</v>
      </c>
      <c r="G400">
        <v>18.232215289295606</v>
      </c>
      <c r="H400">
        <v>325.89606699359109</v>
      </c>
      <c r="I400">
        <v>252.96720583640868</v>
      </c>
    </row>
    <row r="401" spans="1:9" x14ac:dyDescent="0.25">
      <c r="A401" s="1">
        <v>40758</v>
      </c>
      <c r="B401" t="s">
        <v>0</v>
      </c>
      <c r="C401">
        <v>299.4630684</v>
      </c>
      <c r="D401">
        <v>-1.4804278126602214E-2</v>
      </c>
      <c r="E401">
        <v>0</v>
      </c>
      <c r="F401">
        <v>291.07074597999997</v>
      </c>
      <c r="G401">
        <v>17.53307803161843</v>
      </c>
      <c r="H401">
        <v>326.13690204323683</v>
      </c>
      <c r="I401">
        <v>256.00458991676311</v>
      </c>
    </row>
    <row r="402" spans="1:9" x14ac:dyDescent="0.25">
      <c r="A402" s="1">
        <v>40759</v>
      </c>
      <c r="B402" t="s">
        <v>0</v>
      </c>
      <c r="C402">
        <v>287.68219499999998</v>
      </c>
      <c r="D402">
        <v>3.9339987608301749E-2</v>
      </c>
      <c r="E402">
        <v>1</v>
      </c>
      <c r="F402">
        <v>291.84086144999998</v>
      </c>
      <c r="G402">
        <v>16.786309054727795</v>
      </c>
      <c r="H402">
        <v>325.4134795594556</v>
      </c>
      <c r="I402">
        <v>258.26824334054436</v>
      </c>
    </row>
    <row r="403" spans="1:9" x14ac:dyDescent="0.25">
      <c r="A403" s="1">
        <v>40760</v>
      </c>
      <c r="B403" t="s">
        <v>0</v>
      </c>
      <c r="C403">
        <v>288.43936789999998</v>
      </c>
      <c r="D403">
        <v>-2.6319769285686957E-3</v>
      </c>
      <c r="E403">
        <v>0</v>
      </c>
      <c r="F403">
        <v>293.01272168000003</v>
      </c>
      <c r="G403">
        <v>16.27533608259429</v>
      </c>
      <c r="H403">
        <v>325.56339384518861</v>
      </c>
      <c r="I403">
        <v>260.46204951481144</v>
      </c>
    </row>
    <row r="404" spans="1:9" x14ac:dyDescent="0.25">
      <c r="A404" s="1">
        <v>40763</v>
      </c>
      <c r="B404" t="s">
        <v>0</v>
      </c>
      <c r="C404">
        <v>271.99097560000001</v>
      </c>
      <c r="D404">
        <v>5.7025476167672493E-2</v>
      </c>
      <c r="E404">
        <v>1</v>
      </c>
      <c r="F404">
        <v>293.47947205999998</v>
      </c>
      <c r="G404">
        <v>15.063884947798439</v>
      </c>
      <c r="H404">
        <v>323.60724195559686</v>
      </c>
      <c r="I404">
        <v>263.35170216440309</v>
      </c>
    </row>
    <row r="405" spans="1:9" x14ac:dyDescent="0.25">
      <c r="A405" s="1">
        <v>40764</v>
      </c>
      <c r="B405" t="s">
        <v>0</v>
      </c>
      <c r="C405">
        <v>285.63485839999998</v>
      </c>
      <c r="D405">
        <v>-5.016299812853045E-2</v>
      </c>
      <c r="E405">
        <v>0</v>
      </c>
      <c r="F405">
        <v>294.46079544499997</v>
      </c>
      <c r="G405">
        <v>14.264185191772642</v>
      </c>
      <c r="H405">
        <v>322.98916582854525</v>
      </c>
      <c r="I405">
        <v>265.93242506145469</v>
      </c>
    </row>
    <row r="406" spans="1:9" x14ac:dyDescent="0.25">
      <c r="A406" s="1">
        <v>40765</v>
      </c>
      <c r="B406" t="s">
        <v>0</v>
      </c>
      <c r="C406">
        <v>273.48038839999998</v>
      </c>
      <c r="D406">
        <v>4.2552474400652511E-2</v>
      </c>
      <c r="E406">
        <v>1</v>
      </c>
      <c r="F406">
        <v>294.72854186500001</v>
      </c>
      <c r="G406">
        <v>12.921167082661652</v>
      </c>
      <c r="H406">
        <v>320.57087603032329</v>
      </c>
      <c r="I406">
        <v>268.88620769967673</v>
      </c>
    </row>
    <row r="407" spans="1:9" x14ac:dyDescent="0.25">
      <c r="A407" s="1">
        <v>40766</v>
      </c>
      <c r="B407" t="s">
        <v>0</v>
      </c>
      <c r="C407">
        <v>280.01592210000001</v>
      </c>
      <c r="D407">
        <v>-2.3897632068742632E-2</v>
      </c>
      <c r="E407">
        <v>0</v>
      </c>
      <c r="F407">
        <v>295.55519581500005</v>
      </c>
      <c r="G407">
        <v>12.442986722605015</v>
      </c>
      <c r="H407">
        <v>320.44116926021007</v>
      </c>
      <c r="I407">
        <v>270.66922236979002</v>
      </c>
    </row>
    <row r="408" spans="1:9" x14ac:dyDescent="0.25">
      <c r="A408" s="1">
        <v>40767</v>
      </c>
      <c r="B408" t="s">
        <v>0</v>
      </c>
      <c r="C408">
        <v>280.83284850000001</v>
      </c>
      <c r="D408">
        <v>-2.917428387190986E-3</v>
      </c>
      <c r="E408">
        <v>0</v>
      </c>
      <c r="F408">
        <v>294.712103555</v>
      </c>
      <c r="G408">
        <v>10.778700482132002</v>
      </c>
      <c r="H408">
        <v>316.26950451926399</v>
      </c>
      <c r="I408">
        <v>273.15470259073601</v>
      </c>
    </row>
    <row r="409" spans="1:9" x14ac:dyDescent="0.25">
      <c r="A409" s="1">
        <v>40770</v>
      </c>
      <c r="B409" t="s">
        <v>0</v>
      </c>
      <c r="C409">
        <v>277.57506100000001</v>
      </c>
      <c r="D409">
        <v>1.1600450294189877E-2</v>
      </c>
      <c r="E409">
        <v>1</v>
      </c>
      <c r="F409">
        <v>293.77287311999999</v>
      </c>
      <c r="G409">
        <v>11.236077239810054</v>
      </c>
      <c r="H409">
        <v>316.24502759962007</v>
      </c>
      <c r="I409">
        <v>271.3007186403799</v>
      </c>
    </row>
    <row r="410" spans="1:9" x14ac:dyDescent="0.25">
      <c r="A410" s="1">
        <v>40771</v>
      </c>
      <c r="B410" t="s">
        <v>0</v>
      </c>
      <c r="C410">
        <v>268.4940823</v>
      </c>
      <c r="D410">
        <v>3.2715398376513383E-2</v>
      </c>
      <c r="E410">
        <v>1</v>
      </c>
      <c r="F410">
        <v>292.19005334499997</v>
      </c>
      <c r="G410">
        <v>11.89700089205404</v>
      </c>
      <c r="H410">
        <v>315.98405512910807</v>
      </c>
      <c r="I410">
        <v>268.39605156089186</v>
      </c>
    </row>
    <row r="411" spans="1:9" x14ac:dyDescent="0.25">
      <c r="A411" s="1">
        <v>40772</v>
      </c>
      <c r="B411" t="s">
        <v>0</v>
      </c>
      <c r="C411">
        <v>265.57998400000002</v>
      </c>
      <c r="D411">
        <v>1.0853491723307072E-2</v>
      </c>
      <c r="E411">
        <v>1</v>
      </c>
      <c r="F411">
        <v>290.64085633999997</v>
      </c>
      <c r="G411">
        <v>12.994043862436412</v>
      </c>
      <c r="H411">
        <v>316.62894406487277</v>
      </c>
      <c r="I411">
        <v>264.65276861512717</v>
      </c>
    </row>
    <row r="412" spans="1:9" x14ac:dyDescent="0.25">
      <c r="A412" s="1">
        <v>40773</v>
      </c>
      <c r="B412" t="s">
        <v>0</v>
      </c>
      <c r="C412">
        <v>251.49776109999999</v>
      </c>
      <c r="D412">
        <v>5.3024413541647143E-2</v>
      </c>
      <c r="E412">
        <v>1</v>
      </c>
      <c r="F412">
        <v>288.09763527999996</v>
      </c>
      <c r="G412">
        <v>14.316472288820325</v>
      </c>
      <c r="H412">
        <v>316.73057985764063</v>
      </c>
      <c r="I412">
        <v>259.46469070235929</v>
      </c>
    </row>
    <row r="413" spans="1:9" x14ac:dyDescent="0.25">
      <c r="A413" s="1">
        <v>40774</v>
      </c>
      <c r="B413" t="s">
        <v>0</v>
      </c>
      <c r="C413">
        <v>244.54381520000001</v>
      </c>
      <c r="D413">
        <v>2.7650130440862918E-2</v>
      </c>
      <c r="E413">
        <v>1</v>
      </c>
      <c r="F413">
        <v>284.92676497999992</v>
      </c>
      <c r="G413">
        <v>16.48694852516028</v>
      </c>
      <c r="H413">
        <v>317.90066203032046</v>
      </c>
      <c r="I413">
        <v>251.95286792967937</v>
      </c>
    </row>
    <row r="414" spans="1:9" x14ac:dyDescent="0.25">
      <c r="A414" s="1">
        <v>40777</v>
      </c>
      <c r="B414" t="s">
        <v>0</v>
      </c>
      <c r="C414">
        <v>248.15528710000001</v>
      </c>
      <c r="D414">
        <v>-1.4768199707060094E-2</v>
      </c>
      <c r="E414">
        <v>0</v>
      </c>
      <c r="F414">
        <v>281.9177884149999</v>
      </c>
      <c r="G414">
        <v>18.327117466179704</v>
      </c>
      <c r="H414">
        <v>318.57202334735933</v>
      </c>
      <c r="I414">
        <v>245.2635534826405</v>
      </c>
    </row>
    <row r="415" spans="1:9" x14ac:dyDescent="0.25">
      <c r="A415" s="1">
        <v>40778</v>
      </c>
      <c r="B415" t="s">
        <v>0</v>
      </c>
      <c r="C415">
        <v>258.44172750000001</v>
      </c>
      <c r="D415">
        <v>-4.1451627004242875E-2</v>
      </c>
      <c r="E415">
        <v>0</v>
      </c>
      <c r="F415">
        <v>279.33496387999992</v>
      </c>
      <c r="G415">
        <v>19.095983040644864</v>
      </c>
      <c r="H415">
        <v>317.52692996128962</v>
      </c>
      <c r="I415">
        <v>241.14299779871018</v>
      </c>
    </row>
    <row r="416" spans="1:9" x14ac:dyDescent="0.25">
      <c r="A416" s="1">
        <v>40779</v>
      </c>
      <c r="B416" t="s">
        <v>0</v>
      </c>
      <c r="C416">
        <v>260.66838539999998</v>
      </c>
      <c r="D416">
        <v>-8.6157058364344959E-3</v>
      </c>
      <c r="E416">
        <v>0</v>
      </c>
      <c r="F416">
        <v>277.24454435999996</v>
      </c>
      <c r="G416">
        <v>18.534667452152217</v>
      </c>
      <c r="H416">
        <v>314.31387926430438</v>
      </c>
      <c r="I416">
        <v>240.17520945569552</v>
      </c>
    </row>
    <row r="417" spans="1:9" x14ac:dyDescent="0.25">
      <c r="A417" s="1">
        <v>40780</v>
      </c>
      <c r="B417" t="s">
        <v>0</v>
      </c>
      <c r="C417">
        <v>259.04945550000002</v>
      </c>
      <c r="D417">
        <v>6.2106875657962132E-3</v>
      </c>
      <c r="E417">
        <v>1</v>
      </c>
      <c r="F417">
        <v>274.98052680000001</v>
      </c>
      <c r="G417">
        <v>18.181442467393289</v>
      </c>
      <c r="H417">
        <v>311.34341173478657</v>
      </c>
      <c r="I417">
        <v>238.61764186521344</v>
      </c>
    </row>
    <row r="418" spans="1:9" x14ac:dyDescent="0.25">
      <c r="A418" s="1">
        <v>40781</v>
      </c>
      <c r="B418" t="s">
        <v>0</v>
      </c>
      <c r="C418">
        <v>262.44673920000002</v>
      </c>
      <c r="D418">
        <v>-1.3114421311725175E-2</v>
      </c>
      <c r="E418">
        <v>0</v>
      </c>
      <c r="F418">
        <v>273.06694624500005</v>
      </c>
      <c r="G418">
        <v>17.431224307014787</v>
      </c>
      <c r="H418">
        <v>307.92939485902963</v>
      </c>
      <c r="I418">
        <v>238.20449763097048</v>
      </c>
    </row>
    <row r="419" spans="1:9" x14ac:dyDescent="0.25">
      <c r="A419" s="1">
        <v>40784</v>
      </c>
      <c r="B419" t="s">
        <v>0</v>
      </c>
      <c r="C419">
        <v>268.53393840000001</v>
      </c>
      <c r="D419">
        <v>-2.3194036315921526E-2</v>
      </c>
      <c r="E419">
        <v>0</v>
      </c>
      <c r="F419">
        <v>271.38101348500004</v>
      </c>
      <c r="G419">
        <v>16.555947048900411</v>
      </c>
      <c r="H419">
        <v>304.49290758280085</v>
      </c>
      <c r="I419">
        <v>238.26911938719923</v>
      </c>
    </row>
    <row r="420" spans="1:9" x14ac:dyDescent="0.25">
      <c r="A420" s="1">
        <v>40785</v>
      </c>
      <c r="B420" t="s">
        <v>0</v>
      </c>
      <c r="C420">
        <v>269.34091610000002</v>
      </c>
      <c r="D420">
        <v>-3.0051236905405789E-3</v>
      </c>
      <c r="E420">
        <v>0</v>
      </c>
      <c r="F420">
        <v>270.09333885500007</v>
      </c>
      <c r="G420">
        <v>15.116549127558116</v>
      </c>
      <c r="H420">
        <v>300.32643711011633</v>
      </c>
      <c r="I420">
        <v>239.86024059988384</v>
      </c>
    </row>
    <row r="421" spans="1:9" x14ac:dyDescent="0.25">
      <c r="A421" s="1">
        <v>40786</v>
      </c>
      <c r="B421" t="s">
        <v>0</v>
      </c>
      <c r="C421">
        <v>269.4704327</v>
      </c>
      <c r="D421">
        <v>-4.808649271538885E-4</v>
      </c>
      <c r="E421">
        <v>0</v>
      </c>
      <c r="F421">
        <v>268.59370707000005</v>
      </c>
      <c r="G421">
        <v>14.125671146775435</v>
      </c>
      <c r="H421">
        <v>296.84504936355091</v>
      </c>
      <c r="I421">
        <v>240.34236477644919</v>
      </c>
    </row>
    <row r="422" spans="1:9" x14ac:dyDescent="0.25">
      <c r="A422" s="1">
        <v>40787</v>
      </c>
      <c r="B422" t="s">
        <v>0</v>
      </c>
      <c r="C422">
        <v>265.2562226</v>
      </c>
      <c r="D422">
        <v>1.5638858993823862E-2</v>
      </c>
      <c r="E422">
        <v>1</v>
      </c>
      <c r="F422">
        <v>267.47240844999999</v>
      </c>
      <c r="G422">
        <v>12.376770777851068</v>
      </c>
      <c r="H422">
        <v>292.22595000570215</v>
      </c>
      <c r="I422">
        <v>242.71886689429786</v>
      </c>
    </row>
    <row r="423" spans="1:9" x14ac:dyDescent="0.25">
      <c r="A423" s="1">
        <v>40788</v>
      </c>
      <c r="B423" t="s">
        <v>0</v>
      </c>
      <c r="C423">
        <v>261.44051180000002</v>
      </c>
      <c r="D423">
        <v>1.4385000142876862E-2</v>
      </c>
      <c r="E423">
        <v>1</v>
      </c>
      <c r="F423">
        <v>266.12246564500003</v>
      </c>
      <c r="G423">
        <v>11.611657970785151</v>
      </c>
      <c r="H423">
        <v>289.34578158657035</v>
      </c>
      <c r="I423">
        <v>242.89914970342974</v>
      </c>
    </row>
    <row r="424" spans="1:9" x14ac:dyDescent="0.25">
      <c r="A424" s="1">
        <v>40792</v>
      </c>
      <c r="B424" t="s">
        <v>0</v>
      </c>
      <c r="C424">
        <v>260.1154669</v>
      </c>
      <c r="D424">
        <v>5.0682462747535934E-3</v>
      </c>
      <c r="E424">
        <v>1</v>
      </c>
      <c r="F424">
        <v>265.52869021000004</v>
      </c>
      <c r="G424">
        <v>10.5535301380667</v>
      </c>
      <c r="H424">
        <v>286.63575048613342</v>
      </c>
      <c r="I424">
        <v>244.42162993386663</v>
      </c>
    </row>
    <row r="425" spans="1:9" x14ac:dyDescent="0.25">
      <c r="A425" s="1">
        <v>40793</v>
      </c>
      <c r="B425" t="s">
        <v>0</v>
      </c>
      <c r="C425">
        <v>266.01836980000002</v>
      </c>
      <c r="D425">
        <v>-2.269339447726634E-2</v>
      </c>
      <c r="E425">
        <v>0</v>
      </c>
      <c r="F425">
        <v>264.54786578000005</v>
      </c>
      <c r="G425">
        <v>10.569584080968982</v>
      </c>
      <c r="H425">
        <v>285.68703394193801</v>
      </c>
      <c r="I425">
        <v>243.40869761806209</v>
      </c>
    </row>
    <row r="426" spans="1:9" x14ac:dyDescent="0.25">
      <c r="A426" s="1">
        <v>40794</v>
      </c>
      <c r="B426" t="s">
        <v>0</v>
      </c>
      <c r="C426">
        <v>266.48162739999998</v>
      </c>
      <c r="D426">
        <v>-1.7414496613457672E-3</v>
      </c>
      <c r="E426">
        <v>0</v>
      </c>
      <c r="F426">
        <v>264.19792773000006</v>
      </c>
      <c r="G426">
        <v>9.4717274295323719</v>
      </c>
      <c r="H426">
        <v>283.14138258906479</v>
      </c>
      <c r="I426">
        <v>245.25447287093533</v>
      </c>
    </row>
    <row r="427" spans="1:9" x14ac:dyDescent="0.25">
      <c r="A427" s="1">
        <v>40795</v>
      </c>
      <c r="B427" t="s">
        <v>0</v>
      </c>
      <c r="C427">
        <v>261.44548609999998</v>
      </c>
      <c r="D427">
        <v>1.8898643591817081E-2</v>
      </c>
      <c r="E427">
        <v>1</v>
      </c>
      <c r="F427">
        <v>263.26940593</v>
      </c>
      <c r="G427">
        <v>9.3020607199192309</v>
      </c>
      <c r="H427">
        <v>281.87352736983848</v>
      </c>
      <c r="I427">
        <v>244.66528449016155</v>
      </c>
    </row>
    <row r="428" spans="1:9" x14ac:dyDescent="0.25">
      <c r="A428" s="1">
        <v>40798</v>
      </c>
      <c r="B428" t="s">
        <v>0</v>
      </c>
      <c r="C428">
        <v>264.07064339999999</v>
      </c>
      <c r="D428">
        <v>-1.0040935642682769E-2</v>
      </c>
      <c r="E428">
        <v>0</v>
      </c>
      <c r="F428">
        <v>262.431295675</v>
      </c>
      <c r="G428">
        <v>8.5659095502059923</v>
      </c>
      <c r="H428">
        <v>279.56311477541198</v>
      </c>
      <c r="I428">
        <v>245.29947657458803</v>
      </c>
    </row>
    <row r="429" spans="1:9" x14ac:dyDescent="0.25">
      <c r="A429" s="1">
        <v>40799</v>
      </c>
      <c r="B429" t="s">
        <v>0</v>
      </c>
      <c r="C429">
        <v>263.77178409999999</v>
      </c>
      <c r="D429">
        <v>1.1317399622770932E-3</v>
      </c>
      <c r="E429">
        <v>1</v>
      </c>
      <c r="F429">
        <v>261.74113182999997</v>
      </c>
      <c r="G429">
        <v>7.553452739301763</v>
      </c>
      <c r="H429">
        <v>276.84803730860352</v>
      </c>
      <c r="I429">
        <v>246.63422635139645</v>
      </c>
    </row>
    <row r="430" spans="1:9" x14ac:dyDescent="0.25">
      <c r="A430" s="1">
        <v>40800</v>
      </c>
      <c r="B430" t="s">
        <v>0</v>
      </c>
      <c r="C430">
        <v>265.04201940000002</v>
      </c>
      <c r="D430">
        <v>-4.8156602660671937E-3</v>
      </c>
      <c r="E430">
        <v>0</v>
      </c>
      <c r="F430">
        <v>261.56852868499999</v>
      </c>
      <c r="G430">
        <v>6.6899141933647481</v>
      </c>
      <c r="H430">
        <v>274.9483570717295</v>
      </c>
      <c r="I430">
        <v>248.1887002982705</v>
      </c>
    </row>
    <row r="431" spans="1:9" x14ac:dyDescent="0.25">
      <c r="A431" s="1">
        <v>40801</v>
      </c>
      <c r="B431" t="s">
        <v>0</v>
      </c>
      <c r="C431">
        <v>270.2674313</v>
      </c>
      <c r="D431">
        <v>-1.9715409321998181E-2</v>
      </c>
      <c r="E431">
        <v>0</v>
      </c>
      <c r="F431">
        <v>261.80290105</v>
      </c>
      <c r="G431">
        <v>6.5585802246908882</v>
      </c>
      <c r="H431">
        <v>274.9200614993818</v>
      </c>
      <c r="I431">
        <v>248.68574060061823</v>
      </c>
    </row>
    <row r="432" spans="1:9" x14ac:dyDescent="0.25">
      <c r="A432" s="1">
        <v>40802</v>
      </c>
      <c r="B432" t="s">
        <v>0</v>
      </c>
      <c r="C432">
        <v>272.31974179999997</v>
      </c>
      <c r="D432">
        <v>-7.5936286149176713E-3</v>
      </c>
      <c r="E432">
        <v>0</v>
      </c>
      <c r="F432">
        <v>262.844000085</v>
      </c>
      <c r="G432">
        <v>6.8533172698689153</v>
      </c>
      <c r="H432">
        <v>276.55063462473782</v>
      </c>
      <c r="I432">
        <v>249.13736554526218</v>
      </c>
    </row>
    <row r="433" spans="1:9" x14ac:dyDescent="0.25">
      <c r="A433" s="1">
        <v>40805</v>
      </c>
      <c r="B433" t="s">
        <v>0</v>
      </c>
      <c r="C433">
        <v>272.31476739999999</v>
      </c>
      <c r="D433">
        <v>1.8266762325420601E-5</v>
      </c>
      <c r="E433">
        <v>1</v>
      </c>
      <c r="F433">
        <v>264.23254769499999</v>
      </c>
      <c r="G433">
        <v>6.8519084322510491</v>
      </c>
      <c r="H433">
        <v>277.93636455950207</v>
      </c>
      <c r="I433">
        <v>250.52873083049789</v>
      </c>
    </row>
    <row r="434" spans="1:9" x14ac:dyDescent="0.25">
      <c r="A434" s="1">
        <v>40806</v>
      </c>
      <c r="B434" t="s">
        <v>0</v>
      </c>
      <c r="C434">
        <v>272.29483959999999</v>
      </c>
      <c r="D434">
        <v>7.3179285098164449E-5</v>
      </c>
      <c r="E434">
        <v>1</v>
      </c>
      <c r="F434">
        <v>265.43952532000003</v>
      </c>
      <c r="G434">
        <v>5.6823629377412033</v>
      </c>
      <c r="H434">
        <v>276.80425119548244</v>
      </c>
      <c r="I434">
        <v>254.07479944451762</v>
      </c>
    </row>
    <row r="435" spans="1:9" x14ac:dyDescent="0.25">
      <c r="A435" s="1">
        <v>40807</v>
      </c>
      <c r="B435" t="s">
        <v>0</v>
      </c>
      <c r="C435">
        <v>268.59372230000002</v>
      </c>
      <c r="D435">
        <v>1.359231524709352E-2</v>
      </c>
      <c r="E435">
        <v>1</v>
      </c>
      <c r="F435">
        <v>265.94712505999996</v>
      </c>
      <c r="G435">
        <v>4.4675975875022536</v>
      </c>
      <c r="H435">
        <v>274.88232023500444</v>
      </c>
      <c r="I435">
        <v>257.01192988499548</v>
      </c>
    </row>
    <row r="436" spans="1:9" x14ac:dyDescent="0.25">
      <c r="A436" s="1">
        <v>40808</v>
      </c>
      <c r="B436" t="s">
        <v>0</v>
      </c>
      <c r="C436">
        <v>259.35829389999998</v>
      </c>
      <c r="D436">
        <v>3.4384379206319392E-2</v>
      </c>
      <c r="E436">
        <v>1</v>
      </c>
      <c r="F436">
        <v>265.88162048499998</v>
      </c>
      <c r="G436">
        <v>4.182988557724971</v>
      </c>
      <c r="H436">
        <v>274.24759760044992</v>
      </c>
      <c r="I436">
        <v>257.51564336955005</v>
      </c>
    </row>
    <row r="437" spans="1:9" x14ac:dyDescent="0.25">
      <c r="A437" s="1">
        <v>40809</v>
      </c>
      <c r="B437" t="s">
        <v>0</v>
      </c>
      <c r="C437">
        <v>261.7742523</v>
      </c>
      <c r="D437">
        <v>-9.3151383889482874E-3</v>
      </c>
      <c r="E437">
        <v>0</v>
      </c>
      <c r="F437">
        <v>266.01786032500002</v>
      </c>
      <c r="G437">
        <v>4.2760674751710717</v>
      </c>
      <c r="H437">
        <v>274.56999527534214</v>
      </c>
      <c r="I437">
        <v>257.46572537465789</v>
      </c>
    </row>
    <row r="438" spans="1:9" x14ac:dyDescent="0.25">
      <c r="A438" s="1">
        <v>40812</v>
      </c>
      <c r="B438" t="s">
        <v>0</v>
      </c>
      <c r="C438">
        <v>264.9523585</v>
      </c>
      <c r="D438">
        <v>-1.2140637102681172E-2</v>
      </c>
      <c r="E438">
        <v>0</v>
      </c>
      <c r="F438">
        <v>266.14314129000002</v>
      </c>
      <c r="G438">
        <v>4.09547622818706</v>
      </c>
      <c r="H438">
        <v>274.33409374637415</v>
      </c>
      <c r="I438">
        <v>257.95218883362588</v>
      </c>
    </row>
    <row r="439" spans="1:9" x14ac:dyDescent="0.25">
      <c r="A439" s="1">
        <v>40813</v>
      </c>
      <c r="B439" t="s">
        <v>0</v>
      </c>
      <c r="C439">
        <v>268.66345489999998</v>
      </c>
      <c r="D439">
        <v>-1.4006655464438803E-2</v>
      </c>
      <c r="E439">
        <v>0</v>
      </c>
      <c r="F439">
        <v>266.14961711499996</v>
      </c>
      <c r="G439">
        <v>4.0200368448628589</v>
      </c>
      <c r="H439">
        <v>274.18969080472567</v>
      </c>
      <c r="I439">
        <v>258.10954342527424</v>
      </c>
    </row>
    <row r="440" spans="1:9" x14ac:dyDescent="0.25">
      <c r="A440" s="1">
        <v>40814</v>
      </c>
      <c r="B440" t="s">
        <v>0</v>
      </c>
      <c r="C440">
        <v>263.43303830000002</v>
      </c>
      <c r="D440">
        <v>1.9468284593998034E-2</v>
      </c>
      <c r="E440">
        <v>1</v>
      </c>
      <c r="F440">
        <v>265.854223225</v>
      </c>
      <c r="G440">
        <v>4.0348077284133055</v>
      </c>
      <c r="H440">
        <v>273.92383868182662</v>
      </c>
      <c r="I440">
        <v>257.78460776817337</v>
      </c>
    </row>
    <row r="441" spans="1:9" x14ac:dyDescent="0.25">
      <c r="A441" s="1">
        <v>40815</v>
      </c>
      <c r="B441" t="s">
        <v>0</v>
      </c>
      <c r="C441">
        <v>262.76555669999999</v>
      </c>
      <c r="D441">
        <v>2.5337808966842505E-3</v>
      </c>
      <c r="E441">
        <v>1</v>
      </c>
      <c r="F441">
        <v>265.518979425</v>
      </c>
      <c r="G441">
        <v>4.009653011486872</v>
      </c>
      <c r="H441">
        <v>273.53828544797375</v>
      </c>
      <c r="I441">
        <v>257.49967340202625</v>
      </c>
    </row>
    <row r="442" spans="1:9" x14ac:dyDescent="0.25">
      <c r="A442" s="1">
        <v>40816</v>
      </c>
      <c r="B442" t="s">
        <v>0</v>
      </c>
      <c r="C442">
        <v>256.55878969999998</v>
      </c>
      <c r="D442">
        <v>2.362093068037183E-2</v>
      </c>
      <c r="E442">
        <v>1</v>
      </c>
      <c r="F442">
        <v>265.08410777999995</v>
      </c>
      <c r="G442">
        <v>3.9830639344671197</v>
      </c>
      <c r="H442">
        <v>273.05023564893418</v>
      </c>
      <c r="I442">
        <v>257.11797991106573</v>
      </c>
    </row>
    <row r="443" spans="1:9" x14ac:dyDescent="0.25">
      <c r="A443" s="1">
        <v>40819</v>
      </c>
      <c r="B443" t="s">
        <v>0</v>
      </c>
      <c r="C443">
        <v>246.83523149999999</v>
      </c>
      <c r="D443">
        <v>3.7899922319441726E-2</v>
      </c>
      <c r="E443">
        <v>1</v>
      </c>
      <c r="F443">
        <v>264.35384376500002</v>
      </c>
      <c r="G443">
        <v>4.4755619848631429</v>
      </c>
      <c r="H443">
        <v>273.30496773472629</v>
      </c>
      <c r="I443">
        <v>255.40271979527373</v>
      </c>
    </row>
    <row r="444" spans="1:9" x14ac:dyDescent="0.25">
      <c r="A444" s="1">
        <v>40820</v>
      </c>
      <c r="B444" t="s">
        <v>0</v>
      </c>
      <c r="C444">
        <v>250.0133222</v>
      </c>
      <c r="D444">
        <v>-1.2875352844433851E-2</v>
      </c>
      <c r="E444">
        <v>0</v>
      </c>
      <c r="F444">
        <v>263.84873653000005</v>
      </c>
      <c r="G444">
        <v>5.9335067225762321</v>
      </c>
      <c r="H444">
        <v>275.71574997515251</v>
      </c>
      <c r="I444">
        <v>251.9817230848476</v>
      </c>
    </row>
    <row r="445" spans="1:9" x14ac:dyDescent="0.25">
      <c r="A445" s="1">
        <v>40821</v>
      </c>
      <c r="B445" t="s">
        <v>0</v>
      </c>
      <c r="C445">
        <v>251.40810020000001</v>
      </c>
      <c r="D445">
        <v>-5.5788147116586024E-3</v>
      </c>
      <c r="E445">
        <v>0</v>
      </c>
      <c r="F445">
        <v>263.11822305000004</v>
      </c>
      <c r="G445">
        <v>6.6793877974664335</v>
      </c>
      <c r="H445">
        <v>276.47699864493291</v>
      </c>
      <c r="I445">
        <v>249.75944745506717</v>
      </c>
    </row>
    <row r="446" spans="1:9" x14ac:dyDescent="0.25">
      <c r="A446" s="1">
        <v>40822</v>
      </c>
      <c r="B446" t="s">
        <v>0</v>
      </c>
      <c r="C446">
        <v>256.39442179999998</v>
      </c>
      <c r="D446">
        <v>-1.9833575752067067E-2</v>
      </c>
      <c r="E446">
        <v>0</v>
      </c>
      <c r="F446">
        <v>262.61386277000008</v>
      </c>
      <c r="G446">
        <v>7.1627094692241249</v>
      </c>
      <c r="H446">
        <v>276.93928170844833</v>
      </c>
      <c r="I446">
        <v>248.28844383155183</v>
      </c>
    </row>
    <row r="447" spans="1:9" x14ac:dyDescent="0.25">
      <c r="A447" s="1">
        <v>40823</v>
      </c>
      <c r="B447" t="s">
        <v>0</v>
      </c>
      <c r="C447">
        <v>256.59864579999999</v>
      </c>
      <c r="D447">
        <v>-7.9652278924896114E-4</v>
      </c>
      <c r="E447">
        <v>0</v>
      </c>
      <c r="F447">
        <v>262.37152075500001</v>
      </c>
      <c r="G447">
        <v>7.2490846822243071</v>
      </c>
      <c r="H447">
        <v>276.86969011944859</v>
      </c>
      <c r="I447">
        <v>247.87335139055139</v>
      </c>
    </row>
    <row r="448" spans="1:9" x14ac:dyDescent="0.25">
      <c r="A448" s="1">
        <v>40826</v>
      </c>
      <c r="B448" t="s">
        <v>0</v>
      </c>
      <c r="C448">
        <v>267.58249009999997</v>
      </c>
      <c r="D448">
        <v>-4.2805542740709149E-2</v>
      </c>
      <c r="E448">
        <v>0</v>
      </c>
      <c r="F448">
        <v>262.54711309000004</v>
      </c>
      <c r="G448">
        <v>7.362301858207128</v>
      </c>
      <c r="H448">
        <v>277.2717168064143</v>
      </c>
      <c r="I448">
        <v>247.82250937358577</v>
      </c>
    </row>
    <row r="449" spans="1:9" x14ac:dyDescent="0.25">
      <c r="A449" s="1">
        <v>40827</v>
      </c>
      <c r="B449" t="s">
        <v>0</v>
      </c>
      <c r="C449">
        <v>270.57626970000001</v>
      </c>
      <c r="D449">
        <v>-1.1188249271771162E-2</v>
      </c>
      <c r="E449">
        <v>0</v>
      </c>
      <c r="F449">
        <v>262.88733737000001</v>
      </c>
      <c r="G449">
        <v>7.4478812465981914</v>
      </c>
      <c r="H449">
        <v>277.78309986319641</v>
      </c>
      <c r="I449">
        <v>247.99157487680364</v>
      </c>
    </row>
    <row r="450" spans="1:9" x14ac:dyDescent="0.25">
      <c r="A450" s="1">
        <v>40828</v>
      </c>
      <c r="B450" t="s">
        <v>0</v>
      </c>
      <c r="C450">
        <v>273.2263595</v>
      </c>
      <c r="D450">
        <v>-9.7942432384712161E-3</v>
      </c>
      <c r="E450">
        <v>0</v>
      </c>
      <c r="F450">
        <v>263.29655437500003</v>
      </c>
      <c r="G450">
        <v>7.6521412257266777</v>
      </c>
      <c r="H450">
        <v>278.60083682645336</v>
      </c>
      <c r="I450">
        <v>247.99227192354667</v>
      </c>
    </row>
    <row r="451" spans="1:9" x14ac:dyDescent="0.25">
      <c r="A451" s="1">
        <v>40829</v>
      </c>
      <c r="B451" t="s">
        <v>0</v>
      </c>
      <c r="C451">
        <v>278.45177139999998</v>
      </c>
      <c r="D451">
        <v>-1.9124845456208565E-2</v>
      </c>
      <c r="E451">
        <v>0</v>
      </c>
      <c r="F451">
        <v>263.7057713800001</v>
      </c>
      <c r="G451">
        <v>7.9687165201803944</v>
      </c>
      <c r="H451">
        <v>279.64320442036092</v>
      </c>
      <c r="I451">
        <v>247.76833833963931</v>
      </c>
    </row>
    <row r="452" spans="1:9" x14ac:dyDescent="0.25">
      <c r="A452" s="1">
        <v>40830</v>
      </c>
      <c r="B452" t="s">
        <v>0</v>
      </c>
      <c r="C452">
        <v>294.73576550000001</v>
      </c>
      <c r="D452">
        <v>-5.8480483058618568E-2</v>
      </c>
      <c r="E452">
        <v>0</v>
      </c>
      <c r="F452">
        <v>264.82657256499999</v>
      </c>
      <c r="G452">
        <v>8.5718198219222099</v>
      </c>
      <c r="H452">
        <v>281.97021220884443</v>
      </c>
      <c r="I452">
        <v>247.68293292115558</v>
      </c>
    </row>
    <row r="453" spans="1:9" x14ac:dyDescent="0.25">
      <c r="A453" s="1">
        <v>40833</v>
      </c>
      <c r="B453" t="s">
        <v>0</v>
      </c>
      <c r="C453">
        <v>290.11805129999999</v>
      </c>
      <c r="D453">
        <v>1.566730183615949E-2</v>
      </c>
      <c r="E453">
        <v>1</v>
      </c>
      <c r="F453">
        <v>265.71673676</v>
      </c>
      <c r="G453">
        <v>10.779104749258806</v>
      </c>
      <c r="H453">
        <v>287.27494625851762</v>
      </c>
      <c r="I453">
        <v>244.15852726148239</v>
      </c>
    </row>
    <row r="454" spans="1:9" x14ac:dyDescent="0.25">
      <c r="A454" s="1">
        <v>40834</v>
      </c>
      <c r="B454" t="s">
        <v>0</v>
      </c>
      <c r="C454">
        <v>294.15293960000002</v>
      </c>
      <c r="D454">
        <v>-1.3907746456726714E-2</v>
      </c>
      <c r="E454">
        <v>0</v>
      </c>
      <c r="F454">
        <v>266.80964175999998</v>
      </c>
      <c r="G454">
        <v>12.040683023906929</v>
      </c>
      <c r="H454">
        <v>290.89100780781382</v>
      </c>
      <c r="I454">
        <v>242.72827571218613</v>
      </c>
    </row>
    <row r="455" spans="1:9" x14ac:dyDescent="0.25">
      <c r="A455" s="1">
        <v>40835</v>
      </c>
      <c r="B455" t="s">
        <v>0</v>
      </c>
      <c r="C455">
        <v>289.2662431</v>
      </c>
      <c r="D455">
        <v>1.6612774656085835E-2</v>
      </c>
      <c r="E455">
        <v>1</v>
      </c>
      <c r="F455">
        <v>267.84326779999998</v>
      </c>
      <c r="G455">
        <v>13.487952311003962</v>
      </c>
      <c r="H455">
        <v>294.81917242200791</v>
      </c>
      <c r="I455">
        <v>240.86736317799205</v>
      </c>
    </row>
    <row r="456" spans="1:9" x14ac:dyDescent="0.25">
      <c r="A456" s="1">
        <v>40836</v>
      </c>
      <c r="B456" t="s">
        <v>0</v>
      </c>
      <c r="C456">
        <v>290.74570720000003</v>
      </c>
      <c r="D456">
        <v>-5.1145411374135885E-3</v>
      </c>
      <c r="E456">
        <v>0</v>
      </c>
      <c r="F456">
        <v>269.41263846499999</v>
      </c>
      <c r="G456">
        <v>14.398153224128144</v>
      </c>
      <c r="H456">
        <v>298.20894491325629</v>
      </c>
      <c r="I456">
        <v>240.61633201674368</v>
      </c>
    </row>
    <row r="457" spans="1:9" x14ac:dyDescent="0.25">
      <c r="A457" s="1">
        <v>40837</v>
      </c>
      <c r="B457" t="s">
        <v>0</v>
      </c>
      <c r="C457">
        <v>294.14299089999997</v>
      </c>
      <c r="D457">
        <v>-1.1684725228506988E-2</v>
      </c>
      <c r="E457">
        <v>0</v>
      </c>
      <c r="F457">
        <v>271.0310753949999</v>
      </c>
      <c r="G457">
        <v>15.087301057938882</v>
      </c>
      <c r="H457">
        <v>301.20567751087765</v>
      </c>
      <c r="I457">
        <v>240.85647327912213</v>
      </c>
    </row>
    <row r="458" spans="1:9" x14ac:dyDescent="0.25">
      <c r="A458" s="1">
        <v>40840</v>
      </c>
      <c r="B458" t="s">
        <v>0</v>
      </c>
      <c r="C458">
        <v>297.09691429999998</v>
      </c>
      <c r="D458">
        <v>-1.0042474209437326E-2</v>
      </c>
      <c r="E458">
        <v>0</v>
      </c>
      <c r="F458">
        <v>272.63830318499998</v>
      </c>
      <c r="G458">
        <v>15.894446439141531</v>
      </c>
      <c r="H458">
        <v>304.42719606328302</v>
      </c>
      <c r="I458">
        <v>240.84941030671692</v>
      </c>
    </row>
    <row r="459" spans="1:9" x14ac:dyDescent="0.25">
      <c r="A459" s="1">
        <v>40841</v>
      </c>
      <c r="B459" t="s">
        <v>0</v>
      </c>
      <c r="C459">
        <v>290.49167840000001</v>
      </c>
      <c r="D459">
        <v>2.22325967792792E-2</v>
      </c>
      <c r="E459">
        <v>1</v>
      </c>
      <c r="F459">
        <v>273.72971436</v>
      </c>
      <c r="G459">
        <v>16.756553988166836</v>
      </c>
      <c r="H459">
        <v>307.24282233633369</v>
      </c>
      <c r="I459">
        <v>240.21660638366632</v>
      </c>
    </row>
    <row r="460" spans="1:9" x14ac:dyDescent="0.25">
      <c r="A460" s="1">
        <v>40842</v>
      </c>
      <c r="B460" t="s">
        <v>0</v>
      </c>
      <c r="C460">
        <v>292.06077299999998</v>
      </c>
      <c r="D460">
        <v>-5.4015130782485475E-3</v>
      </c>
      <c r="E460">
        <v>0</v>
      </c>
      <c r="F460">
        <v>275.16110109499999</v>
      </c>
      <c r="G460">
        <v>17.192899471048928</v>
      </c>
      <c r="H460">
        <v>309.54690003709783</v>
      </c>
      <c r="I460">
        <v>240.77530215290213</v>
      </c>
    </row>
    <row r="461" spans="1:9" x14ac:dyDescent="0.25">
      <c r="A461" s="1">
        <v>40843</v>
      </c>
      <c r="B461" t="s">
        <v>0</v>
      </c>
      <c r="C461">
        <v>298.21770479999998</v>
      </c>
      <c r="D461">
        <v>-2.1080995358455739E-2</v>
      </c>
      <c r="E461">
        <v>0</v>
      </c>
      <c r="F461">
        <v>276.93370850000002</v>
      </c>
      <c r="G461">
        <v>17.496871203518491</v>
      </c>
      <c r="H461">
        <v>311.92745090703698</v>
      </c>
      <c r="I461">
        <v>241.93996609296303</v>
      </c>
    </row>
    <row r="462" spans="1:9" x14ac:dyDescent="0.25">
      <c r="A462" s="1">
        <v>40844</v>
      </c>
      <c r="B462" t="s">
        <v>0</v>
      </c>
      <c r="C462">
        <v>298.94997560000002</v>
      </c>
      <c r="D462">
        <v>-2.4554906976134625E-3</v>
      </c>
      <c r="E462">
        <v>0</v>
      </c>
      <c r="F462">
        <v>279.05326779500001</v>
      </c>
      <c r="G462">
        <v>17.979060936852736</v>
      </c>
      <c r="H462">
        <v>315.01138966870548</v>
      </c>
      <c r="I462">
        <v>243.09514592129455</v>
      </c>
    </row>
    <row r="463" spans="1:9" x14ac:dyDescent="0.25">
      <c r="A463" s="1">
        <v>40847</v>
      </c>
      <c r="B463" t="s">
        <v>0</v>
      </c>
      <c r="C463">
        <v>295.2139765</v>
      </c>
      <c r="D463">
        <v>1.2497071098606956E-2</v>
      </c>
      <c r="E463">
        <v>1</v>
      </c>
      <c r="F463">
        <v>281.47220504499995</v>
      </c>
      <c r="G463">
        <v>17.988656465285473</v>
      </c>
      <c r="H463">
        <v>317.44951797557087</v>
      </c>
      <c r="I463">
        <v>245.49489211442901</v>
      </c>
    </row>
    <row r="464" spans="1:9" x14ac:dyDescent="0.25">
      <c r="A464" s="1">
        <v>40848</v>
      </c>
      <c r="B464" t="s">
        <v>0</v>
      </c>
      <c r="C464">
        <v>288.24509260000002</v>
      </c>
      <c r="D464">
        <v>2.3606212627944396E-2</v>
      </c>
      <c r="E464">
        <v>1</v>
      </c>
      <c r="F464">
        <v>283.38379356500002</v>
      </c>
      <c r="G464">
        <v>16.634354493459437</v>
      </c>
      <c r="H464">
        <v>316.65250255191887</v>
      </c>
      <c r="I464">
        <v>250.11508457808114</v>
      </c>
    </row>
    <row r="465" spans="1:9" x14ac:dyDescent="0.25">
      <c r="A465" s="1">
        <v>40849</v>
      </c>
      <c r="B465" t="s">
        <v>0</v>
      </c>
      <c r="C465">
        <v>291.31855350000001</v>
      </c>
      <c r="D465">
        <v>-1.0662665137772361E-2</v>
      </c>
      <c r="E465">
        <v>0</v>
      </c>
      <c r="F465">
        <v>285.37931622999997</v>
      </c>
      <c r="G465">
        <v>15.039483155343904</v>
      </c>
      <c r="H465">
        <v>315.45828254068778</v>
      </c>
      <c r="I465">
        <v>255.30034991931217</v>
      </c>
    </row>
    <row r="466" spans="1:9" x14ac:dyDescent="0.25">
      <c r="A466" s="1">
        <v>40850</v>
      </c>
      <c r="B466" t="s">
        <v>0</v>
      </c>
      <c r="C466">
        <v>297.6349098</v>
      </c>
      <c r="D466">
        <v>-2.1681956827373835E-2</v>
      </c>
      <c r="E466">
        <v>0</v>
      </c>
      <c r="F466">
        <v>287.44134063000001</v>
      </c>
      <c r="G466">
        <v>13.209827752309643</v>
      </c>
      <c r="H466">
        <v>313.86099613461931</v>
      </c>
      <c r="I466">
        <v>261.02168512538071</v>
      </c>
    </row>
    <row r="467" spans="1:9" x14ac:dyDescent="0.25">
      <c r="A467" s="1">
        <v>40851</v>
      </c>
      <c r="B467" t="s">
        <v>0</v>
      </c>
      <c r="C467">
        <v>296.95744910000002</v>
      </c>
      <c r="D467">
        <v>2.2761466403763342E-3</v>
      </c>
      <c r="E467">
        <v>1</v>
      </c>
      <c r="F467">
        <v>289.45928079499998</v>
      </c>
      <c r="G467">
        <v>11.64351819402359</v>
      </c>
      <c r="H467">
        <v>312.74631718304715</v>
      </c>
      <c r="I467">
        <v>266.17224440695281</v>
      </c>
    </row>
    <row r="468" spans="1:9" x14ac:dyDescent="0.25">
      <c r="A468" s="1">
        <v>40854</v>
      </c>
      <c r="B468" t="s">
        <v>0</v>
      </c>
      <c r="C468">
        <v>303.02969430000002</v>
      </c>
      <c r="D468">
        <v>-2.0448199627264366E-2</v>
      </c>
      <c r="E468">
        <v>0</v>
      </c>
      <c r="F468">
        <v>291.23164100500003</v>
      </c>
      <c r="G468">
        <v>9.3558984833806385</v>
      </c>
      <c r="H468">
        <v>309.94343797176128</v>
      </c>
      <c r="I468">
        <v>272.51984403823877</v>
      </c>
    </row>
    <row r="469" spans="1:9" x14ac:dyDescent="0.25">
      <c r="A469" s="1">
        <v>40855</v>
      </c>
      <c r="B469" t="s">
        <v>0</v>
      </c>
      <c r="C469">
        <v>305.02719519999999</v>
      </c>
      <c r="D469">
        <v>-6.5917662116058082E-3</v>
      </c>
      <c r="E469">
        <v>0</v>
      </c>
      <c r="F469">
        <v>292.95418727999999</v>
      </c>
      <c r="G469">
        <v>8.336401397008796</v>
      </c>
      <c r="H469">
        <v>309.62699007401756</v>
      </c>
      <c r="I469">
        <v>276.28138448598241</v>
      </c>
    </row>
    <row r="470" spans="1:9" x14ac:dyDescent="0.25">
      <c r="A470" s="1">
        <v>40856</v>
      </c>
      <c r="B470" t="s">
        <v>0</v>
      </c>
      <c r="C470">
        <v>299.35347969999998</v>
      </c>
      <c r="D470">
        <v>1.860068737897248E-2</v>
      </c>
      <c r="E470">
        <v>1</v>
      </c>
      <c r="F470">
        <v>294.26054328999999</v>
      </c>
      <c r="G470">
        <v>7.3110512601040378</v>
      </c>
      <c r="H470">
        <v>308.88264581020809</v>
      </c>
      <c r="I470">
        <v>279.63844076979188</v>
      </c>
    </row>
    <row r="471" spans="1:9" x14ac:dyDescent="0.25">
      <c r="A471" s="1">
        <v>40857</v>
      </c>
      <c r="B471" t="s">
        <v>0</v>
      </c>
      <c r="C471">
        <v>296.42943270000001</v>
      </c>
      <c r="D471">
        <v>9.7678737622503512E-3</v>
      </c>
      <c r="E471">
        <v>1</v>
      </c>
      <c r="F471">
        <v>295.15942635499994</v>
      </c>
      <c r="G471">
        <v>5.7822588121470986</v>
      </c>
      <c r="H471">
        <v>306.72394397929412</v>
      </c>
      <c r="I471">
        <v>283.59490873070575</v>
      </c>
    </row>
    <row r="472" spans="1:9" x14ac:dyDescent="0.25">
      <c r="A472" s="1">
        <v>40858</v>
      </c>
      <c r="B472" t="s">
        <v>0</v>
      </c>
      <c r="C472">
        <v>303.03964300000001</v>
      </c>
      <c r="D472">
        <v>-2.2299439835617933E-2</v>
      </c>
      <c r="E472">
        <v>0</v>
      </c>
      <c r="F472">
        <v>295.57462022999999</v>
      </c>
      <c r="G472">
        <v>4.4418759579191978</v>
      </c>
      <c r="H472">
        <v>304.45837214583838</v>
      </c>
      <c r="I472">
        <v>286.69086831416161</v>
      </c>
    </row>
    <row r="473" spans="1:9" x14ac:dyDescent="0.25">
      <c r="A473" s="1">
        <v>40861</v>
      </c>
      <c r="B473" t="s">
        <v>0</v>
      </c>
      <c r="C473">
        <v>305.35596190000001</v>
      </c>
      <c r="D473">
        <v>-7.6436167792079887E-3</v>
      </c>
      <c r="E473">
        <v>0</v>
      </c>
      <c r="F473">
        <v>296.33651576</v>
      </c>
      <c r="G473">
        <v>4.8022797928799754</v>
      </c>
      <c r="H473">
        <v>305.94107534575994</v>
      </c>
      <c r="I473">
        <v>286.73195617424005</v>
      </c>
    </row>
    <row r="474" spans="1:9" x14ac:dyDescent="0.25">
      <c r="A474" s="1">
        <v>40862</v>
      </c>
      <c r="B474" t="s">
        <v>0</v>
      </c>
      <c r="C474">
        <v>307.12934130000002</v>
      </c>
      <c r="D474">
        <v>-5.8075807296035968E-3</v>
      </c>
      <c r="E474">
        <v>0</v>
      </c>
      <c r="F474">
        <v>296.98533584500001</v>
      </c>
      <c r="G474">
        <v>5.061315454840436</v>
      </c>
      <c r="H474">
        <v>307.10796675468089</v>
      </c>
      <c r="I474">
        <v>286.86270493531913</v>
      </c>
    </row>
    <row r="475" spans="1:9" x14ac:dyDescent="0.25">
      <c r="A475" s="1">
        <v>40863</v>
      </c>
      <c r="B475" t="s">
        <v>0</v>
      </c>
      <c r="C475">
        <v>304.59384499999999</v>
      </c>
      <c r="D475">
        <v>8.2554675149822086E-3</v>
      </c>
      <c r="E475">
        <v>1</v>
      </c>
      <c r="F475">
        <v>297.75171594000005</v>
      </c>
      <c r="G475">
        <v>5.5631080784520028</v>
      </c>
      <c r="H475">
        <v>308.87793209690403</v>
      </c>
      <c r="I475">
        <v>286.62549978309607</v>
      </c>
    </row>
    <row r="476" spans="1:9" x14ac:dyDescent="0.25">
      <c r="A476" s="1">
        <v>40864</v>
      </c>
      <c r="B476" t="s">
        <v>0</v>
      </c>
      <c r="C476">
        <v>299.31362360000003</v>
      </c>
      <c r="D476">
        <v>1.7335285944467985E-2</v>
      </c>
      <c r="E476">
        <v>1</v>
      </c>
      <c r="F476">
        <v>298.18011175999999</v>
      </c>
      <c r="G476">
        <v>5.465552900567082</v>
      </c>
      <c r="H476">
        <v>309.11121756113414</v>
      </c>
      <c r="I476">
        <v>287.24900595886584</v>
      </c>
    </row>
    <row r="477" spans="1:9" x14ac:dyDescent="0.25">
      <c r="A477" s="1">
        <v>40865</v>
      </c>
      <c r="B477" t="s">
        <v>0</v>
      </c>
      <c r="C477">
        <v>296.32979269999998</v>
      </c>
      <c r="D477">
        <v>9.96891108434011E-3</v>
      </c>
      <c r="E477">
        <v>1</v>
      </c>
      <c r="F477">
        <v>298.28945185000003</v>
      </c>
      <c r="G477">
        <v>5.213918647299943</v>
      </c>
      <c r="H477">
        <v>308.71728914459993</v>
      </c>
      <c r="I477">
        <v>287.86161455540014</v>
      </c>
    </row>
    <row r="478" spans="1:9" x14ac:dyDescent="0.25">
      <c r="A478" s="1">
        <v>40868</v>
      </c>
      <c r="B478" t="s">
        <v>0</v>
      </c>
      <c r="C478">
        <v>289.38581090000002</v>
      </c>
      <c r="D478">
        <v>2.3433289433134885E-2</v>
      </c>
      <c r="E478">
        <v>1</v>
      </c>
      <c r="F478">
        <v>297.90389668</v>
      </c>
      <c r="G478">
        <v>5.1639090550174256</v>
      </c>
      <c r="H478">
        <v>308.23171479003486</v>
      </c>
      <c r="I478">
        <v>287.57607856996515</v>
      </c>
    </row>
    <row r="479" spans="1:9" x14ac:dyDescent="0.25">
      <c r="A479" s="1">
        <v>40869</v>
      </c>
      <c r="B479" t="s">
        <v>0</v>
      </c>
      <c r="C479">
        <v>288.91754859999998</v>
      </c>
      <c r="D479">
        <v>1.6181246016994987E-3</v>
      </c>
      <c r="E479">
        <v>1</v>
      </c>
      <c r="F479">
        <v>297.82519019</v>
      </c>
      <c r="G479">
        <v>5.5015888323055773</v>
      </c>
      <c r="H479">
        <v>308.82836785461114</v>
      </c>
      <c r="I479">
        <v>286.82201252538886</v>
      </c>
    </row>
    <row r="480" spans="1:9" x14ac:dyDescent="0.25">
      <c r="A480" s="1">
        <v>40870</v>
      </c>
      <c r="B480" t="s">
        <v>0</v>
      </c>
      <c r="C480">
        <v>283.99102640000001</v>
      </c>
      <c r="D480">
        <v>1.7051654438687721E-2</v>
      </c>
      <c r="E480">
        <v>1</v>
      </c>
      <c r="F480">
        <v>297.42170286000004</v>
      </c>
      <c r="G480">
        <v>5.6310359509872976</v>
      </c>
      <c r="H480">
        <v>308.68377476197463</v>
      </c>
      <c r="I480">
        <v>286.15963095802545</v>
      </c>
    </row>
    <row r="481" spans="1:9" x14ac:dyDescent="0.25">
      <c r="A481" s="1">
        <v>40872</v>
      </c>
      <c r="B481" t="s">
        <v>0</v>
      </c>
      <c r="C481">
        <v>280.44930269999998</v>
      </c>
      <c r="D481">
        <v>1.2471252155029481E-2</v>
      </c>
      <c r="E481">
        <v>1</v>
      </c>
      <c r="F481">
        <v>296.53328275499996</v>
      </c>
      <c r="G481">
        <v>6.3308791826054964</v>
      </c>
      <c r="H481">
        <v>309.19504112021093</v>
      </c>
      <c r="I481">
        <v>283.87152438978899</v>
      </c>
    </row>
    <row r="482" spans="1:9" x14ac:dyDescent="0.25">
      <c r="A482" s="1">
        <v>40875</v>
      </c>
      <c r="B482" t="s">
        <v>0</v>
      </c>
      <c r="C482">
        <v>292.99726729999998</v>
      </c>
      <c r="D482">
        <v>-4.4742363340524012E-2</v>
      </c>
      <c r="E482">
        <v>0</v>
      </c>
      <c r="F482">
        <v>296.23564734000007</v>
      </c>
      <c r="G482">
        <v>7.2774634938423146</v>
      </c>
      <c r="H482">
        <v>310.79057432768468</v>
      </c>
      <c r="I482">
        <v>281.68072035231546</v>
      </c>
    </row>
    <row r="483" spans="1:9" x14ac:dyDescent="0.25">
      <c r="A483" s="1">
        <v>40876</v>
      </c>
      <c r="B483" t="s">
        <v>0</v>
      </c>
      <c r="C483">
        <v>290.3770849</v>
      </c>
      <c r="D483">
        <v>8.9426854528208647E-3</v>
      </c>
      <c r="E483">
        <v>1</v>
      </c>
      <c r="F483">
        <v>295.99380276000005</v>
      </c>
      <c r="G483">
        <v>7.2921834915274015</v>
      </c>
      <c r="H483">
        <v>310.57816974305484</v>
      </c>
      <c r="I483">
        <v>281.40943577694526</v>
      </c>
    </row>
    <row r="484" spans="1:9" x14ac:dyDescent="0.25">
      <c r="A484" s="1">
        <v>40877</v>
      </c>
      <c r="B484" t="s">
        <v>0</v>
      </c>
      <c r="C484">
        <v>298.57637840000001</v>
      </c>
      <c r="D484">
        <v>-2.8236709872694263E-2</v>
      </c>
      <c r="E484">
        <v>0</v>
      </c>
      <c r="F484">
        <v>296.51036705000007</v>
      </c>
      <c r="G484">
        <v>7.4155072831169777</v>
      </c>
      <c r="H484">
        <v>311.341381616234</v>
      </c>
      <c r="I484">
        <v>281.67935248376614</v>
      </c>
    </row>
    <row r="485" spans="1:9" x14ac:dyDescent="0.25">
      <c r="A485" s="1">
        <v>40878</v>
      </c>
      <c r="B485" t="s">
        <v>0</v>
      </c>
      <c r="C485">
        <v>305.73953820000003</v>
      </c>
      <c r="D485">
        <v>-2.3991046573696457E-2</v>
      </c>
      <c r="E485">
        <v>0</v>
      </c>
      <c r="F485">
        <v>297.23141628500002</v>
      </c>
      <c r="G485">
        <v>7.2323815111953484</v>
      </c>
      <c r="H485">
        <v>311.69617930739071</v>
      </c>
      <c r="I485">
        <v>282.76665326260934</v>
      </c>
    </row>
    <row r="486" spans="1:9" x14ac:dyDescent="0.25">
      <c r="A486" s="1">
        <v>40879</v>
      </c>
      <c r="B486" t="s">
        <v>0</v>
      </c>
      <c r="C486">
        <v>309.0222278</v>
      </c>
      <c r="D486">
        <v>-1.073688283604521E-2</v>
      </c>
      <c r="E486">
        <v>0</v>
      </c>
      <c r="F486">
        <v>297.800782185</v>
      </c>
      <c r="G486">
        <v>7.3826031629687625</v>
      </c>
      <c r="H486">
        <v>312.56598851093753</v>
      </c>
      <c r="I486">
        <v>283.03557585906248</v>
      </c>
    </row>
    <row r="487" spans="1:9" x14ac:dyDescent="0.25">
      <c r="A487" s="1">
        <v>40882</v>
      </c>
      <c r="B487" t="s">
        <v>0</v>
      </c>
      <c r="C487">
        <v>311.65736420000002</v>
      </c>
      <c r="D487">
        <v>-8.5273361038141534E-3</v>
      </c>
      <c r="E487">
        <v>0</v>
      </c>
      <c r="F487">
        <v>298.53577794</v>
      </c>
      <c r="G487">
        <v>7.8318397981482768</v>
      </c>
      <c r="H487">
        <v>314.19945753629656</v>
      </c>
      <c r="I487">
        <v>282.87209834370344</v>
      </c>
    </row>
    <row r="488" spans="1:9" x14ac:dyDescent="0.25">
      <c r="A488" s="1">
        <v>40883</v>
      </c>
      <c r="B488" t="s">
        <v>0</v>
      </c>
      <c r="C488">
        <v>310.72086990000003</v>
      </c>
      <c r="D488">
        <v>3.0048842336965146E-3</v>
      </c>
      <c r="E488">
        <v>1</v>
      </c>
      <c r="F488">
        <v>298.92033672000002</v>
      </c>
      <c r="G488">
        <v>8.3647979821216616</v>
      </c>
      <c r="H488">
        <v>315.64993268424337</v>
      </c>
      <c r="I488">
        <v>282.19074075575668</v>
      </c>
    </row>
    <row r="489" spans="1:9" x14ac:dyDescent="0.25">
      <c r="A489" s="1">
        <v>40884</v>
      </c>
      <c r="B489" t="s">
        <v>0</v>
      </c>
      <c r="C489">
        <v>310.53159929999998</v>
      </c>
      <c r="D489">
        <v>6.0913385078046548E-4</v>
      </c>
      <c r="E489">
        <v>1</v>
      </c>
      <c r="F489">
        <v>299.19555692500001</v>
      </c>
      <c r="G489">
        <v>8.7271919666950009</v>
      </c>
      <c r="H489">
        <v>316.64994085838998</v>
      </c>
      <c r="I489">
        <v>281.74117299161003</v>
      </c>
    </row>
    <row r="490" spans="1:9" x14ac:dyDescent="0.25">
      <c r="A490" s="1">
        <v>40885</v>
      </c>
      <c r="B490" t="s">
        <v>0</v>
      </c>
      <c r="C490">
        <v>306.87528209999999</v>
      </c>
      <c r="D490">
        <v>1.1774380476067672E-2</v>
      </c>
      <c r="E490">
        <v>1</v>
      </c>
      <c r="F490">
        <v>299.57164704500002</v>
      </c>
      <c r="G490">
        <v>9.0016785095766956</v>
      </c>
      <c r="H490">
        <v>317.5750040641534</v>
      </c>
      <c r="I490">
        <v>281.56829002584664</v>
      </c>
    </row>
    <row r="491" spans="1:9" x14ac:dyDescent="0.25">
      <c r="A491" s="1">
        <v>40886</v>
      </c>
      <c r="B491" t="s">
        <v>0</v>
      </c>
      <c r="C491">
        <v>312.53907980000002</v>
      </c>
      <c r="D491">
        <v>-1.8456350284199161E-2</v>
      </c>
      <c r="E491">
        <v>0</v>
      </c>
      <c r="F491">
        <v>300.37712940000006</v>
      </c>
      <c r="G491">
        <v>9.1838876416962609</v>
      </c>
      <c r="H491">
        <v>318.74490468339258</v>
      </c>
      <c r="I491">
        <v>282.00935411660754</v>
      </c>
    </row>
    <row r="492" spans="1:9" x14ac:dyDescent="0.25">
      <c r="A492" s="1">
        <v>40889</v>
      </c>
      <c r="B492" t="s">
        <v>0</v>
      </c>
      <c r="C492">
        <v>311.52784759999997</v>
      </c>
      <c r="D492">
        <v>3.2355384185784363E-3</v>
      </c>
      <c r="E492">
        <v>1</v>
      </c>
      <c r="F492">
        <v>300.80153963000009</v>
      </c>
      <c r="G492">
        <v>9.5467456587820259</v>
      </c>
      <c r="H492">
        <v>319.89503094756412</v>
      </c>
      <c r="I492">
        <v>281.70804831243606</v>
      </c>
    </row>
    <row r="493" spans="1:9" x14ac:dyDescent="0.25">
      <c r="A493" s="1">
        <v>40890</v>
      </c>
      <c r="B493" t="s">
        <v>0</v>
      </c>
      <c r="C493">
        <v>311.64741550000002</v>
      </c>
      <c r="D493">
        <v>-3.838112737631536E-4</v>
      </c>
      <c r="E493">
        <v>0</v>
      </c>
      <c r="F493">
        <v>301.11611231000012</v>
      </c>
      <c r="G493">
        <v>9.8357276011030219</v>
      </c>
      <c r="H493">
        <v>320.78756751220618</v>
      </c>
      <c r="I493">
        <v>281.44465710779406</v>
      </c>
    </row>
    <row r="494" spans="1:9" x14ac:dyDescent="0.25">
      <c r="A494" s="1">
        <v>40891</v>
      </c>
      <c r="B494" t="s">
        <v>0</v>
      </c>
      <c r="C494">
        <v>307.88150949999999</v>
      </c>
      <c r="D494">
        <v>1.2083867257355867E-2</v>
      </c>
      <c r="E494">
        <v>1</v>
      </c>
      <c r="F494">
        <v>301.15372072000008</v>
      </c>
      <c r="G494">
        <v>10.069237952908678</v>
      </c>
      <c r="H494">
        <v>321.29219662581744</v>
      </c>
      <c r="I494">
        <v>281.01524481418272</v>
      </c>
    </row>
    <row r="495" spans="1:9" x14ac:dyDescent="0.25">
      <c r="A495" s="1">
        <v>40892</v>
      </c>
      <c r="B495" t="s">
        <v>0</v>
      </c>
      <c r="C495">
        <v>308.61377979999997</v>
      </c>
      <c r="D495">
        <v>-2.378415973044922E-3</v>
      </c>
      <c r="E495">
        <v>0</v>
      </c>
      <c r="F495">
        <v>301.35471746000007</v>
      </c>
      <c r="G495">
        <v>10.094934753102462</v>
      </c>
      <c r="H495">
        <v>321.54458696620497</v>
      </c>
      <c r="I495">
        <v>281.16484795379517</v>
      </c>
    </row>
    <row r="496" spans="1:9" x14ac:dyDescent="0.25">
      <c r="A496" s="1">
        <v>40893</v>
      </c>
      <c r="B496" t="s">
        <v>0</v>
      </c>
      <c r="C496">
        <v>311.81178340000002</v>
      </c>
      <c r="D496">
        <v>-1.0362478312123799E-2</v>
      </c>
      <c r="E496">
        <v>0</v>
      </c>
      <c r="F496">
        <v>301.97962545000007</v>
      </c>
      <c r="G496">
        <v>10.218038931573062</v>
      </c>
      <c r="H496">
        <v>322.4157033131462</v>
      </c>
      <c r="I496">
        <v>281.54354758685395</v>
      </c>
    </row>
    <row r="497" spans="1:9" x14ac:dyDescent="0.25">
      <c r="A497" s="1">
        <v>40896</v>
      </c>
      <c r="B497" t="s">
        <v>0</v>
      </c>
      <c r="C497">
        <v>309.75449859999998</v>
      </c>
      <c r="D497">
        <v>6.5978417414742493E-3</v>
      </c>
      <c r="E497">
        <v>1</v>
      </c>
      <c r="F497">
        <v>302.65086074500005</v>
      </c>
      <c r="G497">
        <v>10.456436516943702</v>
      </c>
      <c r="H497">
        <v>323.56373377888747</v>
      </c>
      <c r="I497">
        <v>281.73798771111262</v>
      </c>
    </row>
    <row r="498" spans="1:9" x14ac:dyDescent="0.25">
      <c r="A498" s="1">
        <v>40897</v>
      </c>
      <c r="B498" t="s">
        <v>0</v>
      </c>
      <c r="C498">
        <v>314.00856429999999</v>
      </c>
      <c r="D498">
        <v>-1.3733668822332359E-2</v>
      </c>
      <c r="E498">
        <v>0</v>
      </c>
      <c r="F498">
        <v>303.881998415</v>
      </c>
      <c r="G498">
        <v>10.553580106894538</v>
      </c>
      <c r="H498">
        <v>324.98915862878908</v>
      </c>
      <c r="I498">
        <v>282.77483820121091</v>
      </c>
    </row>
    <row r="499" spans="1:9" x14ac:dyDescent="0.25">
      <c r="A499" s="1">
        <v>40898</v>
      </c>
      <c r="B499" t="s">
        <v>0</v>
      </c>
      <c r="C499">
        <v>311.74205080000002</v>
      </c>
      <c r="D499">
        <v>7.2179989900994354E-3</v>
      </c>
      <c r="E499">
        <v>1</v>
      </c>
      <c r="F499">
        <v>305.02322352499999</v>
      </c>
      <c r="G499">
        <v>10.358611974197839</v>
      </c>
      <c r="H499">
        <v>325.74044747339565</v>
      </c>
      <c r="I499">
        <v>284.30599957660434</v>
      </c>
    </row>
    <row r="500" spans="1:9" x14ac:dyDescent="0.25">
      <c r="A500" s="1">
        <v>40899</v>
      </c>
      <c r="B500" t="s">
        <v>0</v>
      </c>
      <c r="C500">
        <v>313.67482380000001</v>
      </c>
      <c r="D500">
        <v>-6.1999110964981096E-3</v>
      </c>
      <c r="E500">
        <v>0</v>
      </c>
      <c r="F500">
        <v>306.50741339500007</v>
      </c>
      <c r="G500">
        <v>9.9393739923740263</v>
      </c>
      <c r="H500">
        <v>326.3861613797481</v>
      </c>
      <c r="I500">
        <v>286.62866541025204</v>
      </c>
    </row>
    <row r="501" spans="1:9" x14ac:dyDescent="0.25">
      <c r="A501" s="1">
        <v>40900</v>
      </c>
      <c r="B501" t="s">
        <v>0</v>
      </c>
      <c r="C501">
        <v>315.3883889</v>
      </c>
      <c r="D501">
        <v>-5.4628710052055584E-3</v>
      </c>
      <c r="E501">
        <v>0</v>
      </c>
      <c r="F501">
        <v>308.25436770500005</v>
      </c>
      <c r="G501">
        <v>8.8916932668510107</v>
      </c>
      <c r="H501">
        <v>326.03775423870206</v>
      </c>
      <c r="I501">
        <v>290.47098117129804</v>
      </c>
    </row>
    <row r="502" spans="1:9" x14ac:dyDescent="0.25">
      <c r="A502" s="1">
        <v>40904</v>
      </c>
      <c r="B502" t="s">
        <v>0</v>
      </c>
      <c r="C502">
        <v>318.93011209999997</v>
      </c>
      <c r="D502">
        <v>-1.1229719687375525E-2</v>
      </c>
      <c r="E502">
        <v>0</v>
      </c>
      <c r="F502">
        <v>309.55100994500009</v>
      </c>
      <c r="G502">
        <v>6.6807275931770693</v>
      </c>
      <c r="H502">
        <v>322.91246513135422</v>
      </c>
      <c r="I502">
        <v>296.18955475864595</v>
      </c>
    </row>
    <row r="503" spans="1:9" x14ac:dyDescent="0.25">
      <c r="A503" s="1">
        <v>40905</v>
      </c>
      <c r="B503" t="s">
        <v>0</v>
      </c>
      <c r="C503">
        <v>318.65615550000001</v>
      </c>
      <c r="D503">
        <v>8.5898630955882926E-4</v>
      </c>
      <c r="E503">
        <v>1</v>
      </c>
      <c r="F503">
        <v>310.96496347500005</v>
      </c>
      <c r="G503">
        <v>6.1097007981642175</v>
      </c>
      <c r="H503">
        <v>323.1843650713285</v>
      </c>
      <c r="I503">
        <v>298.74556187867159</v>
      </c>
    </row>
    <row r="504" spans="1:9" x14ac:dyDescent="0.25">
      <c r="A504" s="1">
        <v>40906</v>
      </c>
      <c r="B504" t="s">
        <v>0</v>
      </c>
      <c r="C504">
        <v>320.00109780000003</v>
      </c>
      <c r="D504">
        <v>-4.2206694482009267E-3</v>
      </c>
      <c r="E504">
        <v>0</v>
      </c>
      <c r="F504">
        <v>312.03619944500008</v>
      </c>
      <c r="G504">
        <v>4.498963755559088</v>
      </c>
      <c r="H504">
        <v>321.03412695611826</v>
      </c>
      <c r="I504">
        <v>303.0382719338819</v>
      </c>
    </row>
    <row r="505" spans="1:9" x14ac:dyDescent="0.25">
      <c r="A505" s="1">
        <v>40907</v>
      </c>
      <c r="B505" t="s">
        <v>0</v>
      </c>
      <c r="C505">
        <v>321.74457039999999</v>
      </c>
      <c r="D505">
        <v>-5.4483331838118499E-3</v>
      </c>
      <c r="E505">
        <v>0</v>
      </c>
      <c r="F505">
        <v>312.836451055</v>
      </c>
      <c r="G505">
        <v>3.8723014700878631</v>
      </c>
      <c r="H505">
        <v>320.58105399517575</v>
      </c>
      <c r="I505">
        <v>305.09184811482424</v>
      </c>
    </row>
    <row r="506" spans="1:9" x14ac:dyDescent="0.25">
      <c r="A506" s="1">
        <v>40911</v>
      </c>
      <c r="B506" t="s">
        <v>0</v>
      </c>
      <c r="C506">
        <v>331.46315370000002</v>
      </c>
      <c r="D506">
        <v>-3.0205896832750514E-2</v>
      </c>
      <c r="E506">
        <v>0</v>
      </c>
      <c r="F506">
        <v>313.95849735000002</v>
      </c>
      <c r="G506">
        <v>4.2075084638100071</v>
      </c>
      <c r="H506">
        <v>322.37351427762002</v>
      </c>
      <c r="I506">
        <v>305.54348042238001</v>
      </c>
    </row>
    <row r="507" spans="1:9" x14ac:dyDescent="0.25">
      <c r="A507" s="1">
        <v>40912</v>
      </c>
      <c r="B507" t="s">
        <v>0</v>
      </c>
      <c r="C507">
        <v>332.89281299999999</v>
      </c>
      <c r="D507">
        <v>-4.3131771481723178E-3</v>
      </c>
      <c r="E507">
        <v>0</v>
      </c>
      <c r="F507">
        <v>315.02026978999999</v>
      </c>
      <c r="G507">
        <v>5.7387106592372534</v>
      </c>
      <c r="H507">
        <v>326.4976911084745</v>
      </c>
      <c r="I507">
        <v>303.54284847152547</v>
      </c>
    </row>
    <row r="508" spans="1:9" x14ac:dyDescent="0.25">
      <c r="A508" s="1">
        <v>40913</v>
      </c>
      <c r="B508" t="s">
        <v>0</v>
      </c>
      <c r="C508">
        <v>328.27509880000002</v>
      </c>
      <c r="D508">
        <v>1.3871474599843543E-2</v>
      </c>
      <c r="E508">
        <v>1</v>
      </c>
      <c r="F508">
        <v>315.89798123499997</v>
      </c>
      <c r="G508">
        <v>7.0077892912408846</v>
      </c>
      <c r="H508">
        <v>329.91355981748177</v>
      </c>
      <c r="I508">
        <v>301.88240265251818</v>
      </c>
    </row>
    <row r="509" spans="1:9" x14ac:dyDescent="0.25">
      <c r="A509" s="1">
        <v>40914</v>
      </c>
      <c r="B509" t="s">
        <v>0</v>
      </c>
      <c r="C509">
        <v>323.7968808</v>
      </c>
      <c r="D509">
        <v>1.3641662180195881E-2</v>
      </c>
      <c r="E509">
        <v>1</v>
      </c>
      <c r="F509">
        <v>316.56124531</v>
      </c>
      <c r="G509">
        <v>7.4745272663733342</v>
      </c>
      <c r="H509">
        <v>331.51029984274669</v>
      </c>
      <c r="I509">
        <v>301.61219077725332</v>
      </c>
    </row>
    <row r="510" spans="1:9" x14ac:dyDescent="0.25">
      <c r="A510" s="1">
        <v>40917</v>
      </c>
      <c r="B510" t="s">
        <v>0</v>
      </c>
      <c r="C510">
        <v>310.0683113</v>
      </c>
      <c r="D510">
        <v>4.2398708307754621E-2</v>
      </c>
      <c r="E510">
        <v>1</v>
      </c>
      <c r="F510">
        <v>316.72089676999997</v>
      </c>
      <c r="G510">
        <v>7.5295375649073204</v>
      </c>
      <c r="H510">
        <v>331.7799718998146</v>
      </c>
      <c r="I510">
        <v>301.66182164018534</v>
      </c>
    </row>
    <row r="511" spans="1:9" x14ac:dyDescent="0.25">
      <c r="A511" s="1">
        <v>40918</v>
      </c>
      <c r="B511" t="s">
        <v>0</v>
      </c>
      <c r="C511">
        <v>310.40705709999997</v>
      </c>
      <c r="D511">
        <v>-1.0924876475759027E-3</v>
      </c>
      <c r="E511">
        <v>0</v>
      </c>
      <c r="F511">
        <v>316.61429563500008</v>
      </c>
      <c r="G511">
        <v>7.3533215626416428</v>
      </c>
      <c r="H511">
        <v>331.32093876028335</v>
      </c>
      <c r="I511">
        <v>301.9076525097168</v>
      </c>
    </row>
    <row r="512" spans="1:9" x14ac:dyDescent="0.25">
      <c r="A512" s="1">
        <v>40919</v>
      </c>
      <c r="B512" t="s">
        <v>0</v>
      </c>
      <c r="C512">
        <v>311.81178340000002</v>
      </c>
      <c r="D512">
        <v>-4.5254328723187071E-3</v>
      </c>
      <c r="E512">
        <v>0</v>
      </c>
      <c r="F512">
        <v>316.62849242499999</v>
      </c>
      <c r="G512">
        <v>7.4274935785152039</v>
      </c>
      <c r="H512">
        <v>331.48347958203038</v>
      </c>
      <c r="I512">
        <v>301.7735052679696</v>
      </c>
    </row>
    <row r="513" spans="1:9" x14ac:dyDescent="0.25">
      <c r="A513" s="1">
        <v>40920</v>
      </c>
      <c r="B513" t="s">
        <v>0</v>
      </c>
      <c r="C513">
        <v>313.6449164</v>
      </c>
      <c r="D513">
        <v>-5.8789728213971505E-3</v>
      </c>
      <c r="E513">
        <v>0</v>
      </c>
      <c r="F513">
        <v>316.72836747000002</v>
      </c>
      <c r="G513">
        <v>7.4186819107934658</v>
      </c>
      <c r="H513">
        <v>331.56573129158693</v>
      </c>
      <c r="I513">
        <v>301.89100364841312</v>
      </c>
    </row>
    <row r="514" spans="1:9" x14ac:dyDescent="0.25">
      <c r="A514" s="1">
        <v>40921</v>
      </c>
      <c r="B514" t="s">
        <v>0</v>
      </c>
      <c r="C514">
        <v>311.328598</v>
      </c>
      <c r="D514">
        <v>7.3851616234899709E-3</v>
      </c>
      <c r="E514">
        <v>1</v>
      </c>
      <c r="F514">
        <v>316.900721895</v>
      </c>
      <c r="G514">
        <v>7.3655364516329103</v>
      </c>
      <c r="H514">
        <v>331.63179479826584</v>
      </c>
      <c r="I514">
        <v>302.16964899173416</v>
      </c>
    </row>
    <row r="515" spans="1:9" x14ac:dyDescent="0.25">
      <c r="A515" s="1">
        <v>40925</v>
      </c>
      <c r="B515" t="s">
        <v>0</v>
      </c>
      <c r="C515">
        <v>313.11690049999999</v>
      </c>
      <c r="D515">
        <v>-5.7440996795289139E-3</v>
      </c>
      <c r="E515">
        <v>0</v>
      </c>
      <c r="F515">
        <v>317.12587793000006</v>
      </c>
      <c r="G515">
        <v>7.1963144097645904</v>
      </c>
      <c r="H515">
        <v>331.51850674952925</v>
      </c>
      <c r="I515">
        <v>302.73324911047087</v>
      </c>
    </row>
    <row r="516" spans="1:9" x14ac:dyDescent="0.25">
      <c r="A516" s="1">
        <v>40926</v>
      </c>
      <c r="B516" t="s">
        <v>0</v>
      </c>
      <c r="C516">
        <v>315.2738253</v>
      </c>
      <c r="D516">
        <v>-6.8885607789159024E-3</v>
      </c>
      <c r="E516">
        <v>0</v>
      </c>
      <c r="F516">
        <v>317.29898002499999</v>
      </c>
      <c r="G516">
        <v>6.9998364046921715</v>
      </c>
      <c r="H516">
        <v>331.29865283438431</v>
      </c>
      <c r="I516">
        <v>303.29930721561567</v>
      </c>
    </row>
    <row r="517" spans="1:9" x14ac:dyDescent="0.25">
      <c r="A517" s="1">
        <v>40927</v>
      </c>
      <c r="B517" t="s">
        <v>0</v>
      </c>
      <c r="C517">
        <v>318.59139720000002</v>
      </c>
      <c r="D517">
        <v>-1.0522826932566225E-2</v>
      </c>
      <c r="E517">
        <v>0</v>
      </c>
      <c r="F517">
        <v>317.74082495499999</v>
      </c>
      <c r="G517">
        <v>6.920443112804227</v>
      </c>
      <c r="H517">
        <v>331.58171118060847</v>
      </c>
      <c r="I517">
        <v>303.89993872939152</v>
      </c>
    </row>
    <row r="518" spans="1:9" x14ac:dyDescent="0.25">
      <c r="A518" s="1">
        <v>40928</v>
      </c>
      <c r="B518" t="s">
        <v>0</v>
      </c>
      <c r="C518">
        <v>291.90137950000002</v>
      </c>
      <c r="D518">
        <v>8.3775073446961223E-2</v>
      </c>
      <c r="E518">
        <v>1</v>
      </c>
      <c r="F518">
        <v>316.63546571500001</v>
      </c>
      <c r="G518">
        <v>6.7794878237063489</v>
      </c>
      <c r="H518">
        <v>330.1944413624127</v>
      </c>
      <c r="I518">
        <v>303.07649006758732</v>
      </c>
    </row>
    <row r="519" spans="1:9" x14ac:dyDescent="0.25">
      <c r="A519" s="1">
        <v>40931</v>
      </c>
      <c r="B519" t="s">
        <v>0</v>
      </c>
      <c r="C519">
        <v>291.66724809999999</v>
      </c>
      <c r="D519">
        <v>8.0209076230153221E-4</v>
      </c>
      <c r="E519">
        <v>1</v>
      </c>
      <c r="F519">
        <v>315.63172557999997</v>
      </c>
      <c r="G519">
        <v>8.7870740239705913</v>
      </c>
      <c r="H519">
        <v>333.20587362794117</v>
      </c>
      <c r="I519">
        <v>298.05757753205876</v>
      </c>
    </row>
    <row r="520" spans="1:9" x14ac:dyDescent="0.25">
      <c r="A520" s="1">
        <v>40932</v>
      </c>
      <c r="B520" t="s">
        <v>0</v>
      </c>
      <c r="C520">
        <v>289.38083660000001</v>
      </c>
      <c r="D520">
        <v>7.8391095157042609E-3</v>
      </c>
      <c r="E520">
        <v>1</v>
      </c>
      <c r="F520">
        <v>314.41702622000003</v>
      </c>
      <c r="G520">
        <v>10.326978986503557</v>
      </c>
      <c r="H520">
        <v>335.07098419300712</v>
      </c>
      <c r="I520">
        <v>293.76306824699293</v>
      </c>
    </row>
    <row r="521" spans="1:9" x14ac:dyDescent="0.25">
      <c r="A521" s="1">
        <v>40933</v>
      </c>
      <c r="B521" t="s">
        <v>0</v>
      </c>
      <c r="C521">
        <v>283.682188</v>
      </c>
      <c r="D521">
        <v>1.9692556932776564E-2</v>
      </c>
      <c r="E521">
        <v>1</v>
      </c>
      <c r="F521">
        <v>312.83171617500005</v>
      </c>
      <c r="G521">
        <v>11.852117922096491</v>
      </c>
      <c r="H521">
        <v>336.53595201919302</v>
      </c>
      <c r="I521">
        <v>289.12748033080709</v>
      </c>
    </row>
    <row r="522" spans="1:9" x14ac:dyDescent="0.25">
      <c r="A522" s="1">
        <v>40934</v>
      </c>
      <c r="B522" t="s">
        <v>0</v>
      </c>
      <c r="C522">
        <v>282.98977339999999</v>
      </c>
      <c r="D522">
        <v>2.4408109824646672E-3</v>
      </c>
      <c r="E522">
        <v>1</v>
      </c>
      <c r="F522">
        <v>311.03469924000001</v>
      </c>
      <c r="G522">
        <v>13.633044046509781</v>
      </c>
      <c r="H522">
        <v>338.30078733301957</v>
      </c>
      <c r="I522">
        <v>283.76861114698045</v>
      </c>
    </row>
    <row r="523" spans="1:9" x14ac:dyDescent="0.25">
      <c r="A523" s="1">
        <v>40935</v>
      </c>
      <c r="B523" t="s">
        <v>0</v>
      </c>
      <c r="C523">
        <v>288.90759989999998</v>
      </c>
      <c r="D523">
        <v>-2.0911803380383179E-2</v>
      </c>
      <c r="E523">
        <v>0</v>
      </c>
      <c r="F523">
        <v>309.5472714600001</v>
      </c>
      <c r="G523">
        <v>14.976025755581938</v>
      </c>
      <c r="H523">
        <v>339.49932297116396</v>
      </c>
      <c r="I523">
        <v>279.59521994883625</v>
      </c>
    </row>
    <row r="524" spans="1:9" x14ac:dyDescent="0.25">
      <c r="A524" s="1">
        <v>40938</v>
      </c>
      <c r="B524" t="s">
        <v>0</v>
      </c>
      <c r="C524">
        <v>287.76688159999998</v>
      </c>
      <c r="D524">
        <v>3.9483845367683018E-3</v>
      </c>
      <c r="E524">
        <v>1</v>
      </c>
      <c r="F524">
        <v>307.93556065000001</v>
      </c>
      <c r="G524">
        <v>15.621465131332915</v>
      </c>
      <c r="H524">
        <v>339.17849091266584</v>
      </c>
      <c r="I524">
        <v>276.69263038733419</v>
      </c>
    </row>
    <row r="525" spans="1:9" x14ac:dyDescent="0.25">
      <c r="A525" s="1">
        <v>40939</v>
      </c>
      <c r="B525" t="s">
        <v>0</v>
      </c>
      <c r="C525">
        <v>288.97235819999997</v>
      </c>
      <c r="D525">
        <v>-4.1890734378378768E-3</v>
      </c>
      <c r="E525">
        <v>0</v>
      </c>
      <c r="F525">
        <v>306.29695004000007</v>
      </c>
      <c r="G525">
        <v>16.117541344009279</v>
      </c>
      <c r="H525">
        <v>338.53203272801863</v>
      </c>
      <c r="I525">
        <v>274.0618673519815</v>
      </c>
    </row>
    <row r="526" spans="1:9" x14ac:dyDescent="0.25">
      <c r="A526" s="1">
        <v>40940</v>
      </c>
      <c r="B526" t="s">
        <v>0</v>
      </c>
      <c r="C526">
        <v>289.33100139999999</v>
      </c>
      <c r="D526">
        <v>-1.2410986373713902E-3</v>
      </c>
      <c r="E526">
        <v>0</v>
      </c>
      <c r="F526">
        <v>304.19034242500004</v>
      </c>
      <c r="G526">
        <v>16.34896204660161</v>
      </c>
      <c r="H526">
        <v>336.88826651820324</v>
      </c>
      <c r="I526">
        <v>271.49241833179684</v>
      </c>
    </row>
    <row r="527" spans="1:9" x14ac:dyDescent="0.25">
      <c r="A527" s="1">
        <v>40941</v>
      </c>
      <c r="B527" t="s">
        <v>0</v>
      </c>
      <c r="C527">
        <v>291.46302400000002</v>
      </c>
      <c r="D527">
        <v>-7.3688010952290151E-3</v>
      </c>
      <c r="E527">
        <v>0</v>
      </c>
      <c r="F527">
        <v>302.11885297500004</v>
      </c>
      <c r="G527">
        <v>15.666183887132668</v>
      </c>
      <c r="H527">
        <v>333.45122074926536</v>
      </c>
      <c r="I527">
        <v>270.78648520073472</v>
      </c>
    </row>
    <row r="528" spans="1:9" x14ac:dyDescent="0.25">
      <c r="A528" s="1">
        <v>40942</v>
      </c>
      <c r="B528" t="s">
        <v>0</v>
      </c>
      <c r="C528">
        <v>297.05208390000001</v>
      </c>
      <c r="D528">
        <v>-1.917587975070208E-2</v>
      </c>
      <c r="E528">
        <v>0</v>
      </c>
      <c r="F528">
        <v>300.55770222999996</v>
      </c>
      <c r="G528">
        <v>14.35938762657646</v>
      </c>
      <c r="H528">
        <v>329.27647748315286</v>
      </c>
      <c r="I528">
        <v>271.83892697684706</v>
      </c>
    </row>
    <row r="529" spans="1:9" x14ac:dyDescent="0.25">
      <c r="A529" s="1">
        <v>40945</v>
      </c>
      <c r="B529" t="s">
        <v>0</v>
      </c>
      <c r="C529">
        <v>303.40826579999998</v>
      </c>
      <c r="D529">
        <v>-2.1397533444470703E-2</v>
      </c>
      <c r="E529">
        <v>0</v>
      </c>
      <c r="F529">
        <v>299.53827147999999</v>
      </c>
      <c r="G529">
        <v>13.016643823473535</v>
      </c>
      <c r="H529">
        <v>325.57155912694708</v>
      </c>
      <c r="I529">
        <v>273.5049838330529</v>
      </c>
    </row>
    <row r="530" spans="1:9" x14ac:dyDescent="0.25">
      <c r="A530" s="1">
        <v>40946</v>
      </c>
      <c r="B530" t="s">
        <v>0</v>
      </c>
      <c r="C530">
        <v>302.25259360000001</v>
      </c>
      <c r="D530">
        <v>3.808967422007425E-3</v>
      </c>
      <c r="E530">
        <v>1</v>
      </c>
      <c r="F530">
        <v>299.14748559499998</v>
      </c>
      <c r="G530">
        <v>11.870575661268878</v>
      </c>
      <c r="H530">
        <v>322.88863691753772</v>
      </c>
      <c r="I530">
        <v>275.40633427246223</v>
      </c>
    </row>
    <row r="531" spans="1:9" x14ac:dyDescent="0.25">
      <c r="A531" s="1">
        <v>40947</v>
      </c>
      <c r="B531" t="s">
        <v>0</v>
      </c>
      <c r="C531">
        <v>303.78686720000002</v>
      </c>
      <c r="D531">
        <v>-5.0761304699686316E-3</v>
      </c>
      <c r="E531">
        <v>0</v>
      </c>
      <c r="F531">
        <v>298.81647609999999</v>
      </c>
      <c r="G531">
        <v>11.642121666512317</v>
      </c>
      <c r="H531">
        <v>322.10071943302461</v>
      </c>
      <c r="I531">
        <v>275.53223276697537</v>
      </c>
    </row>
    <row r="532" spans="1:9" x14ac:dyDescent="0.25">
      <c r="A532" s="1">
        <v>40948</v>
      </c>
      <c r="B532" t="s">
        <v>0</v>
      </c>
      <c r="C532">
        <v>304.58884030000002</v>
      </c>
      <c r="D532">
        <v>-2.6399202420821365E-3</v>
      </c>
      <c r="E532">
        <v>0</v>
      </c>
      <c r="F532">
        <v>298.45532894499996</v>
      </c>
      <c r="G532">
        <v>11.409977438799347</v>
      </c>
      <c r="H532">
        <v>321.27528382259868</v>
      </c>
      <c r="I532">
        <v>275.63537406740124</v>
      </c>
    </row>
    <row r="533" spans="1:9" x14ac:dyDescent="0.25">
      <c r="A533" s="1">
        <v>40949</v>
      </c>
      <c r="B533" t="s">
        <v>0</v>
      </c>
      <c r="C533">
        <v>301.82421770000002</v>
      </c>
      <c r="D533">
        <v>9.0765721990241788E-3</v>
      </c>
      <c r="E533">
        <v>1</v>
      </c>
      <c r="F533">
        <v>297.86429400999998</v>
      </c>
      <c r="G533">
        <v>11.112972678134852</v>
      </c>
      <c r="H533">
        <v>320.09023936626966</v>
      </c>
      <c r="I533">
        <v>275.6383486537303</v>
      </c>
    </row>
    <row r="534" spans="1:9" x14ac:dyDescent="0.25">
      <c r="A534" s="1">
        <v>40952</v>
      </c>
      <c r="B534" t="s">
        <v>0</v>
      </c>
      <c r="C534">
        <v>304.95746259999999</v>
      </c>
      <c r="D534">
        <v>-1.0381025498471674E-2</v>
      </c>
      <c r="E534">
        <v>0</v>
      </c>
      <c r="F534">
        <v>297.54573723999999</v>
      </c>
      <c r="G534">
        <v>10.57980565943568</v>
      </c>
      <c r="H534">
        <v>318.70534855887138</v>
      </c>
      <c r="I534">
        <v>276.38612592112861</v>
      </c>
    </row>
    <row r="535" spans="1:9" x14ac:dyDescent="0.25">
      <c r="A535" s="1">
        <v>40953</v>
      </c>
      <c r="B535" t="s">
        <v>0</v>
      </c>
      <c r="C535">
        <v>303.74203679999999</v>
      </c>
      <c r="D535">
        <v>3.9855584763774576E-3</v>
      </c>
      <c r="E535">
        <v>1</v>
      </c>
      <c r="F535">
        <v>297.076994055</v>
      </c>
      <c r="G535">
        <v>10.266466240583327</v>
      </c>
      <c r="H535">
        <v>317.60992653616665</v>
      </c>
      <c r="I535">
        <v>276.54406157383335</v>
      </c>
    </row>
    <row r="536" spans="1:9" x14ac:dyDescent="0.25">
      <c r="A536" s="1">
        <v>40954</v>
      </c>
      <c r="B536" t="s">
        <v>0</v>
      </c>
      <c r="C536">
        <v>301.64987020000001</v>
      </c>
      <c r="D536">
        <v>6.8879718528310884E-3</v>
      </c>
      <c r="E536">
        <v>1</v>
      </c>
      <c r="F536">
        <v>296.39579629999997</v>
      </c>
      <c r="G536">
        <v>9.7581539879154651</v>
      </c>
      <c r="H536">
        <v>315.91210427583093</v>
      </c>
      <c r="I536">
        <v>276.87948832416902</v>
      </c>
    </row>
    <row r="537" spans="1:9" x14ac:dyDescent="0.25">
      <c r="A537" s="1">
        <v>40955</v>
      </c>
      <c r="B537" t="s">
        <v>0</v>
      </c>
      <c r="C537">
        <v>302.12808180000002</v>
      </c>
      <c r="D537">
        <v>-1.5853200920754407E-3</v>
      </c>
      <c r="E537">
        <v>0</v>
      </c>
      <c r="F537">
        <v>295.57263052999997</v>
      </c>
      <c r="G537">
        <v>8.9140583808869689</v>
      </c>
      <c r="H537">
        <v>313.40074729177388</v>
      </c>
      <c r="I537">
        <v>277.74451376822606</v>
      </c>
    </row>
    <row r="538" spans="1:9" x14ac:dyDescent="0.25">
      <c r="A538" s="1">
        <v>40956</v>
      </c>
      <c r="B538" t="s">
        <v>0</v>
      </c>
      <c r="C538">
        <v>301.19158700000003</v>
      </c>
      <c r="D538">
        <v>3.0996615555250622E-3</v>
      </c>
      <c r="E538">
        <v>1</v>
      </c>
      <c r="F538">
        <v>296.03714090499994</v>
      </c>
      <c r="G538">
        <v>7.4385296143536195</v>
      </c>
      <c r="H538">
        <v>310.9142001337072</v>
      </c>
      <c r="I538">
        <v>281.16008167629269</v>
      </c>
    </row>
    <row r="539" spans="1:9" x14ac:dyDescent="0.25">
      <c r="A539" s="1">
        <v>40960</v>
      </c>
      <c r="B539" t="s">
        <v>0</v>
      </c>
      <c r="C539">
        <v>305.8541012</v>
      </c>
      <c r="D539">
        <v>-1.5480227208338243E-2</v>
      </c>
      <c r="E539">
        <v>0</v>
      </c>
      <c r="F539">
        <v>296.74648356</v>
      </c>
      <c r="G539">
        <v>7.5038709632546974</v>
      </c>
      <c r="H539">
        <v>311.75422548650937</v>
      </c>
      <c r="I539">
        <v>281.73874163349063</v>
      </c>
    </row>
    <row r="540" spans="1:9" x14ac:dyDescent="0.25">
      <c r="A540" s="1">
        <v>40961</v>
      </c>
      <c r="B540" t="s">
        <v>0</v>
      </c>
      <c r="C540">
        <v>302.835419</v>
      </c>
      <c r="D540">
        <v>9.8696803088674772E-3</v>
      </c>
      <c r="E540">
        <v>1</v>
      </c>
      <c r="F540">
        <v>297.41921267999993</v>
      </c>
      <c r="G540">
        <v>7.7212788586469756</v>
      </c>
      <c r="H540">
        <v>312.86177039729387</v>
      </c>
      <c r="I540">
        <v>281.97665496270599</v>
      </c>
    </row>
    <row r="541" spans="1:9" x14ac:dyDescent="0.25">
      <c r="A541" s="1">
        <v>40962</v>
      </c>
      <c r="B541" t="s">
        <v>0</v>
      </c>
      <c r="C541">
        <v>301.92382689999999</v>
      </c>
      <c r="D541">
        <v>3.0101898351592984E-3</v>
      </c>
      <c r="E541">
        <v>1</v>
      </c>
      <c r="F541">
        <v>298.33129462499994</v>
      </c>
      <c r="G541">
        <v>7.6606808269401432</v>
      </c>
      <c r="H541">
        <v>313.65265627888022</v>
      </c>
      <c r="I541">
        <v>283.00993297111967</v>
      </c>
    </row>
    <row r="542" spans="1:9" x14ac:dyDescent="0.25">
      <c r="A542" s="1">
        <v>40963</v>
      </c>
      <c r="B542" t="s">
        <v>0</v>
      </c>
      <c r="C542">
        <v>303.8117699</v>
      </c>
      <c r="D542">
        <v>-6.2530440852729104E-3</v>
      </c>
      <c r="E542">
        <v>0</v>
      </c>
      <c r="F542">
        <v>299.37239444999989</v>
      </c>
      <c r="G542">
        <v>7.0487883880620288</v>
      </c>
      <c r="H542">
        <v>313.46997122612396</v>
      </c>
      <c r="I542">
        <v>285.27481767387582</v>
      </c>
    </row>
    <row r="543" spans="1:9" x14ac:dyDescent="0.25">
      <c r="A543" s="1">
        <v>40966</v>
      </c>
      <c r="B543" t="s">
        <v>0</v>
      </c>
      <c r="C543">
        <v>303.51785460000002</v>
      </c>
      <c r="D543">
        <v>9.6742565337979867E-4</v>
      </c>
      <c r="E543">
        <v>1</v>
      </c>
      <c r="F543">
        <v>300.10290718499994</v>
      </c>
      <c r="G543">
        <v>6.1469468593427239</v>
      </c>
      <c r="H543">
        <v>312.3968009036854</v>
      </c>
      <c r="I543">
        <v>287.80901346631447</v>
      </c>
    </row>
    <row r="544" spans="1:9" x14ac:dyDescent="0.25">
      <c r="A544" s="1">
        <v>40967</v>
      </c>
      <c r="B544" t="s">
        <v>0</v>
      </c>
      <c r="C544">
        <v>308.04090309999998</v>
      </c>
      <c r="D544">
        <v>-1.4902083786671436E-2</v>
      </c>
      <c r="E544">
        <v>0</v>
      </c>
      <c r="F544">
        <v>301.11660825999996</v>
      </c>
      <c r="G544">
        <v>5.7557704604267874</v>
      </c>
      <c r="H544">
        <v>312.62814918085354</v>
      </c>
      <c r="I544">
        <v>289.60506733914639</v>
      </c>
    </row>
    <row r="545" spans="1:9" x14ac:dyDescent="0.25">
      <c r="A545" s="1">
        <v>40968</v>
      </c>
      <c r="B545" t="s">
        <v>0</v>
      </c>
      <c r="C545">
        <v>307.97116990000001</v>
      </c>
      <c r="D545">
        <v>2.2637643020198409E-4</v>
      </c>
      <c r="E545">
        <v>1</v>
      </c>
      <c r="F545">
        <v>302.066548845</v>
      </c>
      <c r="G545">
        <v>5.2457424226584495</v>
      </c>
      <c r="H545">
        <v>312.5580336903169</v>
      </c>
      <c r="I545">
        <v>291.5750639996831</v>
      </c>
    </row>
    <row r="546" spans="1:9" x14ac:dyDescent="0.25">
      <c r="A546" s="1">
        <v>40969</v>
      </c>
      <c r="B546" t="s">
        <v>0</v>
      </c>
      <c r="C546">
        <v>310.03843430000001</v>
      </c>
      <c r="D546">
        <v>-6.7125257233371927E-3</v>
      </c>
      <c r="E546">
        <v>0</v>
      </c>
      <c r="F546">
        <v>303.10192049</v>
      </c>
      <c r="G546">
        <v>4.6647769577896954</v>
      </c>
      <c r="H546">
        <v>312.43147440557937</v>
      </c>
      <c r="I546">
        <v>293.77236657442063</v>
      </c>
    </row>
    <row r="547" spans="1:9" x14ac:dyDescent="0.25">
      <c r="A547" s="1">
        <v>40970</v>
      </c>
      <c r="B547" t="s">
        <v>0</v>
      </c>
      <c r="C547">
        <v>309.46558800000003</v>
      </c>
      <c r="D547">
        <v>1.8476622141811035E-3</v>
      </c>
      <c r="E547">
        <v>1</v>
      </c>
      <c r="F547">
        <v>304.00204869000004</v>
      </c>
      <c r="G547">
        <v>3.9362704943906865</v>
      </c>
      <c r="H547">
        <v>311.87458967878143</v>
      </c>
      <c r="I547">
        <v>296.12950770121864</v>
      </c>
    </row>
    <row r="548" spans="1:9" x14ac:dyDescent="0.25">
      <c r="A548" s="1">
        <v>40973</v>
      </c>
      <c r="B548" t="s">
        <v>0</v>
      </c>
      <c r="C548">
        <v>305.97864340000001</v>
      </c>
      <c r="D548">
        <v>1.1267632768267647E-2</v>
      </c>
      <c r="E548">
        <v>1</v>
      </c>
      <c r="F548">
        <v>304.44837666500001</v>
      </c>
      <c r="G548">
        <v>3.0536191882833976</v>
      </c>
      <c r="H548">
        <v>310.5556150415668</v>
      </c>
      <c r="I548">
        <v>298.34113828843323</v>
      </c>
    </row>
    <row r="549" spans="1:9" x14ac:dyDescent="0.25">
      <c r="A549" s="1">
        <v>40974</v>
      </c>
      <c r="B549" t="s">
        <v>0</v>
      </c>
      <c r="C549">
        <v>301.35098049999999</v>
      </c>
      <c r="D549">
        <v>1.5124136928571069E-2</v>
      </c>
      <c r="E549">
        <v>1</v>
      </c>
      <c r="F549">
        <v>304.34551240000008</v>
      </c>
      <c r="G549">
        <v>2.5917175163970598</v>
      </c>
      <c r="H549">
        <v>309.52894743279421</v>
      </c>
      <c r="I549">
        <v>299.16207736720594</v>
      </c>
    </row>
    <row r="550" spans="1:9" x14ac:dyDescent="0.25">
      <c r="A550" s="1">
        <v>40975</v>
      </c>
      <c r="B550" t="s">
        <v>0</v>
      </c>
      <c r="C550">
        <v>302.26754699999998</v>
      </c>
      <c r="D550">
        <v>-3.0415248640612525E-3</v>
      </c>
      <c r="E550">
        <v>0</v>
      </c>
      <c r="F550">
        <v>304.34626007000008</v>
      </c>
      <c r="G550">
        <v>2.668602583629696</v>
      </c>
      <c r="H550">
        <v>309.6834652372595</v>
      </c>
      <c r="I550">
        <v>299.00905490274067</v>
      </c>
    </row>
    <row r="551" spans="1:9" x14ac:dyDescent="0.25">
      <c r="A551" s="1">
        <v>40976</v>
      </c>
      <c r="B551" t="s">
        <v>0</v>
      </c>
      <c r="C551">
        <v>302.43692019999997</v>
      </c>
      <c r="D551">
        <v>-5.6034199397527601E-4</v>
      </c>
      <c r="E551">
        <v>0</v>
      </c>
      <c r="F551">
        <v>304.27876272000003</v>
      </c>
      <c r="G551">
        <v>2.6688716864250788</v>
      </c>
      <c r="H551">
        <v>309.61650609285022</v>
      </c>
      <c r="I551">
        <v>298.94101934714985</v>
      </c>
    </row>
    <row r="552" spans="1:9" x14ac:dyDescent="0.25">
      <c r="A552" s="1">
        <v>40977</v>
      </c>
      <c r="B552" t="s">
        <v>0</v>
      </c>
      <c r="C552">
        <v>299.00478520000001</v>
      </c>
      <c r="D552">
        <v>1.134826726092273E-2</v>
      </c>
      <c r="E552">
        <v>1</v>
      </c>
      <c r="F552">
        <v>303.999559965</v>
      </c>
      <c r="G552">
        <v>2.7126281334335598</v>
      </c>
      <c r="H552">
        <v>309.42481623186711</v>
      </c>
      <c r="I552">
        <v>298.57430369813289</v>
      </c>
    </row>
    <row r="553" spans="1:9" x14ac:dyDescent="0.25">
      <c r="A553" s="1">
        <v>40980</v>
      </c>
      <c r="B553" t="s">
        <v>0</v>
      </c>
      <c r="C553">
        <v>301.44561579999998</v>
      </c>
      <c r="D553">
        <v>-8.1631823997978265E-3</v>
      </c>
      <c r="E553">
        <v>0</v>
      </c>
      <c r="F553">
        <v>303.98062987000003</v>
      </c>
      <c r="G553">
        <v>2.9306545208852399</v>
      </c>
      <c r="H553">
        <v>309.84193891177051</v>
      </c>
      <c r="I553">
        <v>298.11932082822955</v>
      </c>
    </row>
    <row r="554" spans="1:9" x14ac:dyDescent="0.25">
      <c r="A554" s="1">
        <v>40981</v>
      </c>
      <c r="B554" t="s">
        <v>0</v>
      </c>
      <c r="C554">
        <v>307.7370694</v>
      </c>
      <c r="D554">
        <v>-2.0870940794090697E-2</v>
      </c>
      <c r="E554">
        <v>0</v>
      </c>
      <c r="F554">
        <v>304.11961021000002</v>
      </c>
      <c r="G554">
        <v>2.9490440146088561</v>
      </c>
      <c r="H554">
        <v>310.01769823921774</v>
      </c>
      <c r="I554">
        <v>298.2215221807823</v>
      </c>
    </row>
    <row r="555" spans="1:9" x14ac:dyDescent="0.25">
      <c r="A555" s="1">
        <v>40982</v>
      </c>
      <c r="B555" t="s">
        <v>0</v>
      </c>
      <c r="C555">
        <v>306.84540509999999</v>
      </c>
      <c r="D555">
        <v>2.8974874614179393E-3</v>
      </c>
      <c r="E555">
        <v>1</v>
      </c>
      <c r="F555">
        <v>304.27477862500007</v>
      </c>
      <c r="G555">
        <v>3.0561640262440557</v>
      </c>
      <c r="H555">
        <v>310.38710667748819</v>
      </c>
      <c r="I555">
        <v>298.16245057251194</v>
      </c>
    </row>
    <row r="556" spans="1:9" x14ac:dyDescent="0.25">
      <c r="A556" s="1">
        <v>40983</v>
      </c>
      <c r="B556" t="s">
        <v>0</v>
      </c>
      <c r="C556">
        <v>309.40580410000001</v>
      </c>
      <c r="D556">
        <v>-8.3442637805366243E-3</v>
      </c>
      <c r="E556">
        <v>0</v>
      </c>
      <c r="F556">
        <v>304.66257531999997</v>
      </c>
      <c r="G556">
        <v>3.1315715165160269</v>
      </c>
      <c r="H556">
        <v>310.92571835303204</v>
      </c>
      <c r="I556">
        <v>298.39943228696791</v>
      </c>
    </row>
    <row r="557" spans="1:9" x14ac:dyDescent="0.25">
      <c r="A557" s="1">
        <v>40984</v>
      </c>
      <c r="B557" t="s">
        <v>0</v>
      </c>
      <c r="C557">
        <v>311.35350010000002</v>
      </c>
      <c r="D557">
        <v>-6.29495624901242E-3</v>
      </c>
      <c r="E557">
        <v>0</v>
      </c>
      <c r="F557">
        <v>305.12384623500003</v>
      </c>
      <c r="G557">
        <v>3.2696486624783994</v>
      </c>
      <c r="H557">
        <v>311.66314355995684</v>
      </c>
      <c r="I557">
        <v>298.58454891004322</v>
      </c>
    </row>
    <row r="558" spans="1:9" x14ac:dyDescent="0.25">
      <c r="A558" s="1">
        <v>40987</v>
      </c>
      <c r="B558" t="s">
        <v>0</v>
      </c>
      <c r="C558">
        <v>315.80681600000003</v>
      </c>
      <c r="D558">
        <v>-1.430308603747733E-2</v>
      </c>
      <c r="E558">
        <v>0</v>
      </c>
      <c r="F558">
        <v>305.85460768499996</v>
      </c>
      <c r="G558">
        <v>3.5659940842965159</v>
      </c>
      <c r="H558">
        <v>312.98659585359297</v>
      </c>
      <c r="I558">
        <v>298.72261951640695</v>
      </c>
    </row>
    <row r="559" spans="1:9" x14ac:dyDescent="0.25">
      <c r="A559" s="1">
        <v>40988</v>
      </c>
      <c r="B559" t="s">
        <v>0</v>
      </c>
      <c r="C559">
        <v>315.56273590000001</v>
      </c>
      <c r="D559">
        <v>7.7287787227498981E-4</v>
      </c>
      <c r="E559">
        <v>1</v>
      </c>
      <c r="F559">
        <v>306.34003941999993</v>
      </c>
      <c r="G559">
        <v>4.100864811281121</v>
      </c>
      <c r="H559">
        <v>314.54176904256218</v>
      </c>
      <c r="I559">
        <v>298.13830979743767</v>
      </c>
    </row>
    <row r="560" spans="1:9" x14ac:dyDescent="0.25">
      <c r="A560" s="1">
        <v>40989</v>
      </c>
      <c r="B560" t="s">
        <v>0</v>
      </c>
      <c r="C560">
        <v>318.79562120000003</v>
      </c>
      <c r="D560">
        <v>-1.0244825932249818E-2</v>
      </c>
      <c r="E560">
        <v>0</v>
      </c>
      <c r="F560">
        <v>307.13804952999993</v>
      </c>
      <c r="G560">
        <v>4.6577904693634835</v>
      </c>
      <c r="H560">
        <v>316.45363046872689</v>
      </c>
      <c r="I560">
        <v>297.82246859127298</v>
      </c>
    </row>
    <row r="561" spans="1:9" x14ac:dyDescent="0.25">
      <c r="A561" s="1">
        <v>40990</v>
      </c>
      <c r="B561" t="s">
        <v>0</v>
      </c>
      <c r="C561">
        <v>321.81930770000002</v>
      </c>
      <c r="D561">
        <v>-9.4847177907222656E-3</v>
      </c>
      <c r="E561">
        <v>0</v>
      </c>
      <c r="F561">
        <v>308.13282356999991</v>
      </c>
      <c r="G561">
        <v>5.3435853914133453</v>
      </c>
      <c r="H561">
        <v>318.8199943528266</v>
      </c>
      <c r="I561">
        <v>297.44565278717323</v>
      </c>
    </row>
    <row r="562" spans="1:9" x14ac:dyDescent="0.25">
      <c r="A562" s="1">
        <v>40991</v>
      </c>
      <c r="B562" t="s">
        <v>0</v>
      </c>
      <c r="C562">
        <v>320.09576349999998</v>
      </c>
      <c r="D562">
        <v>5.3556270825327141E-3</v>
      </c>
      <c r="E562">
        <v>1</v>
      </c>
      <c r="F562">
        <v>308.94702324999992</v>
      </c>
      <c r="G562">
        <v>6.05435680843736</v>
      </c>
      <c r="H562">
        <v>321.05573686687461</v>
      </c>
      <c r="I562">
        <v>296.83830963312522</v>
      </c>
    </row>
    <row r="563" spans="1:9" x14ac:dyDescent="0.25">
      <c r="A563" s="1">
        <v>40994</v>
      </c>
      <c r="B563" t="s">
        <v>0</v>
      </c>
      <c r="C563">
        <v>323.45316059999999</v>
      </c>
      <c r="D563">
        <v>-1.0488727071203536E-2</v>
      </c>
      <c r="E563">
        <v>0</v>
      </c>
      <c r="F563">
        <v>309.94378855000002</v>
      </c>
      <c r="G563">
        <v>6.5226495028339704</v>
      </c>
      <c r="H563">
        <v>322.98908755566794</v>
      </c>
      <c r="I563">
        <v>296.89848954433211</v>
      </c>
    </row>
    <row r="564" spans="1:9" x14ac:dyDescent="0.25">
      <c r="A564" s="1">
        <v>40995</v>
      </c>
      <c r="B564" t="s">
        <v>0</v>
      </c>
      <c r="C564">
        <v>322.30249359999999</v>
      </c>
      <c r="D564">
        <v>3.5574455289462351E-3</v>
      </c>
      <c r="E564">
        <v>1</v>
      </c>
      <c r="F564">
        <v>310.65686807500003</v>
      </c>
      <c r="G564">
        <v>7.0791217144906042</v>
      </c>
      <c r="H564">
        <v>324.81511150398126</v>
      </c>
      <c r="I564">
        <v>296.49862464601881</v>
      </c>
    </row>
    <row r="565" spans="1:9" x14ac:dyDescent="0.25">
      <c r="A565" s="1">
        <v>40996</v>
      </c>
      <c r="B565" t="s">
        <v>0</v>
      </c>
      <c r="C565">
        <v>326.65616949999998</v>
      </c>
      <c r="D565">
        <v>-1.3508042867962424E-2</v>
      </c>
      <c r="E565">
        <v>0</v>
      </c>
      <c r="F565">
        <v>311.59111805500004</v>
      </c>
      <c r="G565">
        <v>7.5779715841119151</v>
      </c>
      <c r="H565">
        <v>326.74706122322385</v>
      </c>
      <c r="I565">
        <v>296.43517488677622</v>
      </c>
    </row>
    <row r="566" spans="1:9" x14ac:dyDescent="0.25">
      <c r="A566" s="1">
        <v>40997</v>
      </c>
      <c r="B566" t="s">
        <v>0</v>
      </c>
      <c r="C566">
        <v>322.99487740000001</v>
      </c>
      <c r="D566">
        <v>1.1208397213510976E-2</v>
      </c>
      <c r="E566">
        <v>1</v>
      </c>
      <c r="F566">
        <v>312.23894021000001</v>
      </c>
      <c r="G566">
        <v>8.2787628540680416</v>
      </c>
      <c r="H566">
        <v>328.79646591813611</v>
      </c>
      <c r="I566">
        <v>295.68141450186391</v>
      </c>
    </row>
    <row r="567" spans="1:9" x14ac:dyDescent="0.25">
      <c r="A567" s="1">
        <v>40998</v>
      </c>
      <c r="B567" t="s">
        <v>0</v>
      </c>
      <c r="C567">
        <v>319.42327710000001</v>
      </c>
      <c r="D567">
        <v>1.1057761438045642E-2</v>
      </c>
      <c r="E567">
        <v>1</v>
      </c>
      <c r="F567">
        <v>312.73682466499997</v>
      </c>
      <c r="G567">
        <v>8.6213804725920458</v>
      </c>
      <c r="H567">
        <v>329.97958561018407</v>
      </c>
      <c r="I567">
        <v>295.49406371981587</v>
      </c>
    </row>
    <row r="568" spans="1:9" x14ac:dyDescent="0.25">
      <c r="A568" s="1">
        <v>41001</v>
      </c>
      <c r="B568" t="s">
        <v>0</v>
      </c>
      <c r="C568">
        <v>322.25265839999997</v>
      </c>
      <c r="D568">
        <v>-8.8577805778199056E-3</v>
      </c>
      <c r="E568">
        <v>0</v>
      </c>
      <c r="F568">
        <v>313.55052541499998</v>
      </c>
      <c r="G568">
        <v>8.7573222508992927</v>
      </c>
      <c r="H568">
        <v>331.0651699167986</v>
      </c>
      <c r="I568">
        <v>296.03588091320137</v>
      </c>
    </row>
    <row r="569" spans="1:9" x14ac:dyDescent="0.25">
      <c r="A569" s="1">
        <v>41002</v>
      </c>
      <c r="B569" t="s">
        <v>0</v>
      </c>
      <c r="C569">
        <v>320.11068710000001</v>
      </c>
      <c r="D569">
        <v>6.6468692939104278E-3</v>
      </c>
      <c r="E569">
        <v>1</v>
      </c>
      <c r="F569">
        <v>314.48851074499999</v>
      </c>
      <c r="G569">
        <v>8.8594692587856692</v>
      </c>
      <c r="H569">
        <v>332.20744926257134</v>
      </c>
      <c r="I569">
        <v>296.76957222742863</v>
      </c>
    </row>
    <row r="570" spans="1:9" x14ac:dyDescent="0.25">
      <c r="A570" s="1">
        <v>41003</v>
      </c>
      <c r="B570" t="s">
        <v>0</v>
      </c>
      <c r="C570">
        <v>316.38964149999998</v>
      </c>
      <c r="D570">
        <v>1.162424670575775E-2</v>
      </c>
      <c r="E570">
        <v>1</v>
      </c>
      <c r="F570">
        <v>315.19461547000003</v>
      </c>
      <c r="G570">
        <v>8.4817149051036402</v>
      </c>
      <c r="H570">
        <v>332.15804528020732</v>
      </c>
      <c r="I570">
        <v>298.23118565979274</v>
      </c>
    </row>
    <row r="571" spans="1:9" x14ac:dyDescent="0.25">
      <c r="A571" s="1">
        <v>41004</v>
      </c>
      <c r="B571" t="s">
        <v>0</v>
      </c>
      <c r="C571">
        <v>314.97991000000002</v>
      </c>
      <c r="D571">
        <v>4.4556815871608238E-3</v>
      </c>
      <c r="E571">
        <v>1</v>
      </c>
      <c r="F571">
        <v>315.82176496</v>
      </c>
      <c r="G571">
        <v>8.0030465207619468</v>
      </c>
      <c r="H571">
        <v>331.82785800152391</v>
      </c>
      <c r="I571">
        <v>299.81567191847608</v>
      </c>
    </row>
    <row r="572" spans="1:9" x14ac:dyDescent="0.25">
      <c r="A572" s="1">
        <v>41008</v>
      </c>
      <c r="B572" t="s">
        <v>0</v>
      </c>
      <c r="C572">
        <v>314.24269570000001</v>
      </c>
      <c r="D572">
        <v>2.3405121298053742E-3</v>
      </c>
      <c r="E572">
        <v>1</v>
      </c>
      <c r="F572">
        <v>316.583660485</v>
      </c>
      <c r="G572">
        <v>7.4637102657266752</v>
      </c>
      <c r="H572">
        <v>331.51108101645332</v>
      </c>
      <c r="I572">
        <v>301.65623995354667</v>
      </c>
    </row>
    <row r="573" spans="1:9" x14ac:dyDescent="0.25">
      <c r="A573" s="1">
        <v>41009</v>
      </c>
      <c r="B573" t="s">
        <v>0</v>
      </c>
      <c r="C573">
        <v>312.26011790000001</v>
      </c>
      <c r="D573">
        <v>6.3090656588967176E-3</v>
      </c>
      <c r="E573">
        <v>1</v>
      </c>
      <c r="F573">
        <v>317.12438559000003</v>
      </c>
      <c r="G573">
        <v>6.3892501564614284</v>
      </c>
      <c r="H573">
        <v>329.90288590292289</v>
      </c>
      <c r="I573">
        <v>304.34588527707717</v>
      </c>
    </row>
    <row r="574" spans="1:9" x14ac:dyDescent="0.25">
      <c r="A574" s="1">
        <v>41010</v>
      </c>
      <c r="B574" t="s">
        <v>0</v>
      </c>
      <c r="C574">
        <v>316.79311510000002</v>
      </c>
      <c r="D574">
        <v>-1.4516734415157316E-2</v>
      </c>
      <c r="E574">
        <v>0</v>
      </c>
      <c r="F574">
        <v>317.57718787499999</v>
      </c>
      <c r="G574">
        <v>5.4698639263469433</v>
      </c>
      <c r="H574">
        <v>328.51691572769386</v>
      </c>
      <c r="I574">
        <v>306.63746002230613</v>
      </c>
    </row>
    <row r="575" spans="1:9" x14ac:dyDescent="0.25">
      <c r="A575" s="1">
        <v>41011</v>
      </c>
      <c r="B575" t="s">
        <v>0</v>
      </c>
      <c r="C575">
        <v>324.29004579999997</v>
      </c>
      <c r="D575">
        <v>-2.3665068281655814E-2</v>
      </c>
      <c r="E575">
        <v>0</v>
      </c>
      <c r="F575">
        <v>318.44941991000002</v>
      </c>
      <c r="G575">
        <v>5.0862109690175901</v>
      </c>
      <c r="H575">
        <v>328.62184184803522</v>
      </c>
      <c r="I575">
        <v>308.27699797196482</v>
      </c>
    </row>
    <row r="576" spans="1:9" x14ac:dyDescent="0.25">
      <c r="A576" s="1">
        <v>41012</v>
      </c>
      <c r="B576" t="s">
        <v>0</v>
      </c>
      <c r="C576">
        <v>311.13432269999998</v>
      </c>
      <c r="D576">
        <v>4.0567767251522557E-2</v>
      </c>
      <c r="E576">
        <v>1</v>
      </c>
      <c r="F576">
        <v>318.53584583999998</v>
      </c>
      <c r="G576">
        <v>4.5661799150431115</v>
      </c>
      <c r="H576">
        <v>327.66820567008619</v>
      </c>
      <c r="I576">
        <v>309.40348600991376</v>
      </c>
    </row>
    <row r="577" spans="1:9" x14ac:dyDescent="0.25">
      <c r="A577" s="1">
        <v>41015</v>
      </c>
      <c r="B577" t="s">
        <v>0</v>
      </c>
      <c r="C577">
        <v>301.90389909999999</v>
      </c>
      <c r="D577">
        <v>2.9667005298223227E-2</v>
      </c>
      <c r="E577">
        <v>1</v>
      </c>
      <c r="F577">
        <v>318.06336578999998</v>
      </c>
      <c r="G577">
        <v>4.4322094428266618</v>
      </c>
      <c r="H577">
        <v>326.9277846756533</v>
      </c>
      <c r="I577">
        <v>309.19894690434666</v>
      </c>
    </row>
    <row r="578" spans="1:9" x14ac:dyDescent="0.25">
      <c r="A578" s="1">
        <v>41016</v>
      </c>
      <c r="B578" t="s">
        <v>0</v>
      </c>
      <c r="C578">
        <v>303.64737109999999</v>
      </c>
      <c r="D578">
        <v>-5.7749237595056853E-3</v>
      </c>
      <c r="E578">
        <v>0</v>
      </c>
      <c r="F578">
        <v>317.45539354499999</v>
      </c>
      <c r="G578">
        <v>5.5515235838588675</v>
      </c>
      <c r="H578">
        <v>328.55844071271775</v>
      </c>
      <c r="I578">
        <v>306.35234637728223</v>
      </c>
    </row>
    <row r="579" spans="1:9" x14ac:dyDescent="0.25">
      <c r="A579" s="1">
        <v>41017</v>
      </c>
      <c r="B579" t="s">
        <v>0</v>
      </c>
      <c r="C579">
        <v>302.59133939999998</v>
      </c>
      <c r="D579">
        <v>3.4778226341114055E-3</v>
      </c>
      <c r="E579">
        <v>1</v>
      </c>
      <c r="F579">
        <v>316.80682371999995</v>
      </c>
      <c r="G579">
        <v>6.3747345604369343</v>
      </c>
      <c r="H579">
        <v>329.55629284087382</v>
      </c>
      <c r="I579">
        <v>304.05735459912609</v>
      </c>
    </row>
    <row r="580" spans="1:9" x14ac:dyDescent="0.25">
      <c r="A580" s="1">
        <v>41018</v>
      </c>
      <c r="B580" t="s">
        <v>0</v>
      </c>
      <c r="C580">
        <v>298.53154849999999</v>
      </c>
      <c r="D580">
        <v>1.3416745198491283E-2</v>
      </c>
      <c r="E580">
        <v>1</v>
      </c>
      <c r="F580">
        <v>315.79362008500004</v>
      </c>
      <c r="G580">
        <v>7.1896059919456539</v>
      </c>
      <c r="H580">
        <v>330.17283206889135</v>
      </c>
      <c r="I580">
        <v>301.41440810110873</v>
      </c>
    </row>
    <row r="581" spans="1:9" x14ac:dyDescent="0.25">
      <c r="A581" s="1">
        <v>41019</v>
      </c>
      <c r="B581" t="s">
        <v>0</v>
      </c>
      <c r="C581">
        <v>296.91759300000001</v>
      </c>
      <c r="D581">
        <v>5.406314703117465E-3</v>
      </c>
      <c r="E581">
        <v>1</v>
      </c>
      <c r="F581">
        <v>314.54853435000007</v>
      </c>
      <c r="G581">
        <v>8.2273342002425913</v>
      </c>
      <c r="H581">
        <v>331.00320275048523</v>
      </c>
      <c r="I581">
        <v>298.09386594951491</v>
      </c>
    </row>
    <row r="582" spans="1:9" x14ac:dyDescent="0.25">
      <c r="A582" s="1">
        <v>41022</v>
      </c>
      <c r="B582" t="s">
        <v>0</v>
      </c>
      <c r="C582">
        <v>297.68471460000001</v>
      </c>
      <c r="D582">
        <v>-2.5836178727206504E-3</v>
      </c>
      <c r="E582">
        <v>0</v>
      </c>
      <c r="F582">
        <v>313.42798190500002</v>
      </c>
      <c r="G582">
        <v>9.0467653453309183</v>
      </c>
      <c r="H582">
        <v>331.52151259566187</v>
      </c>
      <c r="I582">
        <v>295.33445121433817</v>
      </c>
    </row>
    <row r="583" spans="1:9" x14ac:dyDescent="0.25">
      <c r="A583" s="1">
        <v>41023</v>
      </c>
      <c r="B583" t="s">
        <v>0</v>
      </c>
      <c r="C583">
        <v>299.5128732</v>
      </c>
      <c r="D583">
        <v>-6.1412578823756463E-3</v>
      </c>
      <c r="E583">
        <v>0</v>
      </c>
      <c r="F583">
        <v>312.23096753499999</v>
      </c>
      <c r="G583">
        <v>9.6667659699286226</v>
      </c>
      <c r="H583">
        <v>331.56449947485726</v>
      </c>
      <c r="I583">
        <v>292.89743559514272</v>
      </c>
    </row>
    <row r="584" spans="1:9" x14ac:dyDescent="0.25">
      <c r="A584" s="1">
        <v>41024</v>
      </c>
      <c r="B584" t="s">
        <v>0</v>
      </c>
      <c r="C584">
        <v>303.72210899999999</v>
      </c>
      <c r="D584">
        <v>-1.4053605626457553E-2</v>
      </c>
      <c r="E584">
        <v>0</v>
      </c>
      <c r="F584">
        <v>311.30194830499994</v>
      </c>
      <c r="G584">
        <v>9.8030636213059026</v>
      </c>
      <c r="H584">
        <v>330.90807554761176</v>
      </c>
      <c r="I584">
        <v>291.69582106238812</v>
      </c>
    </row>
    <row r="585" spans="1:9" x14ac:dyDescent="0.25">
      <c r="A585" s="1">
        <v>41025</v>
      </c>
      <c r="B585" t="s">
        <v>0</v>
      </c>
      <c r="C585">
        <v>306.58637149999998</v>
      </c>
      <c r="D585">
        <v>-9.4305367147308836E-3</v>
      </c>
      <c r="E585">
        <v>0</v>
      </c>
      <c r="F585">
        <v>310.29845840499996</v>
      </c>
      <c r="G585">
        <v>9.691705045960024</v>
      </c>
      <c r="H585">
        <v>329.68186849692</v>
      </c>
      <c r="I585">
        <v>290.91504831307992</v>
      </c>
    </row>
    <row r="586" spans="1:9" x14ac:dyDescent="0.25">
      <c r="A586" s="1">
        <v>41026</v>
      </c>
      <c r="B586" t="s">
        <v>0</v>
      </c>
      <c r="C586">
        <v>306.34229190000002</v>
      </c>
      <c r="D586">
        <v>7.9612018892354335E-4</v>
      </c>
      <c r="E586">
        <v>1</v>
      </c>
      <c r="F586">
        <v>309.46582912999997</v>
      </c>
      <c r="G586">
        <v>9.051666258408634</v>
      </c>
      <c r="H586">
        <v>327.56916164681724</v>
      </c>
      <c r="I586">
        <v>291.36249661318271</v>
      </c>
    </row>
    <row r="587" spans="1:9" x14ac:dyDescent="0.25">
      <c r="A587" s="1">
        <v>41029</v>
      </c>
      <c r="B587" t="s">
        <v>0</v>
      </c>
      <c r="C587">
        <v>301.29620139999997</v>
      </c>
      <c r="D587">
        <v>1.6472066160709061E-2</v>
      </c>
      <c r="E587">
        <v>1</v>
      </c>
      <c r="F587">
        <v>308.55947534499995</v>
      </c>
      <c r="G587">
        <v>8.6075667946265462</v>
      </c>
      <c r="H587">
        <v>325.77460893425302</v>
      </c>
      <c r="I587">
        <v>291.34434175574688</v>
      </c>
    </row>
    <row r="588" spans="1:9" x14ac:dyDescent="0.25">
      <c r="A588" s="1">
        <v>41030</v>
      </c>
      <c r="B588" t="s">
        <v>0</v>
      </c>
      <c r="C588">
        <v>301.08697260000002</v>
      </c>
      <c r="D588">
        <v>6.9442893414436687E-4</v>
      </c>
      <c r="E588">
        <v>1</v>
      </c>
      <c r="F588">
        <v>307.50119105500005</v>
      </c>
      <c r="G588">
        <v>8.4821471193222564</v>
      </c>
      <c r="H588">
        <v>324.46548529364458</v>
      </c>
      <c r="I588">
        <v>290.53689681635552</v>
      </c>
    </row>
    <row r="589" spans="1:9" x14ac:dyDescent="0.25">
      <c r="A589" s="1">
        <v>41031</v>
      </c>
      <c r="B589" t="s">
        <v>0</v>
      </c>
      <c r="C589">
        <v>302.49670409999999</v>
      </c>
      <c r="D589">
        <v>-4.6821404719918584E-3</v>
      </c>
      <c r="E589">
        <v>0</v>
      </c>
      <c r="F589">
        <v>306.62049190499999</v>
      </c>
      <c r="G589">
        <v>7.9937019724612437</v>
      </c>
      <c r="H589">
        <v>322.6078958499225</v>
      </c>
      <c r="I589">
        <v>290.63308796007749</v>
      </c>
    </row>
    <row r="590" spans="1:9" x14ac:dyDescent="0.25">
      <c r="A590" s="1">
        <v>41032</v>
      </c>
      <c r="B590" t="s">
        <v>0</v>
      </c>
      <c r="C590">
        <v>304.36966230000002</v>
      </c>
      <c r="D590">
        <v>-6.1916648168862734E-3</v>
      </c>
      <c r="E590">
        <v>0</v>
      </c>
      <c r="F590">
        <v>306.01949294500002</v>
      </c>
      <c r="G590">
        <v>7.4840820377334918</v>
      </c>
      <c r="H590">
        <v>320.987657020467</v>
      </c>
      <c r="I590">
        <v>291.05132886953305</v>
      </c>
    </row>
    <row r="591" spans="1:9" x14ac:dyDescent="0.25">
      <c r="A591" s="1">
        <v>41033</v>
      </c>
      <c r="B591" t="s">
        <v>0</v>
      </c>
      <c r="C591">
        <v>297.37090189999998</v>
      </c>
      <c r="D591">
        <v>2.2994277245350931E-2</v>
      </c>
      <c r="E591">
        <v>1</v>
      </c>
      <c r="F591">
        <v>305.13904253999999</v>
      </c>
      <c r="G591">
        <v>7.1795386250378543</v>
      </c>
      <c r="H591">
        <v>319.49811979007569</v>
      </c>
      <c r="I591">
        <v>290.77996528992429</v>
      </c>
    </row>
    <row r="592" spans="1:9" x14ac:dyDescent="0.25">
      <c r="A592" s="1">
        <v>41036</v>
      </c>
      <c r="B592" t="s">
        <v>0</v>
      </c>
      <c r="C592">
        <v>302.64114369999999</v>
      </c>
      <c r="D592">
        <v>-1.7722789171121682E-2</v>
      </c>
      <c r="E592">
        <v>0</v>
      </c>
      <c r="F592">
        <v>304.55896494000001</v>
      </c>
      <c r="G592">
        <v>7.0751206153894515</v>
      </c>
      <c r="H592">
        <v>318.70920617077888</v>
      </c>
      <c r="I592">
        <v>290.40872370922114</v>
      </c>
    </row>
    <row r="593" spans="1:9" x14ac:dyDescent="0.25">
      <c r="A593" s="1">
        <v>41037</v>
      </c>
      <c r="B593" t="s">
        <v>0</v>
      </c>
      <c r="C593">
        <v>305.25137790000002</v>
      </c>
      <c r="D593">
        <v>-8.62484911366675E-3</v>
      </c>
      <c r="E593">
        <v>0</v>
      </c>
      <c r="F593">
        <v>304.20852793999995</v>
      </c>
      <c r="G593">
        <v>6.7583509569346205</v>
      </c>
      <c r="H593">
        <v>317.72522985386922</v>
      </c>
      <c r="I593">
        <v>290.69182602613068</v>
      </c>
    </row>
    <row r="594" spans="1:9" x14ac:dyDescent="0.25">
      <c r="A594" s="1">
        <v>41038</v>
      </c>
      <c r="B594" t="s">
        <v>0</v>
      </c>
      <c r="C594">
        <v>303.4381727</v>
      </c>
      <c r="D594">
        <v>5.9400393618993944E-3</v>
      </c>
      <c r="E594">
        <v>1</v>
      </c>
      <c r="F594">
        <v>303.54078081999995</v>
      </c>
      <c r="G594">
        <v>6.5524167778860312</v>
      </c>
      <c r="H594">
        <v>316.64561437577203</v>
      </c>
      <c r="I594">
        <v>290.43594726422788</v>
      </c>
    </row>
    <row r="595" spans="1:9" x14ac:dyDescent="0.25">
      <c r="A595" s="1">
        <v>41039</v>
      </c>
      <c r="B595" t="s">
        <v>0</v>
      </c>
      <c r="C595">
        <v>305.68475899999999</v>
      </c>
      <c r="D595">
        <v>-7.4037695389799251E-3</v>
      </c>
      <c r="E595">
        <v>0</v>
      </c>
      <c r="F595">
        <v>302.61051648</v>
      </c>
      <c r="G595">
        <v>5.9176740026187016</v>
      </c>
      <c r="H595">
        <v>314.44586448523739</v>
      </c>
      <c r="I595">
        <v>290.77516847476261</v>
      </c>
    </row>
    <row r="596" spans="1:9" x14ac:dyDescent="0.25">
      <c r="A596" s="1">
        <v>41040</v>
      </c>
      <c r="B596" t="s">
        <v>0</v>
      </c>
      <c r="C596">
        <v>301.48547189999999</v>
      </c>
      <c r="D596">
        <v>1.3737312628007052E-2</v>
      </c>
      <c r="E596">
        <v>1</v>
      </c>
      <c r="F596">
        <v>302.12807393999998</v>
      </c>
      <c r="G596">
        <v>3.4962930630058424</v>
      </c>
      <c r="H596">
        <v>309.12066006601168</v>
      </c>
      <c r="I596">
        <v>295.13548781398828</v>
      </c>
    </row>
    <row r="597" spans="1:9" x14ac:dyDescent="0.25">
      <c r="A597" s="1">
        <v>41043</v>
      </c>
      <c r="B597" t="s">
        <v>0</v>
      </c>
      <c r="C597">
        <v>300.8727695</v>
      </c>
      <c r="D597">
        <v>2.0322783586839538E-3</v>
      </c>
      <c r="E597">
        <v>1</v>
      </c>
      <c r="F597">
        <v>302.07651745999999</v>
      </c>
      <c r="G597">
        <v>2.8621223394176027</v>
      </c>
      <c r="H597">
        <v>307.80076213883518</v>
      </c>
      <c r="I597">
        <v>296.3522727811648</v>
      </c>
    </row>
    <row r="598" spans="1:9" x14ac:dyDescent="0.25">
      <c r="A598" s="1">
        <v>41044</v>
      </c>
      <c r="B598" t="s">
        <v>0</v>
      </c>
      <c r="C598">
        <v>304.41449269999998</v>
      </c>
      <c r="D598">
        <v>-1.1771497985296999E-2</v>
      </c>
      <c r="E598">
        <v>0</v>
      </c>
      <c r="F598">
        <v>302.11487354000002</v>
      </c>
      <c r="G598">
        <v>2.8747480024022996</v>
      </c>
      <c r="H598">
        <v>307.86436954480462</v>
      </c>
      <c r="I598">
        <v>296.36537753519542</v>
      </c>
    </row>
    <row r="599" spans="1:9" x14ac:dyDescent="0.25">
      <c r="A599" s="1">
        <v>41045</v>
      </c>
      <c r="B599" t="s">
        <v>0</v>
      </c>
      <c r="C599">
        <v>313.2912475</v>
      </c>
      <c r="D599">
        <v>-2.9160092613422461E-2</v>
      </c>
      <c r="E599">
        <v>0</v>
      </c>
      <c r="F599">
        <v>302.64986894500004</v>
      </c>
      <c r="G599">
        <v>2.9491322683407777</v>
      </c>
      <c r="H599">
        <v>308.54813348168159</v>
      </c>
      <c r="I599">
        <v>296.75160440831849</v>
      </c>
    </row>
    <row r="600" spans="1:9" x14ac:dyDescent="0.25">
      <c r="A600" s="1">
        <v>41046</v>
      </c>
      <c r="B600" t="s">
        <v>0</v>
      </c>
      <c r="C600">
        <v>310.36222670000001</v>
      </c>
      <c r="D600">
        <v>9.3491944743843806E-3</v>
      </c>
      <c r="E600">
        <v>1</v>
      </c>
      <c r="F600">
        <v>303.24140285500005</v>
      </c>
      <c r="G600">
        <v>3.8352404220605942</v>
      </c>
      <c r="H600">
        <v>310.91188369912123</v>
      </c>
      <c r="I600">
        <v>295.57092201087886</v>
      </c>
    </row>
    <row r="601" spans="1:9" x14ac:dyDescent="0.25">
      <c r="A601" s="1">
        <v>41047</v>
      </c>
      <c r="B601" t="s">
        <v>0</v>
      </c>
      <c r="C601">
        <v>299.07949209999998</v>
      </c>
      <c r="D601">
        <v>3.6353440043159817E-2</v>
      </c>
      <c r="E601">
        <v>1</v>
      </c>
      <c r="F601">
        <v>303.34949781</v>
      </c>
      <c r="G601">
        <v>4.0183235090786713</v>
      </c>
      <c r="H601">
        <v>311.38614482815734</v>
      </c>
      <c r="I601">
        <v>295.31285079184266</v>
      </c>
    </row>
    <row r="602" spans="1:9" x14ac:dyDescent="0.25">
      <c r="A602" s="1">
        <v>41050</v>
      </c>
      <c r="B602" t="s">
        <v>0</v>
      </c>
      <c r="C602">
        <v>305.9089108</v>
      </c>
      <c r="D602">
        <v>-2.2834794362017106E-2</v>
      </c>
      <c r="E602">
        <v>0</v>
      </c>
      <c r="F602">
        <v>303.76070762000006</v>
      </c>
      <c r="G602">
        <v>3.8934810639556483</v>
      </c>
      <c r="H602">
        <v>311.54766974791136</v>
      </c>
      <c r="I602">
        <v>295.97374549208877</v>
      </c>
    </row>
    <row r="603" spans="1:9" x14ac:dyDescent="0.25">
      <c r="A603" s="1">
        <v>41051</v>
      </c>
      <c r="B603" t="s">
        <v>0</v>
      </c>
      <c r="C603">
        <v>299.27874179999998</v>
      </c>
      <c r="D603">
        <v>2.1673670710215951E-2</v>
      </c>
      <c r="E603">
        <v>1</v>
      </c>
      <c r="F603">
        <v>303.74900105000006</v>
      </c>
      <c r="G603">
        <v>3.6802426720715022</v>
      </c>
      <c r="H603">
        <v>311.10948639414306</v>
      </c>
      <c r="I603">
        <v>296.38851570585706</v>
      </c>
    </row>
    <row r="604" spans="1:9" x14ac:dyDescent="0.25">
      <c r="A604" s="1">
        <v>41052</v>
      </c>
      <c r="B604" t="s">
        <v>0</v>
      </c>
      <c r="C604">
        <v>303.5925919</v>
      </c>
      <c r="D604">
        <v>-1.4414154757716992E-2</v>
      </c>
      <c r="E604">
        <v>0</v>
      </c>
      <c r="F604">
        <v>303.74252519500004</v>
      </c>
      <c r="G604">
        <v>3.6940695705505102</v>
      </c>
      <c r="H604">
        <v>311.13066433610106</v>
      </c>
      <c r="I604">
        <v>296.35438605389902</v>
      </c>
    </row>
    <row r="605" spans="1:9" x14ac:dyDescent="0.25">
      <c r="A605" s="1">
        <v>41053</v>
      </c>
      <c r="B605" t="s">
        <v>0</v>
      </c>
      <c r="C605">
        <v>300.70339630000001</v>
      </c>
      <c r="D605">
        <v>9.5166867607614815E-3</v>
      </c>
      <c r="E605">
        <v>1</v>
      </c>
      <c r="F605">
        <v>303.44837643499994</v>
      </c>
      <c r="G605">
        <v>3.7059110409821452</v>
      </c>
      <c r="H605">
        <v>310.86019851696426</v>
      </c>
      <c r="I605">
        <v>296.03655435303563</v>
      </c>
    </row>
    <row r="606" spans="1:9" x14ac:dyDescent="0.25">
      <c r="A606" s="1">
        <v>41054</v>
      </c>
      <c r="B606" t="s">
        <v>0</v>
      </c>
      <c r="C606">
        <v>294.66105800000003</v>
      </c>
      <c r="D606">
        <v>2.009401414931735E-2</v>
      </c>
      <c r="E606">
        <v>1</v>
      </c>
      <c r="F606">
        <v>302.86431473999994</v>
      </c>
      <c r="G606">
        <v>3.7362146422440299</v>
      </c>
      <c r="H606">
        <v>310.33674402448798</v>
      </c>
      <c r="I606">
        <v>295.3918854555119</v>
      </c>
    </row>
    <row r="607" spans="1:9" x14ac:dyDescent="0.25">
      <c r="A607" s="1">
        <v>41058</v>
      </c>
      <c r="B607" t="s">
        <v>0</v>
      </c>
      <c r="C607">
        <v>296.06081039999998</v>
      </c>
      <c r="D607">
        <v>-4.7503813686841315E-3</v>
      </c>
      <c r="E607">
        <v>0</v>
      </c>
      <c r="F607">
        <v>302.60254518999994</v>
      </c>
      <c r="G607">
        <v>4.097276894605673</v>
      </c>
      <c r="H607">
        <v>310.79709897921128</v>
      </c>
      <c r="I607">
        <v>294.4079914007886</v>
      </c>
    </row>
    <row r="608" spans="1:9" x14ac:dyDescent="0.25">
      <c r="A608" s="1">
        <v>41059</v>
      </c>
      <c r="B608" t="s">
        <v>0</v>
      </c>
      <c r="C608">
        <v>293.01719559999998</v>
      </c>
      <c r="D608">
        <v>1.0280370427574835E-2</v>
      </c>
      <c r="E608">
        <v>1</v>
      </c>
      <c r="F608">
        <v>302.19905633999997</v>
      </c>
      <c r="G608">
        <v>4.3594574434664546</v>
      </c>
      <c r="H608">
        <v>310.91797122693288</v>
      </c>
      <c r="I608">
        <v>293.48014145306706</v>
      </c>
    </row>
    <row r="609" spans="1:9" x14ac:dyDescent="0.25">
      <c r="A609" s="1">
        <v>41060</v>
      </c>
      <c r="B609" t="s">
        <v>0</v>
      </c>
      <c r="C609">
        <v>289.34595530000001</v>
      </c>
      <c r="D609">
        <v>1.2529095067211017E-2</v>
      </c>
      <c r="E609">
        <v>1</v>
      </c>
      <c r="F609">
        <v>301.54151889999991</v>
      </c>
      <c r="G609">
        <v>4.8570275381755845</v>
      </c>
      <c r="H609">
        <v>311.25557397635106</v>
      </c>
      <c r="I609">
        <v>291.82746382364877</v>
      </c>
    </row>
    <row r="610" spans="1:9" x14ac:dyDescent="0.25">
      <c r="A610" s="1">
        <v>41061</v>
      </c>
      <c r="B610" t="s">
        <v>0</v>
      </c>
      <c r="C610">
        <v>284.42440749999997</v>
      </c>
      <c r="D610">
        <v>1.7009215818818951E-2</v>
      </c>
      <c r="E610">
        <v>1</v>
      </c>
      <c r="F610">
        <v>300.54425615999992</v>
      </c>
      <c r="G610">
        <v>5.654751905871346</v>
      </c>
      <c r="H610">
        <v>311.85375997174259</v>
      </c>
      <c r="I610">
        <v>289.23475234825725</v>
      </c>
    </row>
    <row r="611" spans="1:9" x14ac:dyDescent="0.25">
      <c r="A611" s="1">
        <v>41064</v>
      </c>
      <c r="B611" t="s">
        <v>0</v>
      </c>
      <c r="C611">
        <v>288.21518520000001</v>
      </c>
      <c r="D611">
        <v>-1.332789170001184E-2</v>
      </c>
      <c r="E611">
        <v>0</v>
      </c>
      <c r="F611">
        <v>300.08647032499999</v>
      </c>
      <c r="G611">
        <v>6.666826563062056</v>
      </c>
      <c r="H611">
        <v>313.42012345112408</v>
      </c>
      <c r="I611">
        <v>286.7528171988759</v>
      </c>
    </row>
    <row r="612" spans="1:9" x14ac:dyDescent="0.25">
      <c r="A612" s="1">
        <v>41065</v>
      </c>
      <c r="B612" t="s">
        <v>0</v>
      </c>
      <c r="C612">
        <v>284.1404713</v>
      </c>
      <c r="D612">
        <v>1.4137748839196159E-2</v>
      </c>
      <c r="E612">
        <v>1</v>
      </c>
      <c r="F612">
        <v>299.16143670499997</v>
      </c>
      <c r="G612">
        <v>7.2097100186130678</v>
      </c>
      <c r="H612">
        <v>313.5808567422261</v>
      </c>
      <c r="I612">
        <v>284.74201666777384</v>
      </c>
    </row>
    <row r="613" spans="1:9" x14ac:dyDescent="0.25">
      <c r="A613" s="1">
        <v>41066</v>
      </c>
      <c r="B613" t="s">
        <v>0</v>
      </c>
      <c r="C613">
        <v>289.2014848</v>
      </c>
      <c r="D613">
        <v>-1.7811660116015305E-2</v>
      </c>
      <c r="E613">
        <v>0</v>
      </c>
      <c r="F613">
        <v>298.35894204999994</v>
      </c>
      <c r="G613">
        <v>7.9561277183156758</v>
      </c>
      <c r="H613">
        <v>314.27119748663131</v>
      </c>
      <c r="I613">
        <v>282.44668661336857</v>
      </c>
    </row>
    <row r="614" spans="1:9" x14ac:dyDescent="0.25">
      <c r="A614" s="1">
        <v>41067</v>
      </c>
      <c r="B614" t="s">
        <v>0</v>
      </c>
      <c r="C614">
        <v>288.03586389999998</v>
      </c>
      <c r="D614">
        <v>4.0304803442005764E-3</v>
      </c>
      <c r="E614">
        <v>1</v>
      </c>
      <c r="F614">
        <v>297.58882660999996</v>
      </c>
      <c r="G614">
        <v>8.1062145066632638</v>
      </c>
      <c r="H614">
        <v>313.80125562332648</v>
      </c>
      <c r="I614">
        <v>281.37639759667343</v>
      </c>
    </row>
    <row r="615" spans="1:9" x14ac:dyDescent="0.25">
      <c r="A615" s="1">
        <v>41068</v>
      </c>
      <c r="B615" t="s">
        <v>0</v>
      </c>
      <c r="C615">
        <v>289.1417313</v>
      </c>
      <c r="D615">
        <v>-3.8393392580583518E-3</v>
      </c>
      <c r="E615">
        <v>0</v>
      </c>
      <c r="F615">
        <v>296.76167522499998</v>
      </c>
      <c r="G615">
        <v>8.3214845661485164</v>
      </c>
      <c r="H615">
        <v>313.404644357297</v>
      </c>
      <c r="I615">
        <v>280.11870609270295</v>
      </c>
    </row>
    <row r="616" spans="1:9" x14ac:dyDescent="0.25">
      <c r="A616" s="1">
        <v>41071</v>
      </c>
      <c r="B616" t="s">
        <v>0</v>
      </c>
      <c r="C616">
        <v>283.18902300000002</v>
      </c>
      <c r="D616">
        <v>2.0587510053412975E-2</v>
      </c>
      <c r="E616">
        <v>1</v>
      </c>
      <c r="F616">
        <v>295.84685277999995</v>
      </c>
      <c r="G616">
        <v>8.3069917273792679</v>
      </c>
      <c r="H616">
        <v>312.46083623475846</v>
      </c>
      <c r="I616">
        <v>279.23286932524144</v>
      </c>
    </row>
    <row r="617" spans="1:9" x14ac:dyDescent="0.25">
      <c r="A617" s="1">
        <v>41072</v>
      </c>
      <c r="B617" t="s">
        <v>0</v>
      </c>
      <c r="C617">
        <v>281.49535580000003</v>
      </c>
      <c r="D617">
        <v>5.9806950921257743E-3</v>
      </c>
      <c r="E617">
        <v>1</v>
      </c>
      <c r="F617">
        <v>294.87798209499999</v>
      </c>
      <c r="G617">
        <v>8.7387729928721178</v>
      </c>
      <c r="H617">
        <v>312.35552808074425</v>
      </c>
      <c r="I617">
        <v>277.40043610925574</v>
      </c>
    </row>
    <row r="618" spans="1:9" x14ac:dyDescent="0.25">
      <c r="A618" s="1">
        <v>41073</v>
      </c>
      <c r="B618" t="s">
        <v>0</v>
      </c>
      <c r="C618">
        <v>279.49785489999999</v>
      </c>
      <c r="D618">
        <v>7.0960350103226599E-3</v>
      </c>
      <c r="E618">
        <v>1</v>
      </c>
      <c r="F618">
        <v>293.63215020499996</v>
      </c>
      <c r="G618">
        <v>9.2236712346611807</v>
      </c>
      <c r="H618">
        <v>312.0794926743223</v>
      </c>
      <c r="I618">
        <v>275.18480773567762</v>
      </c>
    </row>
    <row r="619" spans="1:9" x14ac:dyDescent="0.25">
      <c r="A619" s="1">
        <v>41074</v>
      </c>
      <c r="B619" t="s">
        <v>0</v>
      </c>
      <c r="C619">
        <v>278.48164789999998</v>
      </c>
      <c r="D619">
        <v>3.6358311242266658E-3</v>
      </c>
      <c r="E619">
        <v>1</v>
      </c>
      <c r="F619">
        <v>291.89167022499998</v>
      </c>
      <c r="G619">
        <v>9.6063183015331095</v>
      </c>
      <c r="H619">
        <v>311.10430682806623</v>
      </c>
      <c r="I619">
        <v>272.67903362193374</v>
      </c>
    </row>
    <row r="620" spans="1:9" x14ac:dyDescent="0.25">
      <c r="A620" s="1">
        <v>41075</v>
      </c>
      <c r="B620" t="s">
        <v>0</v>
      </c>
      <c r="C620">
        <v>281.2014709</v>
      </c>
      <c r="D620">
        <v>-9.7666148577829487E-3</v>
      </c>
      <c r="E620">
        <v>0</v>
      </c>
      <c r="F620">
        <v>290.43363243499999</v>
      </c>
      <c r="G620">
        <v>8.9722664398608423</v>
      </c>
      <c r="H620">
        <v>308.37816531472168</v>
      </c>
      <c r="I620">
        <v>272.4890995552783</v>
      </c>
    </row>
    <row r="621" spans="1:9" x14ac:dyDescent="0.25">
      <c r="A621" s="1">
        <v>41078</v>
      </c>
      <c r="B621" t="s">
        <v>0</v>
      </c>
      <c r="C621">
        <v>284.35964869999998</v>
      </c>
      <c r="D621">
        <v>-1.1231014510315549E-2</v>
      </c>
      <c r="E621">
        <v>0</v>
      </c>
      <c r="F621">
        <v>289.69764026499996</v>
      </c>
      <c r="G621">
        <v>8.0899596045729183</v>
      </c>
      <c r="H621">
        <v>305.87755947414581</v>
      </c>
      <c r="I621">
        <v>273.51772105585411</v>
      </c>
    </row>
    <row r="622" spans="1:9" x14ac:dyDescent="0.25">
      <c r="A622" s="1">
        <v>41079</v>
      </c>
      <c r="B622" t="s">
        <v>0</v>
      </c>
      <c r="C622">
        <v>289.67969590000001</v>
      </c>
      <c r="D622">
        <v>-1.8708868238941644E-2</v>
      </c>
      <c r="E622">
        <v>0</v>
      </c>
      <c r="F622">
        <v>288.88617952000004</v>
      </c>
      <c r="G622">
        <v>7.9454178901429326</v>
      </c>
      <c r="H622">
        <v>304.77701530028588</v>
      </c>
      <c r="I622">
        <v>272.9953437397142</v>
      </c>
    </row>
    <row r="623" spans="1:9" x14ac:dyDescent="0.25">
      <c r="A623" s="1">
        <v>41080</v>
      </c>
      <c r="B623" t="s">
        <v>0</v>
      </c>
      <c r="C623">
        <v>287.67722070000002</v>
      </c>
      <c r="D623">
        <v>6.9127219765214897E-3</v>
      </c>
      <c r="E623">
        <v>1</v>
      </c>
      <c r="F623">
        <v>288.30610346500009</v>
      </c>
      <c r="G623">
        <v>7.0006405477855802</v>
      </c>
      <c r="H623">
        <v>302.30738456057128</v>
      </c>
      <c r="I623">
        <v>274.3048223694289</v>
      </c>
    </row>
    <row r="624" spans="1:9" x14ac:dyDescent="0.25">
      <c r="A624" s="1">
        <v>41081</v>
      </c>
      <c r="B624" t="s">
        <v>0</v>
      </c>
      <c r="C624">
        <v>281.55016540000003</v>
      </c>
      <c r="D624">
        <v>2.12983679593787E-2</v>
      </c>
      <c r="E624">
        <v>1</v>
      </c>
      <c r="F624">
        <v>287.20398214000005</v>
      </c>
      <c r="G624">
        <v>6.6500732754902403</v>
      </c>
      <c r="H624">
        <v>300.50412869098051</v>
      </c>
      <c r="I624">
        <v>273.90383558901959</v>
      </c>
    </row>
    <row r="625" spans="1:9" x14ac:dyDescent="0.25">
      <c r="A625" s="1">
        <v>41082</v>
      </c>
      <c r="B625" t="s">
        <v>0</v>
      </c>
      <c r="C625">
        <v>284.67346199999997</v>
      </c>
      <c r="D625">
        <v>-1.1093215291003862E-2</v>
      </c>
      <c r="E625">
        <v>0</v>
      </c>
      <c r="F625">
        <v>286.40248542500001</v>
      </c>
      <c r="G625">
        <v>5.747593169905314</v>
      </c>
      <c r="H625">
        <v>297.89767176481064</v>
      </c>
      <c r="I625">
        <v>274.90729908518938</v>
      </c>
    </row>
    <row r="626" spans="1:9" x14ac:dyDescent="0.25">
      <c r="A626" s="1">
        <v>41085</v>
      </c>
      <c r="B626" t="s">
        <v>0</v>
      </c>
      <c r="C626">
        <v>279.30357959999998</v>
      </c>
      <c r="D626">
        <v>1.8863305213887464E-2</v>
      </c>
      <c r="E626">
        <v>1</v>
      </c>
      <c r="F626">
        <v>285.63461150500001</v>
      </c>
      <c r="G626">
        <v>4.8526416631803384</v>
      </c>
      <c r="H626">
        <v>295.33989483136071</v>
      </c>
      <c r="I626">
        <v>275.92932817863931</v>
      </c>
    </row>
    <row r="627" spans="1:9" x14ac:dyDescent="0.25">
      <c r="A627" s="1">
        <v>41086</v>
      </c>
      <c r="B627" t="s">
        <v>0</v>
      </c>
      <c r="C627">
        <v>281.28615739999998</v>
      </c>
      <c r="D627">
        <v>-7.0982899783787858E-3</v>
      </c>
      <c r="E627">
        <v>0</v>
      </c>
      <c r="F627">
        <v>284.89587885499998</v>
      </c>
      <c r="G627">
        <v>4.6929860933270637</v>
      </c>
      <c r="H627">
        <v>294.28185104165408</v>
      </c>
      <c r="I627">
        <v>275.50990666834588</v>
      </c>
    </row>
    <row r="628" spans="1:9" x14ac:dyDescent="0.25">
      <c r="A628" s="1">
        <v>41087</v>
      </c>
      <c r="B628" t="s">
        <v>0</v>
      </c>
      <c r="C628">
        <v>283.58752229999999</v>
      </c>
      <c r="D628">
        <v>-8.1815789346767562E-3</v>
      </c>
      <c r="E628">
        <v>0</v>
      </c>
      <c r="F628">
        <v>284.42439518999998</v>
      </c>
      <c r="G628">
        <v>4.082295303800378</v>
      </c>
      <c r="H628">
        <v>292.58898579760074</v>
      </c>
      <c r="I628">
        <v>276.25980458239923</v>
      </c>
    </row>
    <row r="629" spans="1:9" x14ac:dyDescent="0.25">
      <c r="A629" s="1">
        <v>41088</v>
      </c>
      <c r="B629" t="s">
        <v>0</v>
      </c>
      <c r="C629">
        <v>281.10183080000002</v>
      </c>
      <c r="D629">
        <v>8.7651652648187521E-3</v>
      </c>
      <c r="E629">
        <v>1</v>
      </c>
      <c r="F629">
        <v>284.01218896499995</v>
      </c>
      <c r="G629">
        <v>3.6301867426835561</v>
      </c>
      <c r="H629">
        <v>291.27256245036705</v>
      </c>
      <c r="I629">
        <v>276.75181547963285</v>
      </c>
    </row>
    <row r="630" spans="1:9" x14ac:dyDescent="0.25">
      <c r="A630" s="1">
        <v>41089</v>
      </c>
      <c r="B630" t="s">
        <v>0</v>
      </c>
      <c r="C630">
        <v>288.95243040000003</v>
      </c>
      <c r="D630">
        <v>-2.7927956134820055E-2</v>
      </c>
      <c r="E630">
        <v>0</v>
      </c>
      <c r="F630">
        <v>284.23859011000002</v>
      </c>
      <c r="G630">
        <v>3.4972230886551774</v>
      </c>
      <c r="H630">
        <v>291.23303628731037</v>
      </c>
      <c r="I630">
        <v>277.24414393268967</v>
      </c>
    </row>
    <row r="631" spans="1:9" x14ac:dyDescent="0.25">
      <c r="A631" s="1">
        <v>41092</v>
      </c>
      <c r="B631" t="s">
        <v>0</v>
      </c>
      <c r="C631">
        <v>289.15168</v>
      </c>
      <c r="D631">
        <v>-6.8955848450262167E-4</v>
      </c>
      <c r="E631">
        <v>0</v>
      </c>
      <c r="F631">
        <v>284.28541484999994</v>
      </c>
      <c r="G631">
        <v>3.6526771000129434</v>
      </c>
      <c r="H631">
        <v>291.59076905002581</v>
      </c>
      <c r="I631">
        <v>276.98006064997406</v>
      </c>
    </row>
    <row r="632" spans="1:9" x14ac:dyDescent="0.25">
      <c r="A632" s="1">
        <v>41093</v>
      </c>
      <c r="B632" t="s">
        <v>0</v>
      </c>
      <c r="C632">
        <v>292.81794600000001</v>
      </c>
      <c r="D632">
        <v>-1.2679386818710538E-2</v>
      </c>
      <c r="E632">
        <v>0</v>
      </c>
      <c r="F632">
        <v>284.71928858499996</v>
      </c>
      <c r="G632">
        <v>3.7339213288713049</v>
      </c>
      <c r="H632">
        <v>292.18713124274257</v>
      </c>
      <c r="I632">
        <v>277.25144592725735</v>
      </c>
    </row>
    <row r="633" spans="1:9" x14ac:dyDescent="0.25">
      <c r="A633" s="1">
        <v>41095</v>
      </c>
      <c r="B633" t="s">
        <v>0</v>
      </c>
      <c r="C633">
        <v>296.84785979999998</v>
      </c>
      <c r="D633">
        <v>-1.3762523284689574E-2</v>
      </c>
      <c r="E633">
        <v>0</v>
      </c>
      <c r="F633">
        <v>285.10160733499993</v>
      </c>
      <c r="G633">
        <v>4.1654528253969678</v>
      </c>
      <c r="H633">
        <v>293.43251298579384</v>
      </c>
      <c r="I633">
        <v>276.77070168420602</v>
      </c>
    </row>
    <row r="634" spans="1:9" x14ac:dyDescent="0.25">
      <c r="A634" s="1">
        <v>41096</v>
      </c>
      <c r="B634" t="s">
        <v>0</v>
      </c>
      <c r="C634">
        <v>291.89640509999998</v>
      </c>
      <c r="D634">
        <v>1.6680109141888447E-2</v>
      </c>
      <c r="E634">
        <v>1</v>
      </c>
      <c r="F634">
        <v>285.29463439499995</v>
      </c>
      <c r="G634">
        <v>4.842161632336845</v>
      </c>
      <c r="H634">
        <v>294.97895765967365</v>
      </c>
      <c r="I634">
        <v>275.61031113032624</v>
      </c>
    </row>
    <row r="635" spans="1:9" x14ac:dyDescent="0.25">
      <c r="A635" s="1">
        <v>41099</v>
      </c>
      <c r="B635" t="s">
        <v>0</v>
      </c>
      <c r="C635">
        <v>291.91135860000003</v>
      </c>
      <c r="D635">
        <v>-5.1228791238193005E-5</v>
      </c>
      <c r="E635">
        <v>0</v>
      </c>
      <c r="F635">
        <v>285.43311575999996</v>
      </c>
      <c r="G635">
        <v>5.0268437636595564</v>
      </c>
      <c r="H635">
        <v>295.48680328731905</v>
      </c>
      <c r="I635">
        <v>275.37942823268088</v>
      </c>
    </row>
    <row r="636" spans="1:9" x14ac:dyDescent="0.25">
      <c r="A636" s="1">
        <v>41100</v>
      </c>
      <c r="B636" t="s">
        <v>0</v>
      </c>
      <c r="C636">
        <v>289.76438250000001</v>
      </c>
      <c r="D636">
        <v>7.3548905746486336E-3</v>
      </c>
      <c r="E636">
        <v>1</v>
      </c>
      <c r="F636">
        <v>285.76188373499997</v>
      </c>
      <c r="G636">
        <v>5.1757063922862425</v>
      </c>
      <c r="H636">
        <v>296.11329651957243</v>
      </c>
      <c r="I636">
        <v>275.41047095042751</v>
      </c>
    </row>
    <row r="637" spans="1:9" x14ac:dyDescent="0.25">
      <c r="A637" s="1">
        <v>41101</v>
      </c>
      <c r="B637" t="s">
        <v>0</v>
      </c>
      <c r="C637">
        <v>284.52899150000002</v>
      </c>
      <c r="D637">
        <v>1.8067751995019584E-2</v>
      </c>
      <c r="E637">
        <v>1</v>
      </c>
      <c r="F637">
        <v>285.91356552000002</v>
      </c>
      <c r="G637">
        <v>5.2231181513689293</v>
      </c>
      <c r="H637">
        <v>296.35980182273789</v>
      </c>
      <c r="I637">
        <v>275.46732921726215</v>
      </c>
    </row>
    <row r="638" spans="1:9" x14ac:dyDescent="0.25">
      <c r="A638" s="1">
        <v>41102</v>
      </c>
      <c r="B638" t="s">
        <v>0</v>
      </c>
      <c r="C638">
        <v>284.17532260000002</v>
      </c>
      <c r="D638">
        <v>1.2429977631998263E-3</v>
      </c>
      <c r="E638">
        <v>1</v>
      </c>
      <c r="F638">
        <v>286.14743890499994</v>
      </c>
      <c r="G638">
        <v>5.143489417479028</v>
      </c>
      <c r="H638">
        <v>296.43441773995801</v>
      </c>
      <c r="I638">
        <v>275.86046007004188</v>
      </c>
    </row>
    <row r="639" spans="1:9" x14ac:dyDescent="0.25">
      <c r="A639" s="1">
        <v>41103</v>
      </c>
      <c r="B639" t="s">
        <v>0</v>
      </c>
      <c r="C639">
        <v>287.18405569999999</v>
      </c>
      <c r="D639">
        <v>-1.0587594561245594E-2</v>
      </c>
      <c r="E639">
        <v>0</v>
      </c>
      <c r="F639">
        <v>286.58255929500001</v>
      </c>
      <c r="G639">
        <v>4.9627035883233317</v>
      </c>
      <c r="H639">
        <v>296.50796647164668</v>
      </c>
      <c r="I639">
        <v>276.65715211835334</v>
      </c>
    </row>
    <row r="640" spans="1:9" x14ac:dyDescent="0.25">
      <c r="A640" s="1">
        <v>41106</v>
      </c>
      <c r="B640" t="s">
        <v>0</v>
      </c>
      <c r="C640">
        <v>286.38705700000003</v>
      </c>
      <c r="D640">
        <v>2.77521918150124E-3</v>
      </c>
      <c r="E640">
        <v>1</v>
      </c>
      <c r="F640">
        <v>286.84183860000002</v>
      </c>
      <c r="G640">
        <v>4.6295252767792396</v>
      </c>
      <c r="H640">
        <v>296.10088915355851</v>
      </c>
      <c r="I640">
        <v>277.58278804644152</v>
      </c>
    </row>
    <row r="641" spans="1:9" x14ac:dyDescent="0.25">
      <c r="A641" s="1">
        <v>41107</v>
      </c>
      <c r="B641" t="s">
        <v>0</v>
      </c>
      <c r="C641">
        <v>287.28867000000002</v>
      </c>
      <c r="D641">
        <v>-3.1482323588387499E-3</v>
      </c>
      <c r="E641">
        <v>0</v>
      </c>
      <c r="F641">
        <v>286.98828966500008</v>
      </c>
      <c r="G641">
        <v>4.4579822934150721</v>
      </c>
      <c r="H641">
        <v>295.90425425183025</v>
      </c>
      <c r="I641">
        <v>278.07232507816991</v>
      </c>
    </row>
    <row r="642" spans="1:9" x14ac:dyDescent="0.25">
      <c r="A642" s="1">
        <v>41108</v>
      </c>
      <c r="B642" t="s">
        <v>0</v>
      </c>
      <c r="C642">
        <v>289.29615050000001</v>
      </c>
      <c r="D642">
        <v>-6.9876772376717307E-3</v>
      </c>
      <c r="E642">
        <v>0</v>
      </c>
      <c r="F642">
        <v>286.96911239500002</v>
      </c>
      <c r="G642">
        <v>4.4196151017057872</v>
      </c>
      <c r="H642">
        <v>295.80834259841163</v>
      </c>
      <c r="I642">
        <v>278.12988219158842</v>
      </c>
    </row>
    <row r="643" spans="1:9" x14ac:dyDescent="0.25">
      <c r="A643" s="1">
        <v>41109</v>
      </c>
      <c r="B643" t="s">
        <v>0</v>
      </c>
      <c r="C643">
        <v>295.42317489999999</v>
      </c>
      <c r="D643">
        <v>-2.1179073380030965E-2</v>
      </c>
      <c r="E643">
        <v>0</v>
      </c>
      <c r="F643">
        <v>287.35641010500001</v>
      </c>
      <c r="G643">
        <v>4.4256512892030138</v>
      </c>
      <c r="H643">
        <v>296.20771268340604</v>
      </c>
      <c r="I643">
        <v>278.50510752659397</v>
      </c>
    </row>
    <row r="644" spans="1:9" x14ac:dyDescent="0.25">
      <c r="A644" s="1">
        <v>41110</v>
      </c>
      <c r="B644" t="s">
        <v>0</v>
      </c>
      <c r="C644">
        <v>304.27005309999998</v>
      </c>
      <c r="D644">
        <v>-2.9946459694621581E-2</v>
      </c>
      <c r="E644">
        <v>0</v>
      </c>
      <c r="F644">
        <v>288.49240449000001</v>
      </c>
      <c r="G644">
        <v>4.9117574570997693</v>
      </c>
      <c r="H644">
        <v>298.31591940419958</v>
      </c>
      <c r="I644">
        <v>278.66888957580045</v>
      </c>
    </row>
    <row r="645" spans="1:9" x14ac:dyDescent="0.25">
      <c r="A645" s="1">
        <v>41113</v>
      </c>
      <c r="B645" t="s">
        <v>0</v>
      </c>
      <c r="C645">
        <v>306.60629979999999</v>
      </c>
      <c r="D645">
        <v>-7.6782012432626218E-3</v>
      </c>
      <c r="E645">
        <v>0</v>
      </c>
      <c r="F645">
        <v>289.58904638000001</v>
      </c>
      <c r="G645">
        <v>5.9468445713818268</v>
      </c>
      <c r="H645">
        <v>301.48273552276368</v>
      </c>
      <c r="I645">
        <v>277.69535723723635</v>
      </c>
    </row>
    <row r="646" spans="1:9" x14ac:dyDescent="0.25">
      <c r="A646" s="1">
        <v>41114</v>
      </c>
      <c r="B646" t="s">
        <v>0</v>
      </c>
      <c r="C646">
        <v>302.65112329999999</v>
      </c>
      <c r="D646">
        <v>1.2899853990540847E-2</v>
      </c>
      <c r="E646">
        <v>1</v>
      </c>
      <c r="F646">
        <v>290.75642356499998</v>
      </c>
      <c r="G646">
        <v>7.0709919428897656</v>
      </c>
      <c r="H646">
        <v>304.89840745077953</v>
      </c>
      <c r="I646">
        <v>276.61443967922042</v>
      </c>
    </row>
    <row r="647" spans="1:9" x14ac:dyDescent="0.25">
      <c r="A647" s="1">
        <v>41115</v>
      </c>
      <c r="B647" t="s">
        <v>0</v>
      </c>
      <c r="C647">
        <v>302.86032169999999</v>
      </c>
      <c r="D647">
        <v>-6.9121963837096099E-4</v>
      </c>
      <c r="E647">
        <v>0</v>
      </c>
      <c r="F647">
        <v>291.83513178000004</v>
      </c>
      <c r="G647">
        <v>7.1887655974081666</v>
      </c>
      <c r="H647">
        <v>306.2126629748164</v>
      </c>
      <c r="I647">
        <v>277.45760058518368</v>
      </c>
    </row>
    <row r="648" spans="1:9" x14ac:dyDescent="0.25">
      <c r="A648" s="1">
        <v>41116</v>
      </c>
      <c r="B648" t="s">
        <v>0</v>
      </c>
      <c r="C648">
        <v>305.53531409999999</v>
      </c>
      <c r="D648">
        <v>-8.8324293687098987E-3</v>
      </c>
      <c r="E648">
        <v>0</v>
      </c>
      <c r="F648">
        <v>292.93252137000002</v>
      </c>
      <c r="G648">
        <v>7.3072780391762926</v>
      </c>
      <c r="H648">
        <v>307.54707744835258</v>
      </c>
      <c r="I648">
        <v>278.31796529164745</v>
      </c>
    </row>
    <row r="649" spans="1:9" x14ac:dyDescent="0.25">
      <c r="A649" s="1">
        <v>41117</v>
      </c>
      <c r="B649" t="s">
        <v>0</v>
      </c>
      <c r="C649">
        <v>316.29500669999999</v>
      </c>
      <c r="D649">
        <v>-3.5215872285317591E-2</v>
      </c>
      <c r="E649">
        <v>0</v>
      </c>
      <c r="F649">
        <v>294.69218016499997</v>
      </c>
      <c r="G649">
        <v>7.7503406548035541</v>
      </c>
      <c r="H649">
        <v>310.19286147460707</v>
      </c>
      <c r="I649">
        <v>279.19149885539287</v>
      </c>
    </row>
    <row r="650" spans="1:9" x14ac:dyDescent="0.25">
      <c r="A650" s="1">
        <v>41120</v>
      </c>
      <c r="B650" t="s">
        <v>0</v>
      </c>
      <c r="C650">
        <v>314.96996130000002</v>
      </c>
      <c r="D650">
        <v>4.1892706869594886E-3</v>
      </c>
      <c r="E650">
        <v>1</v>
      </c>
      <c r="F650">
        <v>295.99305671000002</v>
      </c>
      <c r="G650">
        <v>8.7097236450279691</v>
      </c>
      <c r="H650">
        <v>313.41250400005595</v>
      </c>
      <c r="I650">
        <v>278.57360941994409</v>
      </c>
    </row>
    <row r="651" spans="1:9" x14ac:dyDescent="0.25">
      <c r="A651" s="1">
        <v>41121</v>
      </c>
      <c r="B651" t="s">
        <v>0</v>
      </c>
      <c r="C651">
        <v>315.3037023</v>
      </c>
      <c r="D651">
        <v>-1.0595962822057691E-3</v>
      </c>
      <c r="E651">
        <v>0</v>
      </c>
      <c r="F651">
        <v>297.30065782500003</v>
      </c>
      <c r="G651">
        <v>9.6486647313373659</v>
      </c>
      <c r="H651">
        <v>316.59798728767475</v>
      </c>
      <c r="I651">
        <v>278.00332836232531</v>
      </c>
    </row>
    <row r="652" spans="1:9" x14ac:dyDescent="0.25">
      <c r="A652" s="1">
        <v>41122</v>
      </c>
      <c r="B652" t="s">
        <v>0</v>
      </c>
      <c r="C652">
        <v>315.1592622</v>
      </c>
      <c r="D652">
        <v>4.5809833169217778E-4</v>
      </c>
      <c r="E652">
        <v>1</v>
      </c>
      <c r="F652">
        <v>298.41772363500002</v>
      </c>
      <c r="G652">
        <v>10.355180136552372</v>
      </c>
      <c r="H652">
        <v>319.12808390810477</v>
      </c>
      <c r="I652">
        <v>277.70736336189526</v>
      </c>
    </row>
    <row r="653" spans="1:9" x14ac:dyDescent="0.25">
      <c r="A653" s="1">
        <v>41123</v>
      </c>
      <c r="B653" t="s">
        <v>0</v>
      </c>
      <c r="C653">
        <v>313.20158709999998</v>
      </c>
      <c r="D653">
        <v>6.2117009867781615E-3</v>
      </c>
      <c r="E653">
        <v>1</v>
      </c>
      <c r="F653">
        <v>299.23541000000006</v>
      </c>
      <c r="G653">
        <v>10.970161660160372</v>
      </c>
      <c r="H653">
        <v>321.17573332032077</v>
      </c>
      <c r="I653">
        <v>277.29508667967934</v>
      </c>
    </row>
    <row r="654" spans="1:9" x14ac:dyDescent="0.25">
      <c r="A654" s="1">
        <v>41124</v>
      </c>
      <c r="B654" t="s">
        <v>0</v>
      </c>
      <c r="C654">
        <v>319.4681076</v>
      </c>
      <c r="D654">
        <v>-2.0007946185787426E-2</v>
      </c>
      <c r="E654">
        <v>0</v>
      </c>
      <c r="F654">
        <v>300.61399512500003</v>
      </c>
      <c r="G654">
        <v>11.476612267497583</v>
      </c>
      <c r="H654">
        <v>323.5672196599952</v>
      </c>
      <c r="I654">
        <v>277.66077059000486</v>
      </c>
    </row>
    <row r="655" spans="1:9" x14ac:dyDescent="0.25">
      <c r="A655" s="1">
        <v>41127</v>
      </c>
      <c r="B655" t="s">
        <v>0</v>
      </c>
      <c r="C655">
        <v>320.21032709999997</v>
      </c>
      <c r="D655">
        <v>-2.3232976386152919E-3</v>
      </c>
      <c r="E655">
        <v>0</v>
      </c>
      <c r="F655">
        <v>302.02894355000001</v>
      </c>
      <c r="G655">
        <v>12.152726741463601</v>
      </c>
      <c r="H655">
        <v>326.3343970329272</v>
      </c>
      <c r="I655">
        <v>277.72349006707282</v>
      </c>
    </row>
    <row r="656" spans="1:9" x14ac:dyDescent="0.25">
      <c r="A656" s="1">
        <v>41128</v>
      </c>
      <c r="B656" t="s">
        <v>0</v>
      </c>
      <c r="C656">
        <v>319.07458259999999</v>
      </c>
      <c r="D656">
        <v>3.5468703032969333E-3</v>
      </c>
      <c r="E656">
        <v>1</v>
      </c>
      <c r="F656">
        <v>303.49445355500001</v>
      </c>
      <c r="G656">
        <v>12.698281220544247</v>
      </c>
      <c r="H656">
        <v>328.89101599608853</v>
      </c>
      <c r="I656">
        <v>278.09789111391149</v>
      </c>
    </row>
    <row r="657" spans="1:9" x14ac:dyDescent="0.25">
      <c r="A657" s="1">
        <v>41129</v>
      </c>
      <c r="B657" t="s">
        <v>0</v>
      </c>
      <c r="C657">
        <v>319.91641170000003</v>
      </c>
      <c r="D657">
        <v>-2.6383458473575104E-3</v>
      </c>
      <c r="E657">
        <v>0</v>
      </c>
      <c r="F657">
        <v>305.26382456499999</v>
      </c>
      <c r="G657">
        <v>12.926263892603705</v>
      </c>
      <c r="H657">
        <v>331.11635235020742</v>
      </c>
      <c r="I657">
        <v>279.41129677979256</v>
      </c>
    </row>
    <row r="658" spans="1:9" x14ac:dyDescent="0.25">
      <c r="A658" s="1">
        <v>41130</v>
      </c>
      <c r="B658" t="s">
        <v>0</v>
      </c>
      <c r="C658">
        <v>319.97619570000001</v>
      </c>
      <c r="D658">
        <v>-1.8687381395125589E-4</v>
      </c>
      <c r="E658">
        <v>0</v>
      </c>
      <c r="F658">
        <v>307.05386822000003</v>
      </c>
      <c r="G658">
        <v>12.630550458463944</v>
      </c>
      <c r="H658">
        <v>332.31496913692791</v>
      </c>
      <c r="I658">
        <v>281.79276730307214</v>
      </c>
    </row>
    <row r="659" spans="1:9" x14ac:dyDescent="0.25">
      <c r="A659" s="1">
        <v>41131</v>
      </c>
      <c r="B659" t="s">
        <v>0</v>
      </c>
      <c r="C659">
        <v>319.80184819999999</v>
      </c>
      <c r="D659">
        <v>5.4487647000926677E-4</v>
      </c>
      <c r="E659">
        <v>1</v>
      </c>
      <c r="F659">
        <v>308.68475784500004</v>
      </c>
      <c r="G659">
        <v>12.01534605175538</v>
      </c>
      <c r="H659">
        <v>332.71544994851081</v>
      </c>
      <c r="I659">
        <v>284.65406574148926</v>
      </c>
    </row>
    <row r="660" spans="1:9" x14ac:dyDescent="0.25">
      <c r="A660" s="1">
        <v>41134</v>
      </c>
      <c r="B660" t="s">
        <v>0</v>
      </c>
      <c r="C660">
        <v>328.77323819999998</v>
      </c>
      <c r="D660">
        <v>-2.8052964829613468E-2</v>
      </c>
      <c r="E660">
        <v>0</v>
      </c>
      <c r="F660">
        <v>310.80406690500001</v>
      </c>
      <c r="G660">
        <v>11.485882068735204</v>
      </c>
      <c r="H660">
        <v>333.77583104247043</v>
      </c>
      <c r="I660">
        <v>287.8323027675296</v>
      </c>
    </row>
    <row r="661" spans="1:9" x14ac:dyDescent="0.25">
      <c r="A661" s="1">
        <v>41135</v>
      </c>
      <c r="B661" t="s">
        <v>0</v>
      </c>
      <c r="C661">
        <v>333.08211399999999</v>
      </c>
      <c r="D661">
        <v>-1.3105920127777632E-2</v>
      </c>
      <c r="E661">
        <v>0</v>
      </c>
      <c r="F661">
        <v>313.093739105</v>
      </c>
      <c r="G661">
        <v>11.113195890325828</v>
      </c>
      <c r="H661">
        <v>335.32013088565168</v>
      </c>
      <c r="I661">
        <v>290.86734732434832</v>
      </c>
    </row>
    <row r="662" spans="1:9" x14ac:dyDescent="0.25">
      <c r="A662" s="1">
        <v>41136</v>
      </c>
      <c r="B662" t="s">
        <v>0</v>
      </c>
      <c r="C662">
        <v>332.52419070000002</v>
      </c>
      <c r="D662">
        <v>1.6750323014941906E-3</v>
      </c>
      <c r="E662">
        <v>1</v>
      </c>
      <c r="F662">
        <v>315.25514111500001</v>
      </c>
      <c r="G662">
        <v>10.717110548886259</v>
      </c>
      <c r="H662">
        <v>336.68936221277255</v>
      </c>
      <c r="I662">
        <v>293.82092001722748</v>
      </c>
    </row>
    <row r="663" spans="1:9" x14ac:dyDescent="0.25">
      <c r="A663" s="1">
        <v>41137</v>
      </c>
      <c r="B663" t="s">
        <v>0</v>
      </c>
      <c r="C663">
        <v>335.17925539999999</v>
      </c>
      <c r="D663">
        <v>-7.9845760827528516E-3</v>
      </c>
      <c r="E663">
        <v>0</v>
      </c>
      <c r="F663">
        <v>317.24294514000002</v>
      </c>
      <c r="G663">
        <v>10.001268287063994</v>
      </c>
      <c r="H663">
        <v>337.245481714128</v>
      </c>
      <c r="I663">
        <v>297.24040856587203</v>
      </c>
    </row>
    <row r="664" spans="1:9" x14ac:dyDescent="0.25">
      <c r="A664" s="1">
        <v>41138</v>
      </c>
      <c r="B664" t="s">
        <v>0</v>
      </c>
      <c r="C664">
        <v>337.30627279999999</v>
      </c>
      <c r="D664">
        <v>-6.3459100339059941E-3</v>
      </c>
      <c r="E664">
        <v>0</v>
      </c>
      <c r="F664">
        <v>318.89475612500001</v>
      </c>
      <c r="G664">
        <v>9.7485532003896953</v>
      </c>
      <c r="H664">
        <v>338.3918625257794</v>
      </c>
      <c r="I664">
        <v>299.39764972422063</v>
      </c>
    </row>
    <row r="665" spans="1:9" x14ac:dyDescent="0.25">
      <c r="A665" s="1">
        <v>41141</v>
      </c>
      <c r="B665" t="s">
        <v>0</v>
      </c>
      <c r="C665">
        <v>336.50927460000003</v>
      </c>
      <c r="D665">
        <v>2.3628324293646571E-3</v>
      </c>
      <c r="E665">
        <v>1</v>
      </c>
      <c r="F665">
        <v>320.38990486500001</v>
      </c>
      <c r="G665">
        <v>10.174716686019794</v>
      </c>
      <c r="H665">
        <v>340.73933823703959</v>
      </c>
      <c r="I665">
        <v>300.04047149296042</v>
      </c>
    </row>
    <row r="666" spans="1:9" x14ac:dyDescent="0.25">
      <c r="A666" s="1">
        <v>41142</v>
      </c>
      <c r="B666" t="s">
        <v>0</v>
      </c>
      <c r="C666">
        <v>333.505516</v>
      </c>
      <c r="D666">
        <v>8.9262282698464018E-3</v>
      </c>
      <c r="E666">
        <v>1</v>
      </c>
      <c r="F666">
        <v>321.93262450000003</v>
      </c>
      <c r="G666">
        <v>10.45930968641197</v>
      </c>
      <c r="H666">
        <v>342.85124387282394</v>
      </c>
      <c r="I666">
        <v>301.01400512717612</v>
      </c>
    </row>
    <row r="667" spans="1:9" x14ac:dyDescent="0.25">
      <c r="A667" s="1">
        <v>41143</v>
      </c>
      <c r="B667" t="s">
        <v>0</v>
      </c>
      <c r="C667">
        <v>337.32620109999999</v>
      </c>
      <c r="D667">
        <v>-1.1456137655006556E-2</v>
      </c>
      <c r="E667">
        <v>0</v>
      </c>
      <c r="F667">
        <v>323.65591846999996</v>
      </c>
      <c r="G667">
        <v>10.023705785814343</v>
      </c>
      <c r="H667">
        <v>343.70333004162865</v>
      </c>
      <c r="I667">
        <v>303.60850689837127</v>
      </c>
    </row>
    <row r="668" spans="1:9" x14ac:dyDescent="0.25">
      <c r="A668" s="1">
        <v>41144</v>
      </c>
      <c r="B668" t="s">
        <v>0</v>
      </c>
      <c r="C668">
        <v>337.13690009999999</v>
      </c>
      <c r="D668">
        <v>5.6118083736958902E-4</v>
      </c>
      <c r="E668">
        <v>1</v>
      </c>
      <c r="F668">
        <v>325.23599776999998</v>
      </c>
      <c r="G668">
        <v>9.5232514081609096</v>
      </c>
      <c r="H668">
        <v>344.28250058632182</v>
      </c>
      <c r="I668">
        <v>306.18949495367815</v>
      </c>
    </row>
    <row r="669" spans="1:9" x14ac:dyDescent="0.25">
      <c r="A669" s="1">
        <v>41145</v>
      </c>
      <c r="B669" t="s">
        <v>0</v>
      </c>
      <c r="C669">
        <v>338.04849230000002</v>
      </c>
      <c r="D669">
        <v>-2.7039229456331756E-3</v>
      </c>
      <c r="E669">
        <v>0</v>
      </c>
      <c r="F669">
        <v>326.32367204999997</v>
      </c>
      <c r="G669">
        <v>8.9191411964690843</v>
      </c>
      <c r="H669">
        <v>344.16195444293817</v>
      </c>
      <c r="I669">
        <v>308.48538965706177</v>
      </c>
    </row>
    <row r="670" spans="1:9" x14ac:dyDescent="0.25">
      <c r="A670" s="1">
        <v>41148</v>
      </c>
      <c r="B670" t="s">
        <v>0</v>
      </c>
      <c r="C670">
        <v>333.36104549999999</v>
      </c>
      <c r="D670">
        <v>1.3866196438587197E-2</v>
      </c>
      <c r="E670">
        <v>1</v>
      </c>
      <c r="F670">
        <v>327.24322625999991</v>
      </c>
      <c r="G670">
        <v>9.0687112473221134</v>
      </c>
      <c r="H670">
        <v>345.38064875464414</v>
      </c>
      <c r="I670">
        <v>309.10580376535569</v>
      </c>
    </row>
    <row r="671" spans="1:9" x14ac:dyDescent="0.25">
      <c r="A671" s="1">
        <v>41149</v>
      </c>
      <c r="B671" t="s">
        <v>0</v>
      </c>
      <c r="C671">
        <v>337.36108280000002</v>
      </c>
      <c r="D671">
        <v>-1.1999114335631129E-2</v>
      </c>
      <c r="E671">
        <v>0</v>
      </c>
      <c r="F671">
        <v>328.34609528499993</v>
      </c>
      <c r="G671">
        <v>8.8202935182089384</v>
      </c>
      <c r="H671">
        <v>345.98668232141779</v>
      </c>
      <c r="I671">
        <v>310.70550824858208</v>
      </c>
    </row>
    <row r="672" spans="1:9" x14ac:dyDescent="0.25">
      <c r="A672" s="1">
        <v>41150</v>
      </c>
      <c r="B672" t="s">
        <v>0</v>
      </c>
      <c r="C672">
        <v>342.72098560000001</v>
      </c>
      <c r="D672">
        <v>-1.5887732975938818E-2</v>
      </c>
      <c r="E672">
        <v>0</v>
      </c>
      <c r="F672">
        <v>329.72418145500001</v>
      </c>
      <c r="G672">
        <v>8.6749638901453352</v>
      </c>
      <c r="H672">
        <v>347.07410923529068</v>
      </c>
      <c r="I672">
        <v>312.37425367470934</v>
      </c>
    </row>
    <row r="673" spans="1:9" x14ac:dyDescent="0.25">
      <c r="A673" s="1">
        <v>41151</v>
      </c>
      <c r="B673" t="s">
        <v>0</v>
      </c>
      <c r="C673">
        <v>339.5678125</v>
      </c>
      <c r="D673">
        <v>9.2004085903282466E-3</v>
      </c>
      <c r="E673">
        <v>1</v>
      </c>
      <c r="F673">
        <v>331.04249272499999</v>
      </c>
      <c r="G673">
        <v>8.650545956983029</v>
      </c>
      <c r="H673">
        <v>348.34358463896604</v>
      </c>
      <c r="I673">
        <v>313.74140081103394</v>
      </c>
    </row>
    <row r="674" spans="1:9" x14ac:dyDescent="0.25">
      <c r="A674" s="1">
        <v>41152</v>
      </c>
      <c r="B674" t="s">
        <v>0</v>
      </c>
      <c r="C674">
        <v>341.26642370000002</v>
      </c>
      <c r="D674">
        <v>-5.0022738830701637E-3</v>
      </c>
      <c r="E674">
        <v>0</v>
      </c>
      <c r="F674">
        <v>332.13240853000002</v>
      </c>
      <c r="G674">
        <v>7.9836720876521943</v>
      </c>
      <c r="H674">
        <v>348.09975270530441</v>
      </c>
      <c r="I674">
        <v>316.16506435469563</v>
      </c>
    </row>
    <row r="675" spans="1:9" x14ac:dyDescent="0.25">
      <c r="A675" s="1">
        <v>41156</v>
      </c>
      <c r="B675" t="s">
        <v>0</v>
      </c>
      <c r="C675">
        <v>339.24899499999998</v>
      </c>
      <c r="D675">
        <v>5.9115944607944122E-3</v>
      </c>
      <c r="E675">
        <v>1</v>
      </c>
      <c r="F675">
        <v>333.08434192500005</v>
      </c>
      <c r="G675">
        <v>7.7972740714741198</v>
      </c>
      <c r="H675">
        <v>348.67889006794826</v>
      </c>
      <c r="I675">
        <v>317.48979378205183</v>
      </c>
    </row>
    <row r="676" spans="1:9" x14ac:dyDescent="0.25">
      <c r="A676" s="1">
        <v>41157</v>
      </c>
      <c r="B676" t="s">
        <v>0</v>
      </c>
      <c r="C676">
        <v>339.08960139999999</v>
      </c>
      <c r="D676">
        <v>4.6984251198735946E-4</v>
      </c>
      <c r="E676">
        <v>1</v>
      </c>
      <c r="F676">
        <v>334.08509286500004</v>
      </c>
      <c r="G676">
        <v>7.4439317487892627</v>
      </c>
      <c r="H676">
        <v>348.97295636257854</v>
      </c>
      <c r="I676">
        <v>319.19722936742153</v>
      </c>
    </row>
    <row r="677" spans="1:9" x14ac:dyDescent="0.25">
      <c r="A677" s="1">
        <v>41158</v>
      </c>
      <c r="B677" t="s">
        <v>0</v>
      </c>
      <c r="C677">
        <v>348.39473199999998</v>
      </c>
      <c r="D677">
        <v>-2.7441509741324626E-2</v>
      </c>
      <c r="E677">
        <v>0</v>
      </c>
      <c r="F677">
        <v>335.50900888000007</v>
      </c>
      <c r="G677">
        <v>6.886664000912722</v>
      </c>
      <c r="H677">
        <v>349.28233688182553</v>
      </c>
      <c r="I677">
        <v>321.73568087817461</v>
      </c>
    </row>
    <row r="678" spans="1:9" x14ac:dyDescent="0.25">
      <c r="A678" s="1">
        <v>41159</v>
      </c>
      <c r="B678" t="s">
        <v>0</v>
      </c>
      <c r="C678">
        <v>351.75713389999999</v>
      </c>
      <c r="D678">
        <v>-9.6511272736466321E-3</v>
      </c>
      <c r="E678">
        <v>0</v>
      </c>
      <c r="F678">
        <v>337.09805578999999</v>
      </c>
      <c r="G678">
        <v>6.78946609233933</v>
      </c>
      <c r="H678">
        <v>350.67698797467864</v>
      </c>
      <c r="I678">
        <v>323.51912360532134</v>
      </c>
    </row>
    <row r="679" spans="1:9" x14ac:dyDescent="0.25">
      <c r="A679" s="1">
        <v>41162</v>
      </c>
      <c r="B679" t="s">
        <v>0</v>
      </c>
      <c r="C679">
        <v>349.0771671</v>
      </c>
      <c r="D679">
        <v>7.6187987157123821E-3</v>
      </c>
      <c r="E679">
        <v>1</v>
      </c>
      <c r="F679">
        <v>338.56182173500002</v>
      </c>
      <c r="G679">
        <v>6.6577762402655623</v>
      </c>
      <c r="H679">
        <v>351.87737421553118</v>
      </c>
      <c r="I679">
        <v>325.24626925446887</v>
      </c>
    </row>
    <row r="680" spans="1:9" x14ac:dyDescent="0.25">
      <c r="A680" s="1">
        <v>41163</v>
      </c>
      <c r="B680" t="s">
        <v>0</v>
      </c>
      <c r="C680">
        <v>344.80317309999998</v>
      </c>
      <c r="D680">
        <v>1.2243693953135716E-2</v>
      </c>
      <c r="E680">
        <v>1</v>
      </c>
      <c r="F680">
        <v>339.36331848000003</v>
      </c>
      <c r="G680">
        <v>5.7358674630134665</v>
      </c>
      <c r="H680">
        <v>350.83505340602699</v>
      </c>
      <c r="I680">
        <v>327.89158355397308</v>
      </c>
    </row>
    <row r="681" spans="1:9" x14ac:dyDescent="0.25">
      <c r="A681" s="1">
        <v>41164</v>
      </c>
      <c r="B681" t="s">
        <v>0</v>
      </c>
      <c r="C681">
        <v>344.15064489999997</v>
      </c>
      <c r="D681">
        <v>1.8924657628100179E-3</v>
      </c>
      <c r="E681">
        <v>1</v>
      </c>
      <c r="F681">
        <v>339.91674502500001</v>
      </c>
      <c r="G681">
        <v>5.3924546721749662</v>
      </c>
      <c r="H681">
        <v>350.70165436934997</v>
      </c>
      <c r="I681">
        <v>329.13183568065006</v>
      </c>
    </row>
    <row r="682" spans="1:9" x14ac:dyDescent="0.25">
      <c r="A682" s="1">
        <v>41165</v>
      </c>
      <c r="B682" t="s">
        <v>0</v>
      </c>
      <c r="C682">
        <v>351.70232429999999</v>
      </c>
      <c r="D682">
        <v>-2.1942947113158272E-2</v>
      </c>
      <c r="E682">
        <v>0</v>
      </c>
      <c r="F682">
        <v>340.875651705</v>
      </c>
      <c r="G682">
        <v>5.3440392735824691</v>
      </c>
      <c r="H682">
        <v>351.56373025216493</v>
      </c>
      <c r="I682">
        <v>330.18757315783506</v>
      </c>
    </row>
    <row r="683" spans="1:9" x14ac:dyDescent="0.25">
      <c r="A683" s="1">
        <v>41166</v>
      </c>
      <c r="B683" t="s">
        <v>0</v>
      </c>
      <c r="C683">
        <v>353.51555990000003</v>
      </c>
      <c r="D683">
        <v>-5.1555974320299409E-3</v>
      </c>
      <c r="E683">
        <v>0</v>
      </c>
      <c r="F683">
        <v>341.79246693000005</v>
      </c>
      <c r="G683">
        <v>5.636736896684833</v>
      </c>
      <c r="H683">
        <v>353.06594072336969</v>
      </c>
      <c r="I683">
        <v>330.5189931366304</v>
      </c>
    </row>
    <row r="684" spans="1:9" x14ac:dyDescent="0.25">
      <c r="A684" s="1">
        <v>41169</v>
      </c>
      <c r="B684" t="s">
        <v>0</v>
      </c>
      <c r="C684">
        <v>353.66497390000001</v>
      </c>
      <c r="D684">
        <v>-4.2265183473746959E-4</v>
      </c>
      <c r="E684">
        <v>0</v>
      </c>
      <c r="F684">
        <v>342.61040198500007</v>
      </c>
      <c r="G684">
        <v>6.0931631931848829</v>
      </c>
      <c r="H684">
        <v>354.79672837136985</v>
      </c>
      <c r="I684">
        <v>330.42407559863028</v>
      </c>
    </row>
    <row r="685" spans="1:9" x14ac:dyDescent="0.25">
      <c r="A685" s="1">
        <v>41170</v>
      </c>
      <c r="B685" t="s">
        <v>0</v>
      </c>
      <c r="C685">
        <v>357.79950259999998</v>
      </c>
      <c r="D685">
        <v>-1.1690523532502904E-2</v>
      </c>
      <c r="E685">
        <v>0</v>
      </c>
      <c r="F685">
        <v>343.67491338500002</v>
      </c>
      <c r="G685">
        <v>6.5546404104382265</v>
      </c>
      <c r="H685">
        <v>356.78419420587647</v>
      </c>
      <c r="I685">
        <v>330.56563256412358</v>
      </c>
    </row>
    <row r="686" spans="1:9" x14ac:dyDescent="0.25">
      <c r="A686" s="1">
        <v>41171</v>
      </c>
      <c r="B686" t="s">
        <v>0</v>
      </c>
      <c r="C686">
        <v>362.39228379999997</v>
      </c>
      <c r="D686">
        <v>-1.2836186653770912E-2</v>
      </c>
      <c r="E686">
        <v>0</v>
      </c>
      <c r="F686">
        <v>345.11925177500001</v>
      </c>
      <c r="G686">
        <v>7.2427416328174692</v>
      </c>
      <c r="H686">
        <v>359.60473504063492</v>
      </c>
      <c r="I686">
        <v>330.6337685093651</v>
      </c>
    </row>
    <row r="687" spans="1:9" x14ac:dyDescent="0.25">
      <c r="A687" s="1">
        <v>41172</v>
      </c>
      <c r="B687" t="s">
        <v>0</v>
      </c>
      <c r="C687">
        <v>362.70112260000002</v>
      </c>
      <c r="D687">
        <v>-8.5222233972975781E-4</v>
      </c>
      <c r="E687">
        <v>0</v>
      </c>
      <c r="F687">
        <v>346.38799785000003</v>
      </c>
      <c r="G687">
        <v>7.8892941253849473</v>
      </c>
      <c r="H687">
        <v>362.1665861007699</v>
      </c>
      <c r="I687">
        <v>330.60940959923016</v>
      </c>
    </row>
    <row r="688" spans="1:9" x14ac:dyDescent="0.25">
      <c r="A688" s="1">
        <v>41173</v>
      </c>
      <c r="B688" t="s">
        <v>0</v>
      </c>
      <c r="C688">
        <v>365.62516909999999</v>
      </c>
      <c r="D688">
        <v>-8.0618622821984464E-3</v>
      </c>
      <c r="E688">
        <v>0</v>
      </c>
      <c r="F688">
        <v>347.81241130000001</v>
      </c>
      <c r="G688">
        <v>8.5714648346657718</v>
      </c>
      <c r="H688">
        <v>364.95534096933153</v>
      </c>
      <c r="I688">
        <v>330.66948163066849</v>
      </c>
    </row>
    <row r="689" spans="1:9" x14ac:dyDescent="0.25">
      <c r="A689" s="1">
        <v>41176</v>
      </c>
      <c r="B689" t="s">
        <v>0</v>
      </c>
      <c r="C689">
        <v>373.29144200000002</v>
      </c>
      <c r="D689">
        <v>-2.0967574302586556E-2</v>
      </c>
      <c r="E689">
        <v>0</v>
      </c>
      <c r="F689">
        <v>349.57455878499997</v>
      </c>
      <c r="G689">
        <v>9.3135150842101702</v>
      </c>
      <c r="H689">
        <v>368.2015889534203</v>
      </c>
      <c r="I689">
        <v>330.94752861657963</v>
      </c>
    </row>
    <row r="690" spans="1:9" x14ac:dyDescent="0.25">
      <c r="A690" s="1">
        <v>41177</v>
      </c>
      <c r="B690" t="s">
        <v>0</v>
      </c>
      <c r="C690">
        <v>373.1818533</v>
      </c>
      <c r="D690">
        <v>2.9357410234981363E-4</v>
      </c>
      <c r="E690">
        <v>1</v>
      </c>
      <c r="F690">
        <v>351.56559917499993</v>
      </c>
      <c r="G690">
        <v>10.591875287185319</v>
      </c>
      <c r="H690">
        <v>372.74934974937059</v>
      </c>
      <c r="I690">
        <v>330.38184860062927</v>
      </c>
    </row>
    <row r="691" spans="1:9" x14ac:dyDescent="0.25">
      <c r="A691" s="1">
        <v>41178</v>
      </c>
      <c r="B691" t="s">
        <v>0</v>
      </c>
      <c r="C691">
        <v>375.32385499999998</v>
      </c>
      <c r="D691">
        <v>-5.739833491523046E-3</v>
      </c>
      <c r="E691">
        <v>0</v>
      </c>
      <c r="F691">
        <v>353.46373778499998</v>
      </c>
      <c r="G691">
        <v>11.071747182653294</v>
      </c>
      <c r="H691">
        <v>375.60723215030657</v>
      </c>
      <c r="I691">
        <v>331.32024341969338</v>
      </c>
    </row>
    <row r="692" spans="1:9" x14ac:dyDescent="0.25">
      <c r="A692" s="1">
        <v>41179</v>
      </c>
      <c r="B692" t="s">
        <v>0</v>
      </c>
      <c r="C692">
        <v>376.83817049999999</v>
      </c>
      <c r="D692">
        <v>-4.0346902543671502E-3</v>
      </c>
      <c r="E692">
        <v>0</v>
      </c>
      <c r="F692">
        <v>355.16959702999998</v>
      </c>
      <c r="G692">
        <v>11.679982996337058</v>
      </c>
      <c r="H692">
        <v>378.5295630226741</v>
      </c>
      <c r="I692">
        <v>331.80963103732586</v>
      </c>
    </row>
    <row r="693" spans="1:9" x14ac:dyDescent="0.25">
      <c r="A693" s="1">
        <v>41180</v>
      </c>
      <c r="B693" t="s">
        <v>0</v>
      </c>
      <c r="C693">
        <v>375.84189179999998</v>
      </c>
      <c r="D693">
        <v>2.6437839316492619E-3</v>
      </c>
      <c r="E693">
        <v>1</v>
      </c>
      <c r="F693">
        <v>356.98330099499992</v>
      </c>
      <c r="G693">
        <v>12.46753714058484</v>
      </c>
      <c r="H693">
        <v>381.91837527616963</v>
      </c>
      <c r="I693">
        <v>332.04822671383022</v>
      </c>
    </row>
    <row r="694" spans="1:9" x14ac:dyDescent="0.25">
      <c r="A694" s="1">
        <v>41183</v>
      </c>
      <c r="B694" t="s">
        <v>0</v>
      </c>
      <c r="C694">
        <v>379.46830210000002</v>
      </c>
      <c r="D694">
        <v>-9.6487655557294418E-3</v>
      </c>
      <c r="E694">
        <v>0</v>
      </c>
      <c r="F694">
        <v>358.89339491499999</v>
      </c>
      <c r="G694">
        <v>12.716339941847705</v>
      </c>
      <c r="H694">
        <v>384.3260747986954</v>
      </c>
      <c r="I694">
        <v>333.46071503130457</v>
      </c>
    </row>
    <row r="695" spans="1:9" x14ac:dyDescent="0.25">
      <c r="A695" s="1">
        <v>41184</v>
      </c>
      <c r="B695" t="s">
        <v>0</v>
      </c>
      <c r="C695">
        <v>377.08225069999997</v>
      </c>
      <c r="D695">
        <v>6.2878806656458328E-3</v>
      </c>
      <c r="E695">
        <v>1</v>
      </c>
      <c r="F695">
        <v>360.78505769999998</v>
      </c>
      <c r="G695">
        <v>13.073428172504395</v>
      </c>
      <c r="H695">
        <v>386.9319140450088</v>
      </c>
      <c r="I695">
        <v>334.63820135499117</v>
      </c>
    </row>
    <row r="696" spans="1:9" x14ac:dyDescent="0.25">
      <c r="A696" s="1">
        <v>41185</v>
      </c>
      <c r="B696" t="s">
        <v>0</v>
      </c>
      <c r="C696">
        <v>379.82697569999999</v>
      </c>
      <c r="D696">
        <v>-7.278849627381883E-3</v>
      </c>
      <c r="E696">
        <v>0</v>
      </c>
      <c r="F696">
        <v>362.82192641500001</v>
      </c>
      <c r="G696">
        <v>12.851193854923489</v>
      </c>
      <c r="H696">
        <v>388.52431412484697</v>
      </c>
      <c r="I696">
        <v>337.11953870515305</v>
      </c>
    </row>
    <row r="697" spans="1:9" x14ac:dyDescent="0.25">
      <c r="A697" s="1">
        <v>41186</v>
      </c>
      <c r="B697" t="s">
        <v>0</v>
      </c>
      <c r="C697">
        <v>382.59159829999999</v>
      </c>
      <c r="D697">
        <v>-7.2786367921997899E-3</v>
      </c>
      <c r="E697">
        <v>0</v>
      </c>
      <c r="F697">
        <v>364.53176973000006</v>
      </c>
      <c r="G697">
        <v>12.424740246261001</v>
      </c>
      <c r="H697">
        <v>389.38125022252206</v>
      </c>
      <c r="I697">
        <v>339.68228923747807</v>
      </c>
    </row>
    <row r="698" spans="1:9" x14ac:dyDescent="0.25">
      <c r="A698" s="1">
        <v>41187</v>
      </c>
      <c r="B698" t="s">
        <v>0</v>
      </c>
      <c r="C698">
        <v>382.39234859999999</v>
      </c>
      <c r="D698">
        <v>5.2078953350083478E-4</v>
      </c>
      <c r="E698">
        <v>1</v>
      </c>
      <c r="F698">
        <v>366.0635304650001</v>
      </c>
      <c r="G698">
        <v>12.649432090029293</v>
      </c>
      <c r="H698">
        <v>391.36239464505866</v>
      </c>
      <c r="I698">
        <v>340.76466628494154</v>
      </c>
    </row>
    <row r="699" spans="1:9" x14ac:dyDescent="0.25">
      <c r="A699" s="1">
        <v>41190</v>
      </c>
      <c r="B699" t="s">
        <v>0</v>
      </c>
      <c r="C699">
        <v>377.50565210000002</v>
      </c>
      <c r="D699">
        <v>1.2779273743031089E-2</v>
      </c>
      <c r="E699">
        <v>1</v>
      </c>
      <c r="F699">
        <v>367.48495471500007</v>
      </c>
      <c r="G699">
        <v>12.85015350294672</v>
      </c>
      <c r="H699">
        <v>393.18526172089349</v>
      </c>
      <c r="I699">
        <v>341.78464770910665</v>
      </c>
    </row>
    <row r="700" spans="1:9" x14ac:dyDescent="0.25">
      <c r="A700" s="1">
        <v>41191</v>
      </c>
      <c r="B700" t="s">
        <v>0</v>
      </c>
      <c r="C700">
        <v>370.65633609999998</v>
      </c>
      <c r="D700">
        <v>1.8143611789382383E-2</v>
      </c>
      <c r="E700">
        <v>1</v>
      </c>
      <c r="F700">
        <v>368.77761286500004</v>
      </c>
      <c r="G700">
        <v>12.444910473852158</v>
      </c>
      <c r="H700">
        <v>393.66743381270436</v>
      </c>
      <c r="I700">
        <v>343.88779191729571</v>
      </c>
    </row>
    <row r="701" spans="1:9" x14ac:dyDescent="0.25">
      <c r="A701" s="1">
        <v>41192</v>
      </c>
      <c r="B701" t="s">
        <v>0</v>
      </c>
      <c r="C701">
        <v>370.89043709999999</v>
      </c>
      <c r="D701">
        <v>-6.3158504846616505E-4</v>
      </c>
      <c r="E701">
        <v>0</v>
      </c>
      <c r="F701">
        <v>370.11460247499997</v>
      </c>
      <c r="G701">
        <v>11.31817696746471</v>
      </c>
      <c r="H701">
        <v>392.75095640992942</v>
      </c>
      <c r="I701">
        <v>347.47824854007052</v>
      </c>
    </row>
    <row r="702" spans="1:9" x14ac:dyDescent="0.25">
      <c r="A702" s="1">
        <v>41193</v>
      </c>
      <c r="B702" t="s">
        <v>0</v>
      </c>
      <c r="C702">
        <v>374.33752559999999</v>
      </c>
      <c r="D702">
        <v>-9.2940883754050463E-3</v>
      </c>
      <c r="E702">
        <v>0</v>
      </c>
      <c r="F702">
        <v>371.24636253999995</v>
      </c>
      <c r="G702">
        <v>9.7829316685758787</v>
      </c>
      <c r="H702">
        <v>390.81222587715172</v>
      </c>
      <c r="I702">
        <v>351.68049920284818</v>
      </c>
    </row>
    <row r="703" spans="1:9" x14ac:dyDescent="0.25">
      <c r="A703" s="1">
        <v>41194</v>
      </c>
      <c r="B703" t="s">
        <v>0</v>
      </c>
      <c r="C703">
        <v>370.98510279999999</v>
      </c>
      <c r="D703">
        <v>8.9556151086552984E-3</v>
      </c>
      <c r="E703">
        <v>1</v>
      </c>
      <c r="F703">
        <v>372.11983968499993</v>
      </c>
      <c r="G703">
        <v>8.8231517765313594</v>
      </c>
      <c r="H703">
        <v>389.76614323806263</v>
      </c>
      <c r="I703">
        <v>354.47353613193724</v>
      </c>
    </row>
    <row r="704" spans="1:9" x14ac:dyDescent="0.25">
      <c r="A704" s="1">
        <v>41197</v>
      </c>
      <c r="B704" t="s">
        <v>0</v>
      </c>
      <c r="C704">
        <v>369.10713929999997</v>
      </c>
      <c r="D704">
        <v>5.0620994908586424E-3</v>
      </c>
      <c r="E704">
        <v>1</v>
      </c>
      <c r="F704">
        <v>372.89194795499986</v>
      </c>
      <c r="G704">
        <v>7.8232076877896981</v>
      </c>
      <c r="H704">
        <v>388.53836333057927</v>
      </c>
      <c r="I704">
        <v>357.24553257942046</v>
      </c>
    </row>
    <row r="705" spans="1:9" x14ac:dyDescent="0.25">
      <c r="A705" s="1">
        <v>41198</v>
      </c>
      <c r="B705" t="s">
        <v>0</v>
      </c>
      <c r="C705">
        <v>370.96020010000001</v>
      </c>
      <c r="D705">
        <v>-5.0203873149522607E-3</v>
      </c>
      <c r="E705">
        <v>0</v>
      </c>
      <c r="F705">
        <v>373.54998282999998</v>
      </c>
      <c r="G705">
        <v>6.6232922844439148</v>
      </c>
      <c r="H705">
        <v>386.79656739888782</v>
      </c>
      <c r="I705">
        <v>360.30339826111214</v>
      </c>
    </row>
    <row r="706" spans="1:9" x14ac:dyDescent="0.25">
      <c r="A706" s="1">
        <v>41199</v>
      </c>
      <c r="B706" t="s">
        <v>0</v>
      </c>
      <c r="C706">
        <v>376.33505680000002</v>
      </c>
      <c r="D706">
        <v>-1.4489038712376976E-2</v>
      </c>
      <c r="E706">
        <v>0</v>
      </c>
      <c r="F706">
        <v>374.24712147999998</v>
      </c>
      <c r="G706">
        <v>5.6820304766999774</v>
      </c>
      <c r="H706">
        <v>385.6111824333999</v>
      </c>
      <c r="I706">
        <v>362.88306052660005</v>
      </c>
    </row>
    <row r="707" spans="1:9" x14ac:dyDescent="0.25">
      <c r="A707" s="1">
        <v>41200</v>
      </c>
      <c r="B707" t="s">
        <v>0</v>
      </c>
      <c r="C707">
        <v>346.20295579999998</v>
      </c>
      <c r="D707">
        <v>8.006721791005901E-2</v>
      </c>
      <c r="E707">
        <v>1</v>
      </c>
      <c r="F707">
        <v>373.42221313999994</v>
      </c>
      <c r="G707">
        <v>5.1143972256383066</v>
      </c>
      <c r="H707">
        <v>383.65100759127654</v>
      </c>
      <c r="I707">
        <v>363.19341868872334</v>
      </c>
    </row>
    <row r="708" spans="1:9" x14ac:dyDescent="0.25">
      <c r="A708" s="1">
        <v>41201</v>
      </c>
      <c r="B708" t="s">
        <v>0</v>
      </c>
      <c r="C708">
        <v>339.62259160000002</v>
      </c>
      <c r="D708">
        <v>1.900724442052832E-2</v>
      </c>
      <c r="E708">
        <v>1</v>
      </c>
      <c r="F708">
        <v>372.12208426499996</v>
      </c>
      <c r="G708">
        <v>7.6905593724994397</v>
      </c>
      <c r="H708">
        <v>387.50320300999886</v>
      </c>
      <c r="I708">
        <v>356.74096552000105</v>
      </c>
    </row>
    <row r="709" spans="1:9" x14ac:dyDescent="0.25">
      <c r="A709" s="1">
        <v>41204</v>
      </c>
      <c r="B709" t="s">
        <v>0</v>
      </c>
      <c r="C709">
        <v>338.06842010000003</v>
      </c>
      <c r="D709">
        <v>4.5761723113828196E-3</v>
      </c>
      <c r="E709">
        <v>1</v>
      </c>
      <c r="F709">
        <v>370.36093317000001</v>
      </c>
      <c r="G709">
        <v>10.62763908318388</v>
      </c>
      <c r="H709">
        <v>391.61621133636777</v>
      </c>
      <c r="I709">
        <v>349.10565500363225</v>
      </c>
    </row>
    <row r="710" spans="1:9" x14ac:dyDescent="0.25">
      <c r="A710" s="1">
        <v>41205</v>
      </c>
      <c r="B710" t="s">
        <v>0</v>
      </c>
      <c r="C710">
        <v>338.90527479999997</v>
      </c>
      <c r="D710">
        <v>-2.4754003930695643E-3</v>
      </c>
      <c r="E710">
        <v>0</v>
      </c>
      <c r="F710">
        <v>368.64710424499998</v>
      </c>
      <c r="G710">
        <v>12.945842884310576</v>
      </c>
      <c r="H710">
        <v>394.53879001362111</v>
      </c>
      <c r="I710">
        <v>342.75541847637885</v>
      </c>
    </row>
    <row r="711" spans="1:9" x14ac:dyDescent="0.25">
      <c r="A711" s="1">
        <v>41206</v>
      </c>
      <c r="B711" t="s">
        <v>0</v>
      </c>
      <c r="C711">
        <v>337.38598500000001</v>
      </c>
      <c r="D711">
        <v>4.4829334712968225E-3</v>
      </c>
      <c r="E711">
        <v>1</v>
      </c>
      <c r="F711">
        <v>366.75021074499995</v>
      </c>
      <c r="G711">
        <v>14.642188238879443</v>
      </c>
      <c r="H711">
        <v>396.03458722275883</v>
      </c>
      <c r="I711">
        <v>337.46583426724106</v>
      </c>
    </row>
    <row r="712" spans="1:9" x14ac:dyDescent="0.25">
      <c r="A712" s="1">
        <v>41207</v>
      </c>
      <c r="B712" t="s">
        <v>0</v>
      </c>
      <c r="C712">
        <v>337.6151112</v>
      </c>
      <c r="D712">
        <v>-6.7912186690266953E-4</v>
      </c>
      <c r="E712">
        <v>0</v>
      </c>
      <c r="F712">
        <v>364.78905778000001</v>
      </c>
      <c r="G712">
        <v>16.052330555545787</v>
      </c>
      <c r="H712">
        <v>396.89371889109157</v>
      </c>
      <c r="I712">
        <v>332.68439666890845</v>
      </c>
    </row>
    <row r="713" spans="1:9" x14ac:dyDescent="0.25">
      <c r="A713" s="1">
        <v>41208</v>
      </c>
      <c r="B713" t="s">
        <v>0</v>
      </c>
      <c r="C713">
        <v>336.31499930000001</v>
      </c>
      <c r="D713">
        <v>3.8508699903240301E-3</v>
      </c>
      <c r="E713">
        <v>1</v>
      </c>
      <c r="F713">
        <v>362.81271315500004</v>
      </c>
      <c r="G713">
        <v>17.065912431245696</v>
      </c>
      <c r="H713">
        <v>396.94453801749142</v>
      </c>
      <c r="I713">
        <v>328.68088829250866</v>
      </c>
    </row>
    <row r="714" spans="1:9" x14ac:dyDescent="0.25">
      <c r="A714" s="1">
        <v>41213</v>
      </c>
      <c r="B714" t="s">
        <v>0</v>
      </c>
      <c r="C714">
        <v>338.88037220000001</v>
      </c>
      <c r="D714">
        <v>-7.6278872644381631E-3</v>
      </c>
      <c r="E714">
        <v>0</v>
      </c>
      <c r="F714">
        <v>360.78331665999997</v>
      </c>
      <c r="G714">
        <v>17.943864812625282</v>
      </c>
      <c r="H714">
        <v>396.67104628525055</v>
      </c>
      <c r="I714">
        <v>324.89558703474938</v>
      </c>
    </row>
    <row r="715" spans="1:9" x14ac:dyDescent="0.25">
      <c r="A715" s="1">
        <v>41214</v>
      </c>
      <c r="B715" t="s">
        <v>0</v>
      </c>
      <c r="C715">
        <v>342.5117568</v>
      </c>
      <c r="D715">
        <v>-1.0715830416571969E-2</v>
      </c>
      <c r="E715">
        <v>0</v>
      </c>
      <c r="F715">
        <v>359.05479196499999</v>
      </c>
      <c r="G715">
        <v>18.207157844958619</v>
      </c>
      <c r="H715">
        <v>395.46910765491725</v>
      </c>
      <c r="I715">
        <v>322.64047627508273</v>
      </c>
    </row>
    <row r="716" spans="1:9" x14ac:dyDescent="0.25">
      <c r="A716" s="1">
        <v>41215</v>
      </c>
      <c r="B716" t="s">
        <v>0</v>
      </c>
      <c r="C716">
        <v>342.67615510000002</v>
      </c>
      <c r="D716">
        <v>-4.7997856054912566E-4</v>
      </c>
      <c r="E716">
        <v>0</v>
      </c>
      <c r="F716">
        <v>357.197250935</v>
      </c>
      <c r="G716">
        <v>18.231434191274875</v>
      </c>
      <c r="H716">
        <v>393.66011931754974</v>
      </c>
      <c r="I716">
        <v>320.73438255245026</v>
      </c>
    </row>
    <row r="717" spans="1:9" x14ac:dyDescent="0.25">
      <c r="A717" s="1">
        <v>41218</v>
      </c>
      <c r="B717" t="s">
        <v>0</v>
      </c>
      <c r="C717">
        <v>340.20541759999998</v>
      </c>
      <c r="D717">
        <v>7.2101237953922665E-3</v>
      </c>
      <c r="E717">
        <v>1</v>
      </c>
      <c r="F717">
        <v>355.07794189999998</v>
      </c>
      <c r="G717">
        <v>17.939190408769825</v>
      </c>
      <c r="H717">
        <v>390.95632271753965</v>
      </c>
      <c r="I717">
        <v>319.19956108246032</v>
      </c>
    </row>
    <row r="718" spans="1:9" x14ac:dyDescent="0.25">
      <c r="A718" s="1">
        <v>41219</v>
      </c>
      <c r="B718" t="s">
        <v>0</v>
      </c>
      <c r="C718">
        <v>339.58774030000001</v>
      </c>
      <c r="D718">
        <v>1.8156010105818154E-3</v>
      </c>
      <c r="E718">
        <v>1</v>
      </c>
      <c r="F718">
        <v>352.93771148499997</v>
      </c>
      <c r="G718">
        <v>17.309092214187086</v>
      </c>
      <c r="H718">
        <v>387.55589591337412</v>
      </c>
      <c r="I718">
        <v>318.31952705662582</v>
      </c>
    </row>
    <row r="719" spans="1:9" x14ac:dyDescent="0.25">
      <c r="A719" s="1">
        <v>41220</v>
      </c>
      <c r="B719" t="s">
        <v>0</v>
      </c>
      <c r="C719">
        <v>332.31496190000001</v>
      </c>
      <c r="D719">
        <v>2.1416492814419756E-2</v>
      </c>
      <c r="E719">
        <v>1</v>
      </c>
      <c r="F719">
        <v>350.67817697499999</v>
      </c>
      <c r="G719">
        <v>16.439053307119377</v>
      </c>
      <c r="H719">
        <v>383.55628358923872</v>
      </c>
      <c r="I719">
        <v>317.80007036076125</v>
      </c>
    </row>
    <row r="720" spans="1:9" x14ac:dyDescent="0.25">
      <c r="A720" s="1">
        <v>41221</v>
      </c>
      <c r="B720" t="s">
        <v>0</v>
      </c>
      <c r="C720">
        <v>324.9276509</v>
      </c>
      <c r="D720">
        <v>2.222984772567356E-2</v>
      </c>
      <c r="E720">
        <v>1</v>
      </c>
      <c r="F720">
        <v>348.39174271500008</v>
      </c>
      <c r="G720">
        <v>16.010776607492357</v>
      </c>
      <c r="H720">
        <v>380.41329592998477</v>
      </c>
      <c r="I720">
        <v>316.37018950001539</v>
      </c>
    </row>
    <row r="721" spans="1:9" x14ac:dyDescent="0.25">
      <c r="A721" s="1">
        <v>41222</v>
      </c>
      <c r="B721" t="s">
        <v>0</v>
      </c>
      <c r="C721">
        <v>330.27760499999999</v>
      </c>
      <c r="D721">
        <v>-1.6465062561408467E-2</v>
      </c>
      <c r="E721">
        <v>0</v>
      </c>
      <c r="F721">
        <v>346.36110111000005</v>
      </c>
      <c r="G721">
        <v>16.223780299552562</v>
      </c>
      <c r="H721">
        <v>378.80866170910519</v>
      </c>
      <c r="I721">
        <v>313.9135405108949</v>
      </c>
    </row>
    <row r="722" spans="1:9" x14ac:dyDescent="0.25">
      <c r="A722" s="1">
        <v>41225</v>
      </c>
      <c r="B722" t="s">
        <v>0</v>
      </c>
      <c r="C722">
        <v>331.7072642</v>
      </c>
      <c r="D722">
        <v>-4.3286592198705188E-3</v>
      </c>
      <c r="E722">
        <v>0</v>
      </c>
      <c r="F722">
        <v>344.22958804000007</v>
      </c>
      <c r="G722">
        <v>15.830474450446342</v>
      </c>
      <c r="H722">
        <v>375.89053694089273</v>
      </c>
      <c r="I722">
        <v>312.5686391391074</v>
      </c>
    </row>
    <row r="723" spans="1:9" x14ac:dyDescent="0.25">
      <c r="A723" s="1">
        <v>41226</v>
      </c>
      <c r="B723" t="s">
        <v>0</v>
      </c>
      <c r="C723">
        <v>328.29502710000003</v>
      </c>
      <c r="D723">
        <v>1.0286892897053325E-2</v>
      </c>
      <c r="E723">
        <v>1</v>
      </c>
      <c r="F723">
        <v>342.09508425500013</v>
      </c>
      <c r="G723">
        <v>14.75384906545618</v>
      </c>
      <c r="H723">
        <v>371.60278238591252</v>
      </c>
      <c r="I723">
        <v>312.58738612408774</v>
      </c>
    </row>
    <row r="724" spans="1:9" x14ac:dyDescent="0.25">
      <c r="A724" s="1">
        <v>41227</v>
      </c>
      <c r="B724" t="s">
        <v>0</v>
      </c>
      <c r="C724">
        <v>325.05716740000003</v>
      </c>
      <c r="D724">
        <v>9.8626522874918111E-3</v>
      </c>
      <c r="E724">
        <v>1</v>
      </c>
      <c r="F724">
        <v>339.89258566000007</v>
      </c>
      <c r="G724">
        <v>13.795560249760813</v>
      </c>
      <c r="H724">
        <v>367.48370615952172</v>
      </c>
      <c r="I724">
        <v>312.30146516047841</v>
      </c>
    </row>
    <row r="725" spans="1:9" x14ac:dyDescent="0.25">
      <c r="A725" s="1">
        <v>41228</v>
      </c>
      <c r="B725" t="s">
        <v>0</v>
      </c>
      <c r="C725">
        <v>322.42203110000003</v>
      </c>
      <c r="D725">
        <v>8.1066857287823615E-3</v>
      </c>
      <c r="E725">
        <v>1</v>
      </c>
      <c r="F725">
        <v>337.46567721000008</v>
      </c>
      <c r="G725">
        <v>12.82721098905359</v>
      </c>
      <c r="H725">
        <v>363.12009918810725</v>
      </c>
      <c r="I725">
        <v>311.81125523189291</v>
      </c>
    </row>
    <row r="726" spans="1:9" x14ac:dyDescent="0.25">
      <c r="A726" s="1">
        <v>41229</v>
      </c>
      <c r="B726" t="s">
        <v>0</v>
      </c>
      <c r="C726">
        <v>322.38217500000002</v>
      </c>
      <c r="D726">
        <v>1.2361469178775547E-4</v>
      </c>
      <c r="E726">
        <v>1</v>
      </c>
      <c r="F726">
        <v>334.76803312000004</v>
      </c>
      <c r="G726">
        <v>11.271026422944738</v>
      </c>
      <c r="H726">
        <v>357.31008596588953</v>
      </c>
      <c r="I726">
        <v>312.22598027411055</v>
      </c>
    </row>
    <row r="727" spans="1:9" x14ac:dyDescent="0.25">
      <c r="A727" s="1">
        <v>41232</v>
      </c>
      <c r="B727" t="s">
        <v>0</v>
      </c>
      <c r="C727">
        <v>332.85793180000002</v>
      </c>
      <c r="D727">
        <v>-3.2494838773266539E-2</v>
      </c>
      <c r="E727">
        <v>0</v>
      </c>
      <c r="F727">
        <v>334.10078192000003</v>
      </c>
      <c r="G727">
        <v>6.9828978209891091</v>
      </c>
      <c r="H727">
        <v>348.06657756197825</v>
      </c>
      <c r="I727">
        <v>320.13498627802181</v>
      </c>
    </row>
    <row r="728" spans="1:9" x14ac:dyDescent="0.25">
      <c r="A728" s="1">
        <v>41233</v>
      </c>
      <c r="B728" t="s">
        <v>0</v>
      </c>
      <c r="C728">
        <v>333.73464209999997</v>
      </c>
      <c r="D728">
        <v>-2.6338873622718233E-3</v>
      </c>
      <c r="E728">
        <v>0</v>
      </c>
      <c r="F728">
        <v>333.80638444499999</v>
      </c>
      <c r="G728">
        <v>6.4499329486136814</v>
      </c>
      <c r="H728">
        <v>346.70625034222735</v>
      </c>
      <c r="I728">
        <v>320.90651854777263</v>
      </c>
    </row>
    <row r="729" spans="1:9" x14ac:dyDescent="0.25">
      <c r="A729" s="1">
        <v>41234</v>
      </c>
      <c r="B729" t="s">
        <v>0</v>
      </c>
      <c r="C729">
        <v>331.69231079999997</v>
      </c>
      <c r="D729">
        <v>6.1196263209260674E-3</v>
      </c>
      <c r="E729">
        <v>1</v>
      </c>
      <c r="F729">
        <v>333.48757897999997</v>
      </c>
      <c r="G729">
        <v>6.3255131041549433</v>
      </c>
      <c r="H729">
        <v>346.13860518830984</v>
      </c>
      <c r="I729">
        <v>320.83655277169009</v>
      </c>
    </row>
    <row r="730" spans="1:9" x14ac:dyDescent="0.25">
      <c r="A730" s="1">
        <v>41236</v>
      </c>
      <c r="B730" t="s">
        <v>0</v>
      </c>
      <c r="C730">
        <v>332.73839379999998</v>
      </c>
      <c r="D730">
        <v>-3.1537752487448079E-3</v>
      </c>
      <c r="E730">
        <v>0</v>
      </c>
      <c r="F730">
        <v>333.17923492999995</v>
      </c>
      <c r="G730">
        <v>6.2625183598595688</v>
      </c>
      <c r="H730">
        <v>345.70427164971909</v>
      </c>
      <c r="I730">
        <v>320.65419821028081</v>
      </c>
    </row>
    <row r="731" spans="1:9" x14ac:dyDescent="0.25">
      <c r="A731" s="1">
        <v>41239</v>
      </c>
      <c r="B731" t="s">
        <v>0</v>
      </c>
      <c r="C731">
        <v>329.3411102</v>
      </c>
      <c r="D731">
        <v>1.0210073929857325E-2</v>
      </c>
      <c r="E731">
        <v>1</v>
      </c>
      <c r="F731">
        <v>332.77699118999993</v>
      </c>
      <c r="G731">
        <v>6.144206755098736</v>
      </c>
      <c r="H731">
        <v>345.0654047001974</v>
      </c>
      <c r="I731">
        <v>320.48857767980246</v>
      </c>
    </row>
    <row r="732" spans="1:9" x14ac:dyDescent="0.25">
      <c r="A732" s="1">
        <v>41240</v>
      </c>
      <c r="B732" t="s">
        <v>0</v>
      </c>
      <c r="C732">
        <v>334.1032644</v>
      </c>
      <c r="D732">
        <v>-1.4459640939171152E-2</v>
      </c>
      <c r="E732">
        <v>0</v>
      </c>
      <c r="F732">
        <v>332.60139885000001</v>
      </c>
      <c r="G732">
        <v>6.1082102150391648</v>
      </c>
      <c r="H732">
        <v>344.81781928007831</v>
      </c>
      <c r="I732">
        <v>320.38497841992171</v>
      </c>
    </row>
    <row r="733" spans="1:9" x14ac:dyDescent="0.25">
      <c r="A733" s="1">
        <v>41241</v>
      </c>
      <c r="B733" t="s">
        <v>0</v>
      </c>
      <c r="C733">
        <v>340.55908590000001</v>
      </c>
      <c r="D733">
        <v>-1.932283275230403E-2</v>
      </c>
      <c r="E733">
        <v>0</v>
      </c>
      <c r="F733">
        <v>332.81360317999997</v>
      </c>
      <c r="G733">
        <v>6.0175723625783055</v>
      </c>
      <c r="H733">
        <v>344.84874790515659</v>
      </c>
      <c r="I733">
        <v>320.77845845484336</v>
      </c>
    </row>
    <row r="734" spans="1:9" x14ac:dyDescent="0.25">
      <c r="A734" s="1">
        <v>41242</v>
      </c>
      <c r="B734" t="s">
        <v>0</v>
      </c>
      <c r="C734">
        <v>344.6537586</v>
      </c>
      <c r="D734">
        <v>-1.2023384104344019E-2</v>
      </c>
      <c r="E734">
        <v>0</v>
      </c>
      <c r="F734">
        <v>333.10227250000003</v>
      </c>
      <c r="G734">
        <v>6.2194166530317716</v>
      </c>
      <c r="H734">
        <v>345.54110580606357</v>
      </c>
      <c r="I734">
        <v>320.66343919393648</v>
      </c>
    </row>
    <row r="735" spans="1:9" x14ac:dyDescent="0.25">
      <c r="A735" s="1">
        <v>41243</v>
      </c>
      <c r="B735" t="s">
        <v>0</v>
      </c>
      <c r="C735">
        <v>347.8816392</v>
      </c>
      <c r="D735">
        <v>-9.3655749268825514E-3</v>
      </c>
      <c r="E735">
        <v>0</v>
      </c>
      <c r="F735">
        <v>333.37076662000004</v>
      </c>
      <c r="G735">
        <v>6.6148130997973897</v>
      </c>
      <c r="H735">
        <v>346.60039281959484</v>
      </c>
      <c r="I735">
        <v>320.14114042040524</v>
      </c>
    </row>
    <row r="736" spans="1:9" x14ac:dyDescent="0.25">
      <c r="A736" s="1">
        <v>41246</v>
      </c>
      <c r="B736" t="s">
        <v>0</v>
      </c>
      <c r="C736">
        <v>346.32746759999998</v>
      </c>
      <c r="D736">
        <v>4.4675298287487715E-3</v>
      </c>
      <c r="E736">
        <v>1</v>
      </c>
      <c r="F736">
        <v>333.55333224500004</v>
      </c>
      <c r="G736">
        <v>7.0809228657562535</v>
      </c>
      <c r="H736">
        <v>347.71517797651256</v>
      </c>
      <c r="I736">
        <v>319.39148651348751</v>
      </c>
    </row>
    <row r="737" spans="1:9" x14ac:dyDescent="0.25">
      <c r="A737" s="1">
        <v>41247</v>
      </c>
      <c r="B737" t="s">
        <v>0</v>
      </c>
      <c r="C737">
        <v>344.22535240000002</v>
      </c>
      <c r="D737">
        <v>6.0697328299349641E-3</v>
      </c>
      <c r="E737">
        <v>1</v>
      </c>
      <c r="F737">
        <v>333.75432898500009</v>
      </c>
      <c r="G737">
        <v>7.3605366775451841</v>
      </c>
      <c r="H737">
        <v>348.47540234009045</v>
      </c>
      <c r="I737">
        <v>319.03325562990972</v>
      </c>
    </row>
    <row r="738" spans="1:9" x14ac:dyDescent="0.25">
      <c r="A738" s="1">
        <v>41248</v>
      </c>
      <c r="B738" t="s">
        <v>0</v>
      </c>
      <c r="C738">
        <v>342.62635030000001</v>
      </c>
      <c r="D738">
        <v>4.6452188627347799E-3</v>
      </c>
      <c r="E738">
        <v>1</v>
      </c>
      <c r="F738">
        <v>333.90625948500002</v>
      </c>
      <c r="G738">
        <v>7.5895897392588303</v>
      </c>
      <c r="H738">
        <v>349.08543896351767</v>
      </c>
      <c r="I738">
        <v>318.72708000648237</v>
      </c>
    </row>
    <row r="739" spans="1:9" x14ac:dyDescent="0.25">
      <c r="A739" s="1">
        <v>41249</v>
      </c>
      <c r="B739" t="s">
        <v>0</v>
      </c>
      <c r="C739">
        <v>344.27515720000002</v>
      </c>
      <c r="D739">
        <v>-4.8122594732026101E-3</v>
      </c>
      <c r="E739">
        <v>0</v>
      </c>
      <c r="F739">
        <v>334.50426924999999</v>
      </c>
      <c r="G739">
        <v>7.7554836127626485</v>
      </c>
      <c r="H739">
        <v>350.01523647552528</v>
      </c>
      <c r="I739">
        <v>318.9933020244747</v>
      </c>
    </row>
    <row r="740" spans="1:9" x14ac:dyDescent="0.25">
      <c r="A740" s="1">
        <v>41250</v>
      </c>
      <c r="B740" t="s">
        <v>0</v>
      </c>
      <c r="C740">
        <v>340.82806870000002</v>
      </c>
      <c r="D740">
        <v>1.0012597272586493E-2</v>
      </c>
      <c r="E740">
        <v>1</v>
      </c>
      <c r="F740">
        <v>335.29929014000004</v>
      </c>
      <c r="G740">
        <v>8.0816733116540309</v>
      </c>
      <c r="H740">
        <v>351.46263676330813</v>
      </c>
      <c r="I740">
        <v>319.13594351669195</v>
      </c>
    </row>
    <row r="741" spans="1:9" x14ac:dyDescent="0.25">
      <c r="A741" s="1">
        <v>41253</v>
      </c>
      <c r="B741" t="s">
        <v>0</v>
      </c>
      <c r="C741">
        <v>341.43082249999998</v>
      </c>
      <c r="D741">
        <v>-1.7684981236991632E-3</v>
      </c>
      <c r="E741">
        <v>0</v>
      </c>
      <c r="F741">
        <v>335.85695101499999</v>
      </c>
      <c r="G741">
        <v>7.8596599010292492</v>
      </c>
      <c r="H741">
        <v>351.57627081705851</v>
      </c>
      <c r="I741">
        <v>320.13763121294147</v>
      </c>
    </row>
    <row r="742" spans="1:9" x14ac:dyDescent="0.25">
      <c r="A742" s="1">
        <v>41254</v>
      </c>
      <c r="B742" t="s">
        <v>0</v>
      </c>
      <c r="C742">
        <v>347.13941970000002</v>
      </c>
      <c r="D742">
        <v>-1.6719630519005185E-2</v>
      </c>
      <c r="E742">
        <v>0</v>
      </c>
      <c r="F742">
        <v>336.62855879000006</v>
      </c>
      <c r="G742">
        <v>7.8972513817845273</v>
      </c>
      <c r="H742">
        <v>352.42306155356908</v>
      </c>
      <c r="I742">
        <v>320.83405602643103</v>
      </c>
    </row>
    <row r="743" spans="1:9" x14ac:dyDescent="0.25">
      <c r="A743" s="1">
        <v>41255</v>
      </c>
      <c r="B743" t="s">
        <v>0</v>
      </c>
      <c r="C743">
        <v>347.47816549999999</v>
      </c>
      <c r="D743">
        <v>-9.7582060917401957E-4</v>
      </c>
      <c r="E743">
        <v>0</v>
      </c>
      <c r="F743">
        <v>337.58771571</v>
      </c>
      <c r="G743">
        <v>8.2218923743668384</v>
      </c>
      <c r="H743">
        <v>354.03150045873366</v>
      </c>
      <c r="I743">
        <v>321.14393096126634</v>
      </c>
    </row>
    <row r="744" spans="1:9" x14ac:dyDescent="0.25">
      <c r="A744" s="1">
        <v>41256</v>
      </c>
      <c r="B744" t="s">
        <v>0</v>
      </c>
      <c r="C744">
        <v>350.03856400000001</v>
      </c>
      <c r="D744">
        <v>-7.3685162240791774E-3</v>
      </c>
      <c r="E744">
        <v>0</v>
      </c>
      <c r="F744">
        <v>338.83678554000005</v>
      </c>
      <c r="G744">
        <v>8.3506309000094294</v>
      </c>
      <c r="H744">
        <v>355.53804734001892</v>
      </c>
      <c r="I744">
        <v>322.13552373998118</v>
      </c>
    </row>
    <row r="745" spans="1:9" x14ac:dyDescent="0.25">
      <c r="A745" s="1">
        <v>41257</v>
      </c>
      <c r="B745" t="s">
        <v>0</v>
      </c>
      <c r="C745">
        <v>349.66994169999998</v>
      </c>
      <c r="D745">
        <v>1.0530905389042416E-3</v>
      </c>
      <c r="E745">
        <v>1</v>
      </c>
      <c r="F745">
        <v>340.19918107000001</v>
      </c>
      <c r="G745">
        <v>8.2685703865596611</v>
      </c>
      <c r="H745">
        <v>356.73632184311936</v>
      </c>
      <c r="I745">
        <v>323.66204029688066</v>
      </c>
    </row>
    <row r="746" spans="1:9" x14ac:dyDescent="0.25">
      <c r="A746" s="1">
        <v>41260</v>
      </c>
      <c r="B746" t="s">
        <v>0</v>
      </c>
      <c r="C746">
        <v>359.04483579999999</v>
      </c>
      <c r="D746">
        <v>-2.6810694835311909E-2</v>
      </c>
      <c r="E746">
        <v>0</v>
      </c>
      <c r="F746">
        <v>342.03231411000007</v>
      </c>
      <c r="G746">
        <v>7.7725829215631794</v>
      </c>
      <c r="H746">
        <v>357.57747995312644</v>
      </c>
      <c r="I746">
        <v>326.4871482668737</v>
      </c>
    </row>
    <row r="747" spans="1:9" x14ac:dyDescent="0.25">
      <c r="A747" s="1">
        <v>41261</v>
      </c>
      <c r="B747" t="s">
        <v>0</v>
      </c>
      <c r="C747">
        <v>359.18927539999999</v>
      </c>
      <c r="D747">
        <v>-4.0228847653014574E-4</v>
      </c>
      <c r="E747">
        <v>0</v>
      </c>
      <c r="F747">
        <v>343.34888129000007</v>
      </c>
      <c r="G747">
        <v>7.5704221000250138</v>
      </c>
      <c r="H747">
        <v>358.48972549005009</v>
      </c>
      <c r="I747">
        <v>328.20803708995004</v>
      </c>
    </row>
    <row r="748" spans="1:9" x14ac:dyDescent="0.25">
      <c r="A748" s="1">
        <v>41262</v>
      </c>
      <c r="B748" t="s">
        <v>0</v>
      </c>
      <c r="C748">
        <v>358.71109480000001</v>
      </c>
      <c r="D748">
        <v>1.3312774983814935E-3</v>
      </c>
      <c r="E748">
        <v>1</v>
      </c>
      <c r="F748">
        <v>344.59770392500002</v>
      </c>
      <c r="G748">
        <v>8.118728469665367</v>
      </c>
      <c r="H748">
        <v>360.83516086433076</v>
      </c>
      <c r="I748">
        <v>328.36024698566928</v>
      </c>
    </row>
    <row r="749" spans="1:9" x14ac:dyDescent="0.25">
      <c r="A749" s="1">
        <v>41263</v>
      </c>
      <c r="B749" t="s">
        <v>0</v>
      </c>
      <c r="C749">
        <v>359.83188530000001</v>
      </c>
      <c r="D749">
        <v>-3.124493544379766E-3</v>
      </c>
      <c r="E749">
        <v>0</v>
      </c>
      <c r="F749">
        <v>346.00468265000006</v>
      </c>
      <c r="G749">
        <v>8.4824775617502066</v>
      </c>
      <c r="H749">
        <v>362.96963777350049</v>
      </c>
      <c r="I749">
        <v>329.03972752649963</v>
      </c>
    </row>
    <row r="750" spans="1:9" x14ac:dyDescent="0.25">
      <c r="A750" s="1">
        <v>41264</v>
      </c>
      <c r="B750" t="s">
        <v>0</v>
      </c>
      <c r="C750">
        <v>356.4794321</v>
      </c>
      <c r="D750">
        <v>9.3167207714374648E-3</v>
      </c>
      <c r="E750">
        <v>1</v>
      </c>
      <c r="F750">
        <v>347.19173456500005</v>
      </c>
      <c r="G750">
        <v>8.5251917920991964</v>
      </c>
      <c r="H750">
        <v>364.24211814919846</v>
      </c>
      <c r="I750">
        <v>330.14135098080163</v>
      </c>
    </row>
    <row r="751" spans="1:9" x14ac:dyDescent="0.25">
      <c r="A751" s="1">
        <v>41267</v>
      </c>
      <c r="B751" t="s">
        <v>0</v>
      </c>
      <c r="C751">
        <v>353.4258686</v>
      </c>
      <c r="D751">
        <v>8.5658897120981913E-3</v>
      </c>
      <c r="E751">
        <v>1</v>
      </c>
      <c r="F751">
        <v>348.39597248500002</v>
      </c>
      <c r="G751">
        <v>8.2460413151804595</v>
      </c>
      <c r="H751">
        <v>364.88805511536094</v>
      </c>
      <c r="I751">
        <v>331.90388985463909</v>
      </c>
    </row>
    <row r="752" spans="1:9" x14ac:dyDescent="0.25">
      <c r="A752" s="1">
        <v>41269</v>
      </c>
      <c r="B752" t="s">
        <v>0</v>
      </c>
      <c r="C752">
        <v>353.11205580000001</v>
      </c>
      <c r="D752">
        <v>8.8791689539613342E-4</v>
      </c>
      <c r="E752">
        <v>1</v>
      </c>
      <c r="F752">
        <v>349.34641205499997</v>
      </c>
      <c r="G752">
        <v>7.2118746979723376</v>
      </c>
      <c r="H752">
        <v>363.77016145094467</v>
      </c>
      <c r="I752">
        <v>334.92266265905528</v>
      </c>
    </row>
    <row r="753" spans="1:9" x14ac:dyDescent="0.25">
      <c r="A753" s="1">
        <v>41270</v>
      </c>
      <c r="B753" t="s">
        <v>0</v>
      </c>
      <c r="C753">
        <v>351.82686649999999</v>
      </c>
      <c r="D753">
        <v>3.639607537863093E-3</v>
      </c>
      <c r="E753">
        <v>1</v>
      </c>
      <c r="F753">
        <v>349.90980108500003</v>
      </c>
      <c r="G753">
        <v>6.4358270624282854</v>
      </c>
      <c r="H753">
        <v>362.78145520985657</v>
      </c>
      <c r="I753">
        <v>337.03814696014348</v>
      </c>
    </row>
    <row r="754" spans="1:9" x14ac:dyDescent="0.25">
      <c r="A754" s="1">
        <v>41271</v>
      </c>
      <c r="B754" t="s">
        <v>0</v>
      </c>
      <c r="C754">
        <v>348.69859609999997</v>
      </c>
      <c r="D754">
        <v>8.8915051630942439E-3</v>
      </c>
      <c r="E754">
        <v>1</v>
      </c>
      <c r="F754">
        <v>350.11204295999994</v>
      </c>
      <c r="G754">
        <v>6.1051400491886962</v>
      </c>
      <c r="H754">
        <v>362.32232305837732</v>
      </c>
      <c r="I754">
        <v>337.90176286162256</v>
      </c>
    </row>
    <row r="755" spans="1:9" x14ac:dyDescent="0.25">
      <c r="A755" s="1">
        <v>41274</v>
      </c>
      <c r="B755" t="s">
        <v>0</v>
      </c>
      <c r="C755">
        <v>352.36983629999997</v>
      </c>
      <c r="D755">
        <v>-1.0528405451185583E-2</v>
      </c>
      <c r="E755">
        <v>0</v>
      </c>
      <c r="F755">
        <v>350.33645281499997</v>
      </c>
      <c r="G755">
        <v>5.9944426760792409</v>
      </c>
      <c r="H755">
        <v>362.32533816715846</v>
      </c>
      <c r="I755">
        <v>338.34756746284148</v>
      </c>
    </row>
    <row r="756" spans="1:9" x14ac:dyDescent="0.25">
      <c r="A756" s="1">
        <v>41276</v>
      </c>
      <c r="B756" t="s">
        <v>0</v>
      </c>
      <c r="C756">
        <v>360.275215</v>
      </c>
      <c r="D756">
        <v>-2.2434890520168026E-2</v>
      </c>
      <c r="E756">
        <v>0</v>
      </c>
      <c r="F756">
        <v>351.03384018499997</v>
      </c>
      <c r="G756">
        <v>6.0270323598160322</v>
      </c>
      <c r="H756">
        <v>363.08790490463201</v>
      </c>
      <c r="I756">
        <v>338.97977546536794</v>
      </c>
    </row>
    <row r="757" spans="1:9" x14ac:dyDescent="0.25">
      <c r="A757" s="1">
        <v>41277</v>
      </c>
      <c r="B757" t="s">
        <v>0</v>
      </c>
      <c r="C757">
        <v>360.48444380000001</v>
      </c>
      <c r="D757">
        <v>-5.8074713799006496E-4</v>
      </c>
      <c r="E757">
        <v>0</v>
      </c>
      <c r="F757">
        <v>351.84679475499996</v>
      </c>
      <c r="G757">
        <v>6.3362976159013629</v>
      </c>
      <c r="H757">
        <v>364.51938998680271</v>
      </c>
      <c r="I757">
        <v>339.17419952319722</v>
      </c>
    </row>
    <row r="758" spans="1:9" x14ac:dyDescent="0.25">
      <c r="A758" s="1">
        <v>41278</v>
      </c>
      <c r="B758" t="s">
        <v>0</v>
      </c>
      <c r="C758">
        <v>367.6077469</v>
      </c>
      <c r="D758">
        <v>-1.9760361986527385E-2</v>
      </c>
      <c r="E758">
        <v>0</v>
      </c>
      <c r="F758">
        <v>353.09586458499996</v>
      </c>
      <c r="G758">
        <v>6.5218841441866768</v>
      </c>
      <c r="H758">
        <v>366.13963287337333</v>
      </c>
      <c r="I758">
        <v>340.05209629662659</v>
      </c>
    </row>
    <row r="759" spans="1:9" x14ac:dyDescent="0.25">
      <c r="A759" s="1">
        <v>41281</v>
      </c>
      <c r="B759" t="s">
        <v>0</v>
      </c>
      <c r="C759">
        <v>366.00377099999997</v>
      </c>
      <c r="D759">
        <v>4.3632810067964949E-3</v>
      </c>
      <c r="E759">
        <v>1</v>
      </c>
      <c r="F759">
        <v>354.182295275</v>
      </c>
      <c r="G759">
        <v>6.9831586250347426</v>
      </c>
      <c r="H759">
        <v>368.1486125250695</v>
      </c>
      <c r="I759">
        <v>340.21597802493051</v>
      </c>
    </row>
    <row r="760" spans="1:9" x14ac:dyDescent="0.25">
      <c r="A760" s="1">
        <v>41282</v>
      </c>
      <c r="B760" t="s">
        <v>0</v>
      </c>
      <c r="C760">
        <v>365.28144900000001</v>
      </c>
      <c r="D760">
        <v>1.9735370431469214E-3</v>
      </c>
      <c r="E760">
        <v>1</v>
      </c>
      <c r="F760">
        <v>355.40496428999995</v>
      </c>
      <c r="G760">
        <v>7.2345849277356988</v>
      </c>
      <c r="H760">
        <v>369.87413414547137</v>
      </c>
      <c r="I760">
        <v>340.93579443452853</v>
      </c>
    </row>
    <row r="761" spans="1:9" x14ac:dyDescent="0.25">
      <c r="A761" s="1">
        <v>41283</v>
      </c>
      <c r="B761" t="s">
        <v>0</v>
      </c>
      <c r="C761">
        <v>367.68245439999998</v>
      </c>
      <c r="D761">
        <v>-6.5730285689924919E-3</v>
      </c>
      <c r="E761">
        <v>0</v>
      </c>
      <c r="F761">
        <v>356.71754588500005</v>
      </c>
      <c r="G761">
        <v>6.9509022996592824</v>
      </c>
      <c r="H761">
        <v>370.6193504843186</v>
      </c>
      <c r="I761">
        <v>342.8157412856815</v>
      </c>
    </row>
    <row r="762" spans="1:9" x14ac:dyDescent="0.25">
      <c r="A762" s="1">
        <v>41284</v>
      </c>
      <c r="B762" t="s">
        <v>0</v>
      </c>
      <c r="C762">
        <v>369.35619380000003</v>
      </c>
      <c r="D762">
        <v>-4.552132906998037E-3</v>
      </c>
      <c r="E762">
        <v>0</v>
      </c>
      <c r="F762">
        <v>357.82838459000004</v>
      </c>
      <c r="G762">
        <v>6.6239165719818196</v>
      </c>
      <c r="H762">
        <v>371.07621773396369</v>
      </c>
      <c r="I762">
        <v>344.5805514460364</v>
      </c>
    </row>
    <row r="763" spans="1:9" x14ac:dyDescent="0.25">
      <c r="A763" s="1">
        <v>41285</v>
      </c>
      <c r="B763" t="s">
        <v>0</v>
      </c>
      <c r="C763">
        <v>368.6139743</v>
      </c>
      <c r="D763">
        <v>2.0094952039762786E-3</v>
      </c>
      <c r="E763">
        <v>1</v>
      </c>
      <c r="F763">
        <v>358.88517503000008</v>
      </c>
      <c r="G763">
        <v>6.7767910934878559</v>
      </c>
      <c r="H763">
        <v>372.43875721697577</v>
      </c>
      <c r="I763">
        <v>345.3315928430244</v>
      </c>
    </row>
    <row r="764" spans="1:9" x14ac:dyDescent="0.25">
      <c r="A764" s="1">
        <v>41288</v>
      </c>
      <c r="B764" t="s">
        <v>0</v>
      </c>
      <c r="C764">
        <v>360.275215</v>
      </c>
      <c r="D764">
        <v>2.2621929393304589E-2</v>
      </c>
      <c r="E764">
        <v>1</v>
      </c>
      <c r="F764">
        <v>359.39700758000004</v>
      </c>
      <c r="G764">
        <v>6.6643344397574875</v>
      </c>
      <c r="H764">
        <v>372.725676459515</v>
      </c>
      <c r="I764">
        <v>346.06833870048507</v>
      </c>
    </row>
    <row r="765" spans="1:9" x14ac:dyDescent="0.25">
      <c r="A765" s="1">
        <v>41289</v>
      </c>
      <c r="B765" t="s">
        <v>0</v>
      </c>
      <c r="C765">
        <v>361.11209969999999</v>
      </c>
      <c r="D765">
        <v>-2.3229038944574208E-3</v>
      </c>
      <c r="E765">
        <v>0</v>
      </c>
      <c r="F765">
        <v>359.96911548000003</v>
      </c>
      <c r="G765">
        <v>6.3561151716913651</v>
      </c>
      <c r="H765">
        <v>372.68134582338274</v>
      </c>
      <c r="I765">
        <v>347.25688513661731</v>
      </c>
    </row>
    <row r="766" spans="1:9" x14ac:dyDescent="0.25">
      <c r="A766" s="1">
        <v>41290</v>
      </c>
      <c r="B766" t="s">
        <v>0</v>
      </c>
      <c r="C766">
        <v>356.2602546</v>
      </c>
      <c r="D766">
        <v>1.3435841956087165E-2</v>
      </c>
      <c r="E766">
        <v>1</v>
      </c>
      <c r="F766">
        <v>359.82988642000004</v>
      </c>
      <c r="G766">
        <v>5.9313789649439919</v>
      </c>
      <c r="H766">
        <v>371.69264434988804</v>
      </c>
      <c r="I766">
        <v>347.96712849011203</v>
      </c>
    </row>
    <row r="767" spans="1:9" x14ac:dyDescent="0.25">
      <c r="A767" s="1">
        <v>41291</v>
      </c>
      <c r="B767" t="s">
        <v>0</v>
      </c>
      <c r="C767">
        <v>354.33248639999999</v>
      </c>
      <c r="D767">
        <v>5.4111233995620756E-3</v>
      </c>
      <c r="E767">
        <v>1</v>
      </c>
      <c r="F767">
        <v>359.58704697000002</v>
      </c>
      <c r="G767">
        <v>5.9871968204641526</v>
      </c>
      <c r="H767">
        <v>371.56144061092834</v>
      </c>
      <c r="I767">
        <v>347.61265332907169</v>
      </c>
    </row>
    <row r="768" spans="1:9" x14ac:dyDescent="0.25">
      <c r="A768" s="1">
        <v>41292</v>
      </c>
      <c r="B768" t="s">
        <v>0</v>
      </c>
      <c r="C768">
        <v>350.94020740000002</v>
      </c>
      <c r="D768">
        <v>9.5737171447793437E-3</v>
      </c>
      <c r="E768">
        <v>1</v>
      </c>
      <c r="F768">
        <v>359.1985026000001</v>
      </c>
      <c r="G768">
        <v>6.1131090062692008</v>
      </c>
      <c r="H768">
        <v>371.42472061253852</v>
      </c>
      <c r="I768">
        <v>346.97228458746167</v>
      </c>
    </row>
    <row r="769" spans="1:9" x14ac:dyDescent="0.25">
      <c r="A769" s="1">
        <v>41296</v>
      </c>
      <c r="B769" t="s">
        <v>0</v>
      </c>
      <c r="C769">
        <v>350.12325060000001</v>
      </c>
      <c r="D769">
        <v>2.3279088083197333E-3</v>
      </c>
      <c r="E769">
        <v>1</v>
      </c>
      <c r="F769">
        <v>358.71307086500002</v>
      </c>
      <c r="G769">
        <v>6.4034240336102117</v>
      </c>
      <c r="H769">
        <v>371.51991893222043</v>
      </c>
      <c r="I769">
        <v>345.90622279777961</v>
      </c>
    </row>
    <row r="770" spans="1:9" x14ac:dyDescent="0.25">
      <c r="A770" s="1">
        <v>41297</v>
      </c>
      <c r="B770" t="s">
        <v>0</v>
      </c>
      <c r="C770">
        <v>369.36617289999998</v>
      </c>
      <c r="D770">
        <v>-5.4960423985050182E-2</v>
      </c>
      <c r="E770">
        <v>0</v>
      </c>
      <c r="F770">
        <v>359.357407905</v>
      </c>
      <c r="G770">
        <v>6.7116073259380187</v>
      </c>
      <c r="H770">
        <v>372.78062255687604</v>
      </c>
      <c r="I770">
        <v>345.93419325312396</v>
      </c>
    </row>
    <row r="771" spans="1:9" x14ac:dyDescent="0.25">
      <c r="A771" s="1">
        <v>41298</v>
      </c>
      <c r="B771" t="s">
        <v>0</v>
      </c>
      <c r="C771">
        <v>375.69745219999999</v>
      </c>
      <c r="D771">
        <v>-1.7140928879034352E-2</v>
      </c>
      <c r="E771">
        <v>0</v>
      </c>
      <c r="F771">
        <v>360.47098708499999</v>
      </c>
      <c r="G771">
        <v>7.1330472511587164</v>
      </c>
      <c r="H771">
        <v>374.73708158731745</v>
      </c>
      <c r="I771">
        <v>346.20489258268253</v>
      </c>
    </row>
    <row r="772" spans="1:9" x14ac:dyDescent="0.25">
      <c r="A772" s="1">
        <v>41299</v>
      </c>
      <c r="B772" t="s">
        <v>0</v>
      </c>
      <c r="C772">
        <v>375.42843900000003</v>
      </c>
      <c r="D772">
        <v>7.1603679616318884E-4</v>
      </c>
      <c r="E772">
        <v>1</v>
      </c>
      <c r="F772">
        <v>361.58680624499999</v>
      </c>
      <c r="G772">
        <v>7.8253429801266341</v>
      </c>
      <c r="H772">
        <v>377.23749220525326</v>
      </c>
      <c r="I772">
        <v>345.93612028474672</v>
      </c>
    </row>
    <row r="773" spans="1:9" x14ac:dyDescent="0.25">
      <c r="A773" s="1">
        <v>41302</v>
      </c>
      <c r="B773" t="s">
        <v>0</v>
      </c>
      <c r="C773">
        <v>373.96392839999999</v>
      </c>
      <c r="D773">
        <v>3.9009048006617302E-3</v>
      </c>
      <c r="E773">
        <v>1</v>
      </c>
      <c r="F773">
        <v>362.69365933999995</v>
      </c>
      <c r="G773">
        <v>8.2734265356919234</v>
      </c>
      <c r="H773">
        <v>379.2405124113838</v>
      </c>
      <c r="I773">
        <v>346.1468062686161</v>
      </c>
    </row>
    <row r="774" spans="1:9" x14ac:dyDescent="0.25">
      <c r="A774" s="1">
        <v>41303</v>
      </c>
      <c r="B774" t="s">
        <v>0</v>
      </c>
      <c r="C774">
        <v>375.43344430000002</v>
      </c>
      <c r="D774">
        <v>-3.9295658976718382E-3</v>
      </c>
      <c r="E774">
        <v>0</v>
      </c>
      <c r="F774">
        <v>364.03040175000001</v>
      </c>
      <c r="G774">
        <v>8.4073215601075884</v>
      </c>
      <c r="H774">
        <v>380.84504487021519</v>
      </c>
      <c r="I774">
        <v>347.21575862978483</v>
      </c>
    </row>
    <row r="775" spans="1:9" x14ac:dyDescent="0.25">
      <c r="A775" s="1">
        <v>41304</v>
      </c>
      <c r="B775" t="s">
        <v>0</v>
      </c>
      <c r="C775">
        <v>375.50815130000001</v>
      </c>
      <c r="D775">
        <v>-1.9898866532597139E-4</v>
      </c>
      <c r="E775">
        <v>0</v>
      </c>
      <c r="F775">
        <v>365.18731750000001</v>
      </c>
      <c r="G775">
        <v>8.1712768655232111</v>
      </c>
      <c r="H775">
        <v>381.5298712310464</v>
      </c>
      <c r="I775">
        <v>348.84476376895361</v>
      </c>
    </row>
    <row r="776" spans="1:9" x14ac:dyDescent="0.25">
      <c r="A776" s="1">
        <v>41305</v>
      </c>
      <c r="B776" t="s">
        <v>0</v>
      </c>
      <c r="C776">
        <v>376.43466649999999</v>
      </c>
      <c r="D776">
        <v>-2.4673637490755132E-3</v>
      </c>
      <c r="E776">
        <v>0</v>
      </c>
      <c r="F776">
        <v>365.99529007500001</v>
      </c>
      <c r="G776">
        <v>8.033316537752663</v>
      </c>
      <c r="H776">
        <v>382.06192315050532</v>
      </c>
      <c r="I776">
        <v>349.92865699949471</v>
      </c>
    </row>
    <row r="777" spans="1:9" x14ac:dyDescent="0.25">
      <c r="A777" s="1">
        <v>41306</v>
      </c>
      <c r="B777" t="s">
        <v>0</v>
      </c>
      <c r="C777">
        <v>386.35253039999998</v>
      </c>
      <c r="D777">
        <v>-2.6346839923681649E-2</v>
      </c>
      <c r="E777">
        <v>0</v>
      </c>
      <c r="F777">
        <v>367.288694405</v>
      </c>
      <c r="G777">
        <v>8.3678035003550129</v>
      </c>
      <c r="H777">
        <v>384.02430140571005</v>
      </c>
      <c r="I777">
        <v>350.55308740428995</v>
      </c>
    </row>
    <row r="778" spans="1:9" x14ac:dyDescent="0.25">
      <c r="A778" s="1">
        <v>41309</v>
      </c>
      <c r="B778" t="s">
        <v>0</v>
      </c>
      <c r="C778">
        <v>378.09345239999999</v>
      </c>
      <c r="D778">
        <v>2.1377051656550995E-2</v>
      </c>
      <c r="E778">
        <v>1</v>
      </c>
      <c r="F778">
        <v>367.81297968000001</v>
      </c>
      <c r="G778">
        <v>9.2817892293224471</v>
      </c>
      <c r="H778">
        <v>386.3765581386449</v>
      </c>
      <c r="I778">
        <v>349.24940122135513</v>
      </c>
    </row>
    <row r="779" spans="1:9" x14ac:dyDescent="0.25">
      <c r="A779" s="1">
        <v>41310</v>
      </c>
      <c r="B779" t="s">
        <v>0</v>
      </c>
      <c r="C779">
        <v>381.44093120000002</v>
      </c>
      <c r="D779">
        <v>-8.8535751644241729E-3</v>
      </c>
      <c r="E779">
        <v>0</v>
      </c>
      <c r="F779">
        <v>368.58483768999997</v>
      </c>
      <c r="G779">
        <v>9.5932098917828927</v>
      </c>
      <c r="H779">
        <v>387.77125747356575</v>
      </c>
      <c r="I779">
        <v>349.39841790643419</v>
      </c>
    </row>
    <row r="780" spans="1:9" x14ac:dyDescent="0.25">
      <c r="A780" s="1">
        <v>41311</v>
      </c>
      <c r="B780" t="s">
        <v>0</v>
      </c>
      <c r="C780">
        <v>383.64766090000001</v>
      </c>
      <c r="D780">
        <v>-5.7852462059005752E-3</v>
      </c>
      <c r="E780">
        <v>0</v>
      </c>
      <c r="F780">
        <v>369.50314828499995</v>
      </c>
      <c r="G780">
        <v>10.040111161270687</v>
      </c>
      <c r="H780">
        <v>389.58337060754133</v>
      </c>
      <c r="I780">
        <v>349.42292596245858</v>
      </c>
    </row>
    <row r="781" spans="1:9" x14ac:dyDescent="0.25">
      <c r="A781" s="1">
        <v>41312</v>
      </c>
      <c r="B781" t="s">
        <v>0</v>
      </c>
      <c r="C781">
        <v>385.53059869999998</v>
      </c>
      <c r="D781">
        <v>-4.9079871765223089E-3</v>
      </c>
      <c r="E781">
        <v>0</v>
      </c>
      <c r="F781">
        <v>370.39555549999989</v>
      </c>
      <c r="G781">
        <v>10.521998259893527</v>
      </c>
      <c r="H781">
        <v>391.43955201978696</v>
      </c>
      <c r="I781">
        <v>349.35155898021281</v>
      </c>
    </row>
    <row r="782" spans="1:9" x14ac:dyDescent="0.25">
      <c r="A782" s="1">
        <v>41313</v>
      </c>
      <c r="B782" t="s">
        <v>0</v>
      </c>
      <c r="C782">
        <v>391.21929849999998</v>
      </c>
      <c r="D782">
        <v>-1.4755507913463044E-2</v>
      </c>
      <c r="E782">
        <v>0</v>
      </c>
      <c r="F782">
        <v>371.48871073499993</v>
      </c>
      <c r="G782">
        <v>11.090214898881021</v>
      </c>
      <c r="H782">
        <v>393.66914053276196</v>
      </c>
      <c r="I782">
        <v>349.3082809372379</v>
      </c>
    </row>
    <row r="783" spans="1:9" x14ac:dyDescent="0.25">
      <c r="A783" s="1">
        <v>41316</v>
      </c>
      <c r="B783" t="s">
        <v>0</v>
      </c>
      <c r="C783">
        <v>389.7497831</v>
      </c>
      <c r="D783">
        <v>3.7562446577516615E-3</v>
      </c>
      <c r="E783">
        <v>1</v>
      </c>
      <c r="F783">
        <v>372.54550117499991</v>
      </c>
      <c r="G783">
        <v>11.97276475134934</v>
      </c>
      <c r="H783">
        <v>396.49103067769857</v>
      </c>
      <c r="I783">
        <v>348.59997167230125</v>
      </c>
    </row>
    <row r="784" spans="1:9" x14ac:dyDescent="0.25">
      <c r="A784" s="1">
        <v>41317</v>
      </c>
      <c r="B784" t="s">
        <v>0</v>
      </c>
      <c r="C784">
        <v>388.89300109999999</v>
      </c>
      <c r="D784">
        <v>2.1982873041912149E-3</v>
      </c>
      <c r="E784">
        <v>1</v>
      </c>
      <c r="F784">
        <v>373.97639047999985</v>
      </c>
      <c r="G784">
        <v>12.626205314488518</v>
      </c>
      <c r="H784">
        <v>399.22880110897688</v>
      </c>
      <c r="I784">
        <v>348.72397985102282</v>
      </c>
    </row>
    <row r="785" spans="1:9" x14ac:dyDescent="0.25">
      <c r="A785" s="1">
        <v>41318</v>
      </c>
      <c r="B785" t="s">
        <v>0</v>
      </c>
      <c r="C785">
        <v>389.9689611</v>
      </c>
      <c r="D785">
        <v>-2.7667250296524023E-3</v>
      </c>
      <c r="E785">
        <v>0</v>
      </c>
      <c r="F785">
        <v>375.41923354999994</v>
      </c>
      <c r="G785">
        <v>12.776619659010459</v>
      </c>
      <c r="H785">
        <v>400.97247286802087</v>
      </c>
      <c r="I785">
        <v>349.86599423197902</v>
      </c>
    </row>
    <row r="786" spans="1:9" x14ac:dyDescent="0.25">
      <c r="A786" s="1">
        <v>41319</v>
      </c>
      <c r="B786" t="s">
        <v>0</v>
      </c>
      <c r="C786">
        <v>392.4397295</v>
      </c>
      <c r="D786">
        <v>-6.3358078371945513E-3</v>
      </c>
      <c r="E786">
        <v>0</v>
      </c>
      <c r="F786">
        <v>377.22820729499995</v>
      </c>
      <c r="G786">
        <v>12.917601192171187</v>
      </c>
      <c r="H786">
        <v>403.06340967934233</v>
      </c>
      <c r="I786">
        <v>351.39300491065757</v>
      </c>
    </row>
    <row r="787" spans="1:9" x14ac:dyDescent="0.25">
      <c r="A787" s="1">
        <v>41320</v>
      </c>
      <c r="B787" t="s">
        <v>0</v>
      </c>
      <c r="C787">
        <v>394.96524629999999</v>
      </c>
      <c r="D787">
        <v>-6.4354259014949991E-3</v>
      </c>
      <c r="E787">
        <v>0</v>
      </c>
      <c r="F787">
        <v>379.25984528999999</v>
      </c>
      <c r="G787">
        <v>12.671966772422612</v>
      </c>
      <c r="H787">
        <v>404.60377883484523</v>
      </c>
      <c r="I787">
        <v>353.91591174515474</v>
      </c>
    </row>
    <row r="788" spans="1:9" x14ac:dyDescent="0.25">
      <c r="A788" s="1">
        <v>41324</v>
      </c>
      <c r="B788" t="s">
        <v>0</v>
      </c>
      <c r="C788">
        <v>401.91920709999999</v>
      </c>
      <c r="D788">
        <v>-1.7606513142976763E-2</v>
      </c>
      <c r="E788">
        <v>0</v>
      </c>
      <c r="F788">
        <v>381.80879527499997</v>
      </c>
      <c r="G788">
        <v>12.179499492594779</v>
      </c>
      <c r="H788">
        <v>406.16779426018951</v>
      </c>
      <c r="I788">
        <v>357.44979628981042</v>
      </c>
    </row>
    <row r="789" spans="1:9" x14ac:dyDescent="0.25">
      <c r="A789" s="1">
        <v>41325</v>
      </c>
      <c r="B789" t="s">
        <v>0</v>
      </c>
      <c r="C789">
        <v>394.75104320000003</v>
      </c>
      <c r="D789">
        <v>1.7834837881277179E-2</v>
      </c>
      <c r="E789">
        <v>1</v>
      </c>
      <c r="F789">
        <v>384.04018490499999</v>
      </c>
      <c r="G789">
        <v>11.220394595989632</v>
      </c>
      <c r="H789">
        <v>406.48097409697925</v>
      </c>
      <c r="I789">
        <v>361.59939571302073</v>
      </c>
    </row>
    <row r="790" spans="1:9" x14ac:dyDescent="0.25">
      <c r="A790" s="1">
        <v>41326</v>
      </c>
      <c r="B790" t="s">
        <v>0</v>
      </c>
      <c r="C790">
        <v>396.2803121</v>
      </c>
      <c r="D790">
        <v>-3.8740085082566203E-3</v>
      </c>
      <c r="E790">
        <v>0</v>
      </c>
      <c r="F790">
        <v>385.38589186499996</v>
      </c>
      <c r="G790">
        <v>8.7135747400363748</v>
      </c>
      <c r="H790">
        <v>402.81304134507269</v>
      </c>
      <c r="I790">
        <v>367.95874238492723</v>
      </c>
    </row>
    <row r="791" spans="1:9" x14ac:dyDescent="0.25">
      <c r="A791" s="1">
        <v>41327</v>
      </c>
      <c r="B791" t="s">
        <v>0</v>
      </c>
      <c r="C791">
        <v>398.36252990000003</v>
      </c>
      <c r="D791">
        <v>-5.2544063795795714E-3</v>
      </c>
      <c r="E791">
        <v>0</v>
      </c>
      <c r="F791">
        <v>386.51914574999995</v>
      </c>
      <c r="G791">
        <v>8.3853144809856328</v>
      </c>
      <c r="H791">
        <v>403.28977471197123</v>
      </c>
      <c r="I791">
        <v>369.74851678802867</v>
      </c>
    </row>
    <row r="792" spans="1:9" x14ac:dyDescent="0.25">
      <c r="A792" s="1">
        <v>41330</v>
      </c>
      <c r="B792" t="s">
        <v>0</v>
      </c>
      <c r="C792">
        <v>393.90921409999999</v>
      </c>
      <c r="D792">
        <v>1.117905291222532E-2</v>
      </c>
      <c r="E792">
        <v>1</v>
      </c>
      <c r="F792">
        <v>387.44318450499998</v>
      </c>
      <c r="G792">
        <v>8.5044212858658046</v>
      </c>
      <c r="H792">
        <v>404.45202707673161</v>
      </c>
      <c r="I792">
        <v>370.43434193326834</v>
      </c>
    </row>
    <row r="793" spans="1:9" x14ac:dyDescent="0.25">
      <c r="A793" s="1">
        <v>41331</v>
      </c>
      <c r="B793" t="s">
        <v>0</v>
      </c>
      <c r="C793">
        <v>393.59039660000002</v>
      </c>
      <c r="D793">
        <v>8.0936796751098395E-4</v>
      </c>
      <c r="E793">
        <v>1</v>
      </c>
      <c r="F793">
        <v>388.42450791499999</v>
      </c>
      <c r="G793">
        <v>8.255964419810466</v>
      </c>
      <c r="H793">
        <v>404.9364367546209</v>
      </c>
      <c r="I793">
        <v>371.91257907537909</v>
      </c>
    </row>
    <row r="794" spans="1:9" x14ac:dyDescent="0.25">
      <c r="A794" s="1">
        <v>41332</v>
      </c>
      <c r="B794" t="s">
        <v>0</v>
      </c>
      <c r="C794">
        <v>398.39738130000001</v>
      </c>
      <c r="D794">
        <v>-1.2213165619701979E-2</v>
      </c>
      <c r="E794">
        <v>0</v>
      </c>
      <c r="F794">
        <v>389.57270476499997</v>
      </c>
      <c r="G794">
        <v>7.7690544345714887</v>
      </c>
      <c r="H794">
        <v>405.11081363414297</v>
      </c>
      <c r="I794">
        <v>374.03459589585697</v>
      </c>
    </row>
    <row r="795" spans="1:9" x14ac:dyDescent="0.25">
      <c r="A795" s="1">
        <v>41333</v>
      </c>
      <c r="B795" t="s">
        <v>0</v>
      </c>
      <c r="C795">
        <v>399.1047494</v>
      </c>
      <c r="D795">
        <v>-1.7755340100173407E-3</v>
      </c>
      <c r="E795">
        <v>0</v>
      </c>
      <c r="F795">
        <v>390.75253467000005</v>
      </c>
      <c r="G795">
        <v>7.4597598409453374</v>
      </c>
      <c r="H795">
        <v>405.67205435189072</v>
      </c>
      <c r="I795">
        <v>375.83301498810937</v>
      </c>
    </row>
    <row r="796" spans="1:9" x14ac:dyDescent="0.25">
      <c r="A796" s="1">
        <v>41334</v>
      </c>
      <c r="B796" t="s">
        <v>0</v>
      </c>
      <c r="C796">
        <v>401.59044089999998</v>
      </c>
      <c r="D796">
        <v>-6.2281681782461219E-3</v>
      </c>
      <c r="E796">
        <v>0</v>
      </c>
      <c r="F796">
        <v>392.01032339000005</v>
      </c>
      <c r="G796">
        <v>7.0070295187736225</v>
      </c>
      <c r="H796">
        <v>406.02438242754732</v>
      </c>
      <c r="I796">
        <v>377.99626435245278</v>
      </c>
    </row>
    <row r="797" spans="1:9" x14ac:dyDescent="0.25">
      <c r="A797" s="1">
        <v>41337</v>
      </c>
      <c r="B797" t="s">
        <v>0</v>
      </c>
      <c r="C797">
        <v>409.21685780000001</v>
      </c>
      <c r="D797">
        <v>-1.8990533945251679E-2</v>
      </c>
      <c r="E797">
        <v>0</v>
      </c>
      <c r="F797">
        <v>393.15353976000006</v>
      </c>
      <c r="G797">
        <v>6.5470821396344991</v>
      </c>
      <c r="H797">
        <v>406.24770403926908</v>
      </c>
      <c r="I797">
        <v>380.05937548073103</v>
      </c>
    </row>
    <row r="798" spans="1:9" x14ac:dyDescent="0.25">
      <c r="A798" s="1">
        <v>41338</v>
      </c>
      <c r="B798" t="s">
        <v>0</v>
      </c>
      <c r="C798">
        <v>417.73493889999997</v>
      </c>
      <c r="D798">
        <v>-2.0815567437261037E-2</v>
      </c>
      <c r="E798">
        <v>0</v>
      </c>
      <c r="F798">
        <v>395.13561408500004</v>
      </c>
      <c r="G798">
        <v>7.5750726781935498</v>
      </c>
      <c r="H798">
        <v>410.28575944138714</v>
      </c>
      <c r="I798">
        <v>379.98546872861294</v>
      </c>
    </row>
    <row r="799" spans="1:9" x14ac:dyDescent="0.25">
      <c r="A799" s="1">
        <v>41339</v>
      </c>
      <c r="B799" t="s">
        <v>0</v>
      </c>
      <c r="C799">
        <v>414.1384056</v>
      </c>
      <c r="D799">
        <v>8.6096061523379952E-3</v>
      </c>
      <c r="E799">
        <v>1</v>
      </c>
      <c r="F799">
        <v>396.77048780500007</v>
      </c>
      <c r="G799">
        <v>8.4302579153944421</v>
      </c>
      <c r="H799">
        <v>413.63100363578894</v>
      </c>
      <c r="I799">
        <v>379.9099719742112</v>
      </c>
    </row>
    <row r="800" spans="1:9" x14ac:dyDescent="0.25">
      <c r="A800" s="1">
        <v>41340</v>
      </c>
      <c r="B800" t="s">
        <v>0</v>
      </c>
      <c r="C800">
        <v>414.74613369999997</v>
      </c>
      <c r="D800">
        <v>-1.4674516822932742E-3</v>
      </c>
      <c r="E800">
        <v>0</v>
      </c>
      <c r="F800">
        <v>398.32541144499999</v>
      </c>
      <c r="G800">
        <v>8.7646733645755539</v>
      </c>
      <c r="H800">
        <v>415.85475817415107</v>
      </c>
      <c r="I800">
        <v>380.7960647158489</v>
      </c>
    </row>
    <row r="801" spans="1:9" x14ac:dyDescent="0.25">
      <c r="A801" s="1">
        <v>41341</v>
      </c>
      <c r="B801" t="s">
        <v>0</v>
      </c>
      <c r="C801">
        <v>414.20816860000002</v>
      </c>
      <c r="D801">
        <v>1.2970949124967125E-3</v>
      </c>
      <c r="E801">
        <v>1</v>
      </c>
      <c r="F801">
        <v>399.75928994000003</v>
      </c>
      <c r="G801">
        <v>9.0324799829201936</v>
      </c>
      <c r="H801">
        <v>417.82424990584042</v>
      </c>
      <c r="I801">
        <v>381.69432997415964</v>
      </c>
    </row>
    <row r="802" spans="1:9" x14ac:dyDescent="0.25">
      <c r="A802" s="1">
        <v>41344</v>
      </c>
      <c r="B802" t="s">
        <v>0</v>
      </c>
      <c r="C802">
        <v>415.8520011</v>
      </c>
      <c r="D802">
        <v>-3.968614393955662E-3</v>
      </c>
      <c r="E802">
        <v>0</v>
      </c>
      <c r="F802">
        <v>400.99092506999995</v>
      </c>
      <c r="G802">
        <v>9.1333642072191239</v>
      </c>
      <c r="H802">
        <v>419.25765348443821</v>
      </c>
      <c r="I802">
        <v>382.72419665556168</v>
      </c>
    </row>
    <row r="803" spans="1:9" x14ac:dyDescent="0.25">
      <c r="A803" s="1">
        <v>41345</v>
      </c>
      <c r="B803" t="s">
        <v>0</v>
      </c>
      <c r="C803">
        <v>412.2604422</v>
      </c>
      <c r="D803">
        <v>8.6366276716228485E-3</v>
      </c>
      <c r="E803">
        <v>1</v>
      </c>
      <c r="F803">
        <v>402.11645802499999</v>
      </c>
      <c r="G803">
        <v>9.5369550130950103</v>
      </c>
      <c r="H803">
        <v>421.19036805119003</v>
      </c>
      <c r="I803">
        <v>383.04254799880994</v>
      </c>
    </row>
    <row r="804" spans="1:9" x14ac:dyDescent="0.25">
      <c r="A804" s="1">
        <v>41346</v>
      </c>
      <c r="B804" t="s">
        <v>0</v>
      </c>
      <c r="C804">
        <v>411.11474900000002</v>
      </c>
      <c r="D804">
        <v>2.7790519844350528E-3</v>
      </c>
      <c r="E804">
        <v>1</v>
      </c>
      <c r="F804">
        <v>403.22754541999996</v>
      </c>
      <c r="G804">
        <v>9.4702858686117395</v>
      </c>
      <c r="H804">
        <v>422.16811715722343</v>
      </c>
      <c r="I804">
        <v>384.28697368277648</v>
      </c>
    </row>
    <row r="805" spans="1:9" x14ac:dyDescent="0.25">
      <c r="A805" s="1">
        <v>41347</v>
      </c>
      <c r="B805" t="s">
        <v>0</v>
      </c>
      <c r="C805">
        <v>409.23678560000002</v>
      </c>
      <c r="D805">
        <v>4.5679786594082974E-3</v>
      </c>
      <c r="E805">
        <v>1</v>
      </c>
      <c r="F805">
        <v>404.19093664500008</v>
      </c>
      <c r="G805">
        <v>9.1351452127566368</v>
      </c>
      <c r="H805">
        <v>422.46122707051336</v>
      </c>
      <c r="I805">
        <v>385.9206462194868</v>
      </c>
    </row>
    <row r="806" spans="1:9" x14ac:dyDescent="0.25">
      <c r="A806" s="1">
        <v>41348</v>
      </c>
      <c r="B806" t="s">
        <v>0</v>
      </c>
      <c r="C806">
        <v>405.63030350000002</v>
      </c>
      <c r="D806">
        <v>8.8127026379419236E-3</v>
      </c>
      <c r="E806">
        <v>1</v>
      </c>
      <c r="F806">
        <v>404.85046534500009</v>
      </c>
      <c r="G806">
        <v>8.662889606129065</v>
      </c>
      <c r="H806">
        <v>422.1762445572582</v>
      </c>
      <c r="I806">
        <v>387.52468613274198</v>
      </c>
    </row>
    <row r="807" spans="1:9" x14ac:dyDescent="0.25">
      <c r="A807" s="1">
        <v>41351</v>
      </c>
      <c r="B807" t="s">
        <v>0</v>
      </c>
      <c r="C807">
        <v>402.38743909999999</v>
      </c>
      <c r="D807">
        <v>7.9946305096508415E-3</v>
      </c>
      <c r="E807">
        <v>1</v>
      </c>
      <c r="F807">
        <v>405.22157498500002</v>
      </c>
      <c r="G807">
        <v>8.2165970973123112</v>
      </c>
      <c r="H807">
        <v>421.65476917962462</v>
      </c>
      <c r="I807">
        <v>388.78838079037541</v>
      </c>
    </row>
    <row r="808" spans="1:9" x14ac:dyDescent="0.25">
      <c r="A808" s="1">
        <v>41352</v>
      </c>
      <c r="B808" t="s">
        <v>0</v>
      </c>
      <c r="C808">
        <v>404.14586509999998</v>
      </c>
      <c r="D808">
        <v>-4.3699823332780221E-3</v>
      </c>
      <c r="E808">
        <v>0</v>
      </c>
      <c r="F808">
        <v>405.33290788500005</v>
      </c>
      <c r="G808">
        <v>7.9162406027215999</v>
      </c>
      <c r="H808">
        <v>421.16538909044323</v>
      </c>
      <c r="I808">
        <v>389.50042667955688</v>
      </c>
    </row>
    <row r="809" spans="1:9" x14ac:dyDescent="0.25">
      <c r="A809" s="1">
        <v>41353</v>
      </c>
      <c r="B809" t="s">
        <v>0</v>
      </c>
      <c r="C809">
        <v>405.8345276</v>
      </c>
      <c r="D809">
        <v>-4.1783490710270805E-3</v>
      </c>
      <c r="E809">
        <v>0</v>
      </c>
      <c r="F809">
        <v>405.8870821050001</v>
      </c>
      <c r="G809">
        <v>7.9032752844935299</v>
      </c>
      <c r="H809">
        <v>421.69363267398717</v>
      </c>
      <c r="I809">
        <v>390.08053153601304</v>
      </c>
    </row>
    <row r="810" spans="1:9" x14ac:dyDescent="0.25">
      <c r="A810" s="1">
        <v>41354</v>
      </c>
      <c r="B810" t="s">
        <v>0</v>
      </c>
      <c r="C810">
        <v>404.11595770000002</v>
      </c>
      <c r="D810">
        <v>4.2346566965683115E-3</v>
      </c>
      <c r="E810">
        <v>1</v>
      </c>
      <c r="F810">
        <v>406.27886438500002</v>
      </c>
      <c r="G810">
        <v>7.5109801991167799</v>
      </c>
      <c r="H810">
        <v>421.30082478323357</v>
      </c>
      <c r="I810">
        <v>391.25690398676647</v>
      </c>
    </row>
    <row r="811" spans="1:9" x14ac:dyDescent="0.25">
      <c r="A811" s="1">
        <v>41355</v>
      </c>
      <c r="B811" t="s">
        <v>0</v>
      </c>
      <c r="C811">
        <v>403.64275140000001</v>
      </c>
      <c r="D811">
        <v>1.1709666272355056E-3</v>
      </c>
      <c r="E811">
        <v>1</v>
      </c>
      <c r="F811">
        <v>406.54287546</v>
      </c>
      <c r="G811">
        <v>7.1916535842498641</v>
      </c>
      <c r="H811">
        <v>420.92618262849976</v>
      </c>
      <c r="I811">
        <v>392.15956829150025</v>
      </c>
    </row>
    <row r="812" spans="1:9" x14ac:dyDescent="0.25">
      <c r="A812" s="1">
        <v>41358</v>
      </c>
      <c r="B812" t="s">
        <v>0</v>
      </c>
      <c r="C812">
        <v>403.3089799</v>
      </c>
      <c r="D812">
        <v>8.2689828776152691E-4</v>
      </c>
      <c r="E812">
        <v>1</v>
      </c>
      <c r="F812">
        <v>407.01286374999995</v>
      </c>
      <c r="G812">
        <v>7.0011001687384802</v>
      </c>
      <c r="H812">
        <v>421.0150640874769</v>
      </c>
      <c r="I812">
        <v>393.010663412523</v>
      </c>
    </row>
    <row r="813" spans="1:9" x14ac:dyDescent="0.25">
      <c r="A813" s="1">
        <v>41359</v>
      </c>
      <c r="B813" t="s">
        <v>0</v>
      </c>
      <c r="C813">
        <v>404.6938093</v>
      </c>
      <c r="D813">
        <v>-3.4336686486459286E-3</v>
      </c>
      <c r="E813">
        <v>0</v>
      </c>
      <c r="F813">
        <v>407.56803438500003</v>
      </c>
      <c r="G813">
        <v>6.4361692083019095</v>
      </c>
      <c r="H813">
        <v>420.44037280160387</v>
      </c>
      <c r="I813">
        <v>394.69569596839619</v>
      </c>
    </row>
    <row r="814" spans="1:9" x14ac:dyDescent="0.25">
      <c r="A814" s="1">
        <v>41360</v>
      </c>
      <c r="B814" t="s">
        <v>0</v>
      </c>
      <c r="C814">
        <v>399.83201489999999</v>
      </c>
      <c r="D814">
        <v>1.201351315061989E-2</v>
      </c>
      <c r="E814">
        <v>1</v>
      </c>
      <c r="F814">
        <v>407.63976606500006</v>
      </c>
      <c r="G814">
        <v>5.6633700304093173</v>
      </c>
      <c r="H814">
        <v>418.96650612581868</v>
      </c>
      <c r="I814">
        <v>396.31302600418144</v>
      </c>
    </row>
    <row r="815" spans="1:9" x14ac:dyDescent="0.25">
      <c r="A815" s="1">
        <v>41361</v>
      </c>
      <c r="B815" t="s">
        <v>0</v>
      </c>
      <c r="C815">
        <v>395.61283049999997</v>
      </c>
      <c r="D815">
        <v>1.0552392611820383E-2</v>
      </c>
      <c r="E815">
        <v>1</v>
      </c>
      <c r="F815">
        <v>407.46517011999993</v>
      </c>
      <c r="G815">
        <v>5.5570863724492927</v>
      </c>
      <c r="H815">
        <v>418.57934286489854</v>
      </c>
      <c r="I815">
        <v>396.35099737510131</v>
      </c>
    </row>
    <row r="816" spans="1:9" x14ac:dyDescent="0.25">
      <c r="A816" s="1">
        <v>41365</v>
      </c>
      <c r="B816" t="s">
        <v>0</v>
      </c>
      <c r="C816">
        <v>399.09977509999999</v>
      </c>
      <c r="D816">
        <v>-8.8140331434473414E-3</v>
      </c>
      <c r="E816">
        <v>0</v>
      </c>
      <c r="F816">
        <v>407.34063683000005</v>
      </c>
      <c r="G816">
        <v>5.8673489314852132</v>
      </c>
      <c r="H816">
        <v>419.0753346929705</v>
      </c>
      <c r="I816">
        <v>395.6059389670296</v>
      </c>
    </row>
    <row r="817" spans="1:9" x14ac:dyDescent="0.25">
      <c r="A817" s="1">
        <v>41366</v>
      </c>
      <c r="B817" t="s">
        <v>0</v>
      </c>
      <c r="C817">
        <v>405.00264759999999</v>
      </c>
      <c r="D817">
        <v>-1.4790468119208923E-2</v>
      </c>
      <c r="E817">
        <v>0</v>
      </c>
      <c r="F817">
        <v>407.12992632000004</v>
      </c>
      <c r="G817">
        <v>6.0176851732044456</v>
      </c>
      <c r="H817">
        <v>419.16529666640895</v>
      </c>
      <c r="I817">
        <v>395.09455597359113</v>
      </c>
    </row>
    <row r="818" spans="1:9" x14ac:dyDescent="0.25">
      <c r="A818" s="1">
        <v>41367</v>
      </c>
      <c r="B818" t="s">
        <v>0</v>
      </c>
      <c r="C818">
        <v>401.59541530000001</v>
      </c>
      <c r="D818">
        <v>8.4128642619766807E-3</v>
      </c>
      <c r="E818">
        <v>1</v>
      </c>
      <c r="F818">
        <v>406.32295014000005</v>
      </c>
      <c r="G818">
        <v>6.0722522169627844</v>
      </c>
      <c r="H818">
        <v>418.46745457392564</v>
      </c>
      <c r="I818">
        <v>394.17844570607446</v>
      </c>
    </row>
    <row r="819" spans="1:9" x14ac:dyDescent="0.25">
      <c r="A819" s="1">
        <v>41368</v>
      </c>
      <c r="B819" t="s">
        <v>0</v>
      </c>
      <c r="C819">
        <v>396.05118590000001</v>
      </c>
      <c r="D819">
        <v>1.380550969651472E-2</v>
      </c>
      <c r="E819">
        <v>1</v>
      </c>
      <c r="F819">
        <v>405.41858915500006</v>
      </c>
      <c r="G819">
        <v>5.6829499987112309</v>
      </c>
      <c r="H819">
        <v>416.78448915242251</v>
      </c>
      <c r="I819">
        <v>394.05268915757762</v>
      </c>
    </row>
    <row r="820" spans="1:9" x14ac:dyDescent="0.25">
      <c r="A820" s="1">
        <v>41369</v>
      </c>
      <c r="B820" t="s">
        <v>0</v>
      </c>
      <c r="C820">
        <v>390.06362680000001</v>
      </c>
      <c r="D820">
        <v>1.5118144606469663E-2</v>
      </c>
      <c r="E820">
        <v>1</v>
      </c>
      <c r="F820">
        <v>404.18446381000007</v>
      </c>
      <c r="G820">
        <v>5.8655467179443637</v>
      </c>
      <c r="H820">
        <v>415.91555724588881</v>
      </c>
      <c r="I820">
        <v>392.45337037411133</v>
      </c>
    </row>
    <row r="821" spans="1:9" x14ac:dyDescent="0.25">
      <c r="A821" s="1">
        <v>41372</v>
      </c>
      <c r="B821" t="s">
        <v>0</v>
      </c>
      <c r="C821">
        <v>385.97893319999997</v>
      </c>
      <c r="D821">
        <v>1.0471864894222525E-2</v>
      </c>
      <c r="E821">
        <v>1</v>
      </c>
      <c r="F821">
        <v>402.77300204000005</v>
      </c>
      <c r="G821">
        <v>6.3866517815238799</v>
      </c>
      <c r="H821">
        <v>415.54630560304781</v>
      </c>
      <c r="I821">
        <v>389.99969847695229</v>
      </c>
    </row>
    <row r="822" spans="1:9" x14ac:dyDescent="0.25">
      <c r="A822" s="1">
        <v>41373</v>
      </c>
      <c r="B822" t="s">
        <v>0</v>
      </c>
      <c r="C822">
        <v>387.37368029999999</v>
      </c>
      <c r="D822">
        <v>-3.613531672406876E-3</v>
      </c>
      <c r="E822">
        <v>0</v>
      </c>
      <c r="F822">
        <v>401.34908600000006</v>
      </c>
      <c r="G822">
        <v>7.0979393886393014</v>
      </c>
      <c r="H822">
        <v>415.54496477727866</v>
      </c>
      <c r="I822">
        <v>387.15320722272145</v>
      </c>
    </row>
    <row r="823" spans="1:9" x14ac:dyDescent="0.25">
      <c r="A823" s="1">
        <v>41374</v>
      </c>
      <c r="B823" t="s">
        <v>0</v>
      </c>
      <c r="C823">
        <v>393.61529869999998</v>
      </c>
      <c r="D823">
        <v>-1.6112654827674912E-2</v>
      </c>
      <c r="E823">
        <v>0</v>
      </c>
      <c r="F823">
        <v>400.41682882499998</v>
      </c>
      <c r="G823">
        <v>7.106244993611301</v>
      </c>
      <c r="H823">
        <v>414.62931881222261</v>
      </c>
      <c r="I823">
        <v>386.20433883777736</v>
      </c>
    </row>
    <row r="824" spans="1:9" x14ac:dyDescent="0.25">
      <c r="A824" s="1">
        <v>41375</v>
      </c>
      <c r="B824" t="s">
        <v>0</v>
      </c>
      <c r="C824">
        <v>393.71991359999998</v>
      </c>
      <c r="D824">
        <v>-2.6577955771921169E-4</v>
      </c>
      <c r="E824">
        <v>0</v>
      </c>
      <c r="F824">
        <v>399.54708705499996</v>
      </c>
      <c r="G824">
        <v>6.8230968312745377</v>
      </c>
      <c r="H824">
        <v>413.19328071754904</v>
      </c>
      <c r="I824">
        <v>385.90089339245088</v>
      </c>
    </row>
    <row r="825" spans="1:9" x14ac:dyDescent="0.25">
      <c r="A825" s="1">
        <v>41376</v>
      </c>
      <c r="B825" t="s">
        <v>0</v>
      </c>
      <c r="C825">
        <v>393.55054050000001</v>
      </c>
      <c r="D825">
        <v>4.3018677529236605E-4</v>
      </c>
      <c r="E825">
        <v>1</v>
      </c>
      <c r="F825">
        <v>398.76277479999999</v>
      </c>
      <c r="G825">
        <v>6.4943863037499199</v>
      </c>
      <c r="H825">
        <v>411.75154740749986</v>
      </c>
      <c r="I825">
        <v>385.77400219250012</v>
      </c>
    </row>
    <row r="826" spans="1:9" x14ac:dyDescent="0.25">
      <c r="A826" s="1">
        <v>41379</v>
      </c>
      <c r="B826" t="s">
        <v>0</v>
      </c>
      <c r="C826">
        <v>389.50570349999998</v>
      </c>
      <c r="D826">
        <v>1.0277808270473025E-2</v>
      </c>
      <c r="E826">
        <v>1</v>
      </c>
      <c r="F826">
        <v>397.95654479999996</v>
      </c>
      <c r="G826">
        <v>6.2209472335982356</v>
      </c>
      <c r="H826">
        <v>410.39843926719641</v>
      </c>
      <c r="I826">
        <v>385.51465033280351</v>
      </c>
    </row>
    <row r="827" spans="1:9" x14ac:dyDescent="0.25">
      <c r="A827" s="1">
        <v>41380</v>
      </c>
      <c r="B827" t="s">
        <v>0</v>
      </c>
      <c r="C827">
        <v>395.20435209999999</v>
      </c>
      <c r="D827">
        <v>-1.4630462529286205E-2</v>
      </c>
      <c r="E827">
        <v>0</v>
      </c>
      <c r="F827">
        <v>397.59739045000003</v>
      </c>
      <c r="G827">
        <v>6.2813759348518037</v>
      </c>
      <c r="H827">
        <v>410.16014231970365</v>
      </c>
      <c r="I827">
        <v>385.03463858029642</v>
      </c>
    </row>
    <row r="828" spans="1:9" x14ac:dyDescent="0.25">
      <c r="A828" s="1">
        <v>41381</v>
      </c>
      <c r="B828" t="s">
        <v>0</v>
      </c>
      <c r="C828">
        <v>389.81954660000002</v>
      </c>
      <c r="D828">
        <v>1.3625369941871069E-2</v>
      </c>
      <c r="E828">
        <v>1</v>
      </c>
      <c r="F828">
        <v>396.88107452499997</v>
      </c>
      <c r="G828">
        <v>6.2536305825579612</v>
      </c>
      <c r="H828">
        <v>409.38833569011592</v>
      </c>
      <c r="I828">
        <v>384.37381335988402</v>
      </c>
    </row>
    <row r="829" spans="1:9" x14ac:dyDescent="0.25">
      <c r="A829" s="1">
        <v>41382</v>
      </c>
      <c r="B829" t="s">
        <v>0</v>
      </c>
      <c r="C829">
        <v>381.52561780000002</v>
      </c>
      <c r="D829">
        <v>2.1276328681666994E-2</v>
      </c>
      <c r="E829">
        <v>1</v>
      </c>
      <c r="F829">
        <v>395.66562903499999</v>
      </c>
      <c r="G829">
        <v>6.359214018187533</v>
      </c>
      <c r="H829">
        <v>408.38405707137508</v>
      </c>
      <c r="I829">
        <v>382.94720099862491</v>
      </c>
    </row>
    <row r="830" spans="1:9" x14ac:dyDescent="0.25">
      <c r="A830" s="1">
        <v>41383</v>
      </c>
      <c r="B830" t="s">
        <v>0</v>
      </c>
      <c r="C830">
        <v>398.4422118</v>
      </c>
      <c r="D830">
        <v>-4.4339339773686814E-2</v>
      </c>
      <c r="E830">
        <v>0</v>
      </c>
      <c r="F830">
        <v>395.38194174</v>
      </c>
      <c r="G830">
        <v>6.7339997323649019</v>
      </c>
      <c r="H830">
        <v>408.84994120472982</v>
      </c>
      <c r="I830">
        <v>381.91394227527019</v>
      </c>
    </row>
    <row r="831" spans="1:9" x14ac:dyDescent="0.25">
      <c r="A831" s="1">
        <v>41386</v>
      </c>
      <c r="B831" t="s">
        <v>0</v>
      </c>
      <c r="C831">
        <v>398.56177960000002</v>
      </c>
      <c r="D831">
        <v>-3.0008818458232214E-4</v>
      </c>
      <c r="E831">
        <v>0</v>
      </c>
      <c r="F831">
        <v>395.12789315000003</v>
      </c>
      <c r="G831">
        <v>6.485784762393938</v>
      </c>
      <c r="H831">
        <v>408.0994626747879</v>
      </c>
      <c r="I831">
        <v>382.15632362521217</v>
      </c>
    </row>
    <row r="832" spans="1:9" x14ac:dyDescent="0.25">
      <c r="A832" s="1">
        <v>41387</v>
      </c>
      <c r="B832" t="s">
        <v>0</v>
      </c>
      <c r="C832">
        <v>402.44224919999999</v>
      </c>
      <c r="D832">
        <v>-9.7361809350972935E-3</v>
      </c>
      <c r="E832">
        <v>0</v>
      </c>
      <c r="F832">
        <v>395.084556615</v>
      </c>
      <c r="G832">
        <v>6.2475371384300091</v>
      </c>
      <c r="H832">
        <v>407.57963089186001</v>
      </c>
      <c r="I832">
        <v>382.58948233813999</v>
      </c>
    </row>
    <row r="833" spans="1:9" x14ac:dyDescent="0.25">
      <c r="A833" s="1">
        <v>41388</v>
      </c>
      <c r="B833" t="s">
        <v>0</v>
      </c>
      <c r="C833">
        <v>405.20687170000002</v>
      </c>
      <c r="D833">
        <v>-6.8696129829701538E-3</v>
      </c>
      <c r="E833">
        <v>0</v>
      </c>
      <c r="F833">
        <v>395.11020973500001</v>
      </c>
      <c r="G833">
        <v>6.1933111877939462</v>
      </c>
      <c r="H833">
        <v>407.49683211058789</v>
      </c>
      <c r="I833">
        <v>382.72358735941214</v>
      </c>
    </row>
    <row r="834" spans="1:9" x14ac:dyDescent="0.25">
      <c r="A834" s="1">
        <v>41389</v>
      </c>
      <c r="B834" t="s">
        <v>0</v>
      </c>
      <c r="C834">
        <v>403.03999759999999</v>
      </c>
      <c r="D834">
        <v>5.3475749088586584E-3</v>
      </c>
      <c r="E834">
        <v>1</v>
      </c>
      <c r="F834">
        <v>395.27060887000005</v>
      </c>
      <c r="G834">
        <v>6.2359996361467926</v>
      </c>
      <c r="H834">
        <v>407.74260814229365</v>
      </c>
      <c r="I834">
        <v>382.79860959770645</v>
      </c>
    </row>
    <row r="835" spans="1:9" x14ac:dyDescent="0.25">
      <c r="A835" s="1">
        <v>41390</v>
      </c>
      <c r="B835" t="s">
        <v>0</v>
      </c>
      <c r="C835">
        <v>399.21433819999999</v>
      </c>
      <c r="D835">
        <v>9.4920092863756168E-3</v>
      </c>
      <c r="E835">
        <v>1</v>
      </c>
      <c r="F835">
        <v>395.45068425500006</v>
      </c>
      <c r="G835">
        <v>6.3951518683822011</v>
      </c>
      <c r="H835">
        <v>408.24098799176448</v>
      </c>
      <c r="I835">
        <v>382.66038051823563</v>
      </c>
    </row>
    <row r="836" spans="1:9" x14ac:dyDescent="0.25">
      <c r="A836" s="1">
        <v>41393</v>
      </c>
      <c r="B836" t="s">
        <v>0</v>
      </c>
      <c r="C836">
        <v>408.00140160000001</v>
      </c>
      <c r="D836">
        <v>-2.2010891291178634E-2</v>
      </c>
      <c r="E836">
        <v>0</v>
      </c>
      <c r="F836">
        <v>395.89576558000005</v>
      </c>
      <c r="G836">
        <v>6.4655243241506293</v>
      </c>
      <c r="H836">
        <v>408.82681422830132</v>
      </c>
      <c r="I836">
        <v>382.96471693169877</v>
      </c>
    </row>
    <row r="837" spans="1:9" x14ac:dyDescent="0.25">
      <c r="A837" s="1">
        <v>41394</v>
      </c>
      <c r="B837" t="s">
        <v>0</v>
      </c>
      <c r="C837">
        <v>410.74612669999999</v>
      </c>
      <c r="D837">
        <v>-6.7272442918979974E-3</v>
      </c>
      <c r="E837">
        <v>0</v>
      </c>
      <c r="F837">
        <v>396.182939535</v>
      </c>
      <c r="G837">
        <v>6.9785034920702955</v>
      </c>
      <c r="H837">
        <v>410.13994651914061</v>
      </c>
      <c r="I837">
        <v>382.2259325508594</v>
      </c>
    </row>
    <row r="838" spans="1:9" x14ac:dyDescent="0.25">
      <c r="A838" s="1">
        <v>41395</v>
      </c>
      <c r="B838" t="s">
        <v>0</v>
      </c>
      <c r="C838">
        <v>408.68386700000002</v>
      </c>
      <c r="D838">
        <v>5.0207648129721736E-3</v>
      </c>
      <c r="E838">
        <v>1</v>
      </c>
      <c r="F838">
        <v>396.53736211999995</v>
      </c>
      <c r="G838">
        <v>7.4525220469412297</v>
      </c>
      <c r="H838">
        <v>411.44240621388241</v>
      </c>
      <c r="I838">
        <v>381.6323180261175</v>
      </c>
    </row>
    <row r="839" spans="1:9" x14ac:dyDescent="0.25">
      <c r="A839" s="1">
        <v>41396</v>
      </c>
      <c r="B839" t="s">
        <v>0</v>
      </c>
      <c r="C839">
        <v>413.25672040000001</v>
      </c>
      <c r="D839">
        <v>-1.1189219270062317E-2</v>
      </c>
      <c r="E839">
        <v>0</v>
      </c>
      <c r="F839">
        <v>397.39763884499996</v>
      </c>
      <c r="G839">
        <v>7.8979646014102638</v>
      </c>
      <c r="H839">
        <v>413.19356804782046</v>
      </c>
      <c r="I839">
        <v>381.60170964217946</v>
      </c>
    </row>
    <row r="840" spans="1:9" x14ac:dyDescent="0.25">
      <c r="A840" s="1">
        <v>41397</v>
      </c>
      <c r="B840" t="s">
        <v>0</v>
      </c>
      <c r="C840">
        <v>421.2816674</v>
      </c>
      <c r="D840">
        <v>-1.9418793703421155E-2</v>
      </c>
      <c r="E840">
        <v>0</v>
      </c>
      <c r="F840">
        <v>398.95854087499998</v>
      </c>
      <c r="G840">
        <v>8.7919927550095167</v>
      </c>
      <c r="H840">
        <v>416.54252638501902</v>
      </c>
      <c r="I840">
        <v>381.37455536498095</v>
      </c>
    </row>
    <row r="841" spans="1:9" x14ac:dyDescent="0.25">
      <c r="A841" s="1">
        <v>41400</v>
      </c>
      <c r="B841" t="s">
        <v>0</v>
      </c>
      <c r="C841">
        <v>429.16711780000003</v>
      </c>
      <c r="D841">
        <v>-1.8717762984243318E-2</v>
      </c>
      <c r="E841">
        <v>0</v>
      </c>
      <c r="F841">
        <v>401.11795010499998</v>
      </c>
      <c r="G841">
        <v>10.145063277241068</v>
      </c>
      <c r="H841">
        <v>421.40807665948211</v>
      </c>
      <c r="I841">
        <v>380.82782355051785</v>
      </c>
    </row>
    <row r="842" spans="1:9" x14ac:dyDescent="0.25">
      <c r="A842" s="1">
        <v>41401</v>
      </c>
      <c r="B842" t="s">
        <v>0</v>
      </c>
      <c r="C842">
        <v>427.01516679999997</v>
      </c>
      <c r="D842">
        <v>5.0142494863805089E-3</v>
      </c>
      <c r="E842">
        <v>1</v>
      </c>
      <c r="F842">
        <v>403.10002442999996</v>
      </c>
      <c r="G842">
        <v>11.607291945396533</v>
      </c>
      <c r="H842">
        <v>426.31460832079301</v>
      </c>
      <c r="I842">
        <v>379.88544053920691</v>
      </c>
    </row>
    <row r="843" spans="1:9" x14ac:dyDescent="0.25">
      <c r="A843" s="1">
        <v>41402</v>
      </c>
      <c r="B843" t="s">
        <v>0</v>
      </c>
      <c r="C843">
        <v>435.18458429999998</v>
      </c>
      <c r="D843">
        <v>-1.9131445754539903E-2</v>
      </c>
      <c r="E843">
        <v>0</v>
      </c>
      <c r="F843">
        <v>405.17848871000001</v>
      </c>
      <c r="G843">
        <v>12.461141473116035</v>
      </c>
      <c r="H843">
        <v>430.1007716562321</v>
      </c>
      <c r="I843">
        <v>380.25620576376792</v>
      </c>
    </row>
    <row r="844" spans="1:9" x14ac:dyDescent="0.25">
      <c r="A844" s="1">
        <v>41403</v>
      </c>
      <c r="B844" t="s">
        <v>0</v>
      </c>
      <c r="C844">
        <v>434.1135678</v>
      </c>
      <c r="D844">
        <v>2.4610625896198243E-3</v>
      </c>
      <c r="E844">
        <v>1</v>
      </c>
      <c r="F844">
        <v>407.19817141999999</v>
      </c>
      <c r="G844">
        <v>14.060301758124821</v>
      </c>
      <c r="H844">
        <v>435.31877493624961</v>
      </c>
      <c r="I844">
        <v>379.07756790375038</v>
      </c>
    </row>
    <row r="845" spans="1:9" x14ac:dyDescent="0.25">
      <c r="A845" s="1">
        <v>41404</v>
      </c>
      <c r="B845" t="s">
        <v>0</v>
      </c>
      <c r="C845">
        <v>438.47224840000001</v>
      </c>
      <c r="D845">
        <v>-1.0040415511749444E-2</v>
      </c>
      <c r="E845">
        <v>0</v>
      </c>
      <c r="F845">
        <v>409.44425681500002</v>
      </c>
      <c r="G845">
        <v>15.161653654950262</v>
      </c>
      <c r="H845">
        <v>439.76756412490056</v>
      </c>
      <c r="I845">
        <v>379.12094950509947</v>
      </c>
    </row>
    <row r="846" spans="1:9" x14ac:dyDescent="0.25">
      <c r="A846" s="1">
        <v>41407</v>
      </c>
      <c r="B846" t="s">
        <v>0</v>
      </c>
      <c r="C846">
        <v>437.12730599999998</v>
      </c>
      <c r="D846">
        <v>3.0673375679025898E-3</v>
      </c>
      <c r="E846">
        <v>1</v>
      </c>
      <c r="F846">
        <v>411.82533694000006</v>
      </c>
      <c r="G846">
        <v>16.280233044161054</v>
      </c>
      <c r="H846">
        <v>444.38580302832219</v>
      </c>
      <c r="I846">
        <v>379.26487085167793</v>
      </c>
    </row>
    <row r="847" spans="1:9" x14ac:dyDescent="0.25">
      <c r="A847" s="1">
        <v>41408</v>
      </c>
      <c r="B847" t="s">
        <v>0</v>
      </c>
      <c r="C847">
        <v>441.89443469999998</v>
      </c>
      <c r="D847">
        <v>-1.0905584333365807E-2</v>
      </c>
      <c r="E847">
        <v>0</v>
      </c>
      <c r="F847">
        <v>414.15984107000003</v>
      </c>
      <c r="G847">
        <v>16.661244778708518</v>
      </c>
      <c r="H847">
        <v>447.48233062741707</v>
      </c>
      <c r="I847">
        <v>380.83735151258298</v>
      </c>
    </row>
    <row r="848" spans="1:9" x14ac:dyDescent="0.25">
      <c r="A848" s="1">
        <v>41409</v>
      </c>
      <c r="B848" t="s">
        <v>0</v>
      </c>
      <c r="C848">
        <v>456.23570660000001</v>
      </c>
      <c r="D848">
        <v>-3.2454067699984178E-2</v>
      </c>
      <c r="E848">
        <v>0</v>
      </c>
      <c r="F848">
        <v>417.48064906999997</v>
      </c>
      <c r="G848">
        <v>17.581800233064239</v>
      </c>
      <c r="H848">
        <v>452.64424953612843</v>
      </c>
      <c r="I848">
        <v>382.31704860387151</v>
      </c>
    </row>
    <row r="849" spans="1:9" x14ac:dyDescent="0.25">
      <c r="A849" s="1">
        <v>41410</v>
      </c>
      <c r="B849" t="s">
        <v>0</v>
      </c>
      <c r="C849">
        <v>450.24814739999999</v>
      </c>
      <c r="D849">
        <v>1.3123828567958956E-2</v>
      </c>
      <c r="E849">
        <v>1</v>
      </c>
      <c r="F849">
        <v>420.91677554999995</v>
      </c>
      <c r="G849">
        <v>18.914744495679113</v>
      </c>
      <c r="H849">
        <v>458.74626454135819</v>
      </c>
      <c r="I849">
        <v>383.08728655864172</v>
      </c>
    </row>
    <row r="850" spans="1:9" x14ac:dyDescent="0.25">
      <c r="A850" s="1">
        <v>41411</v>
      </c>
      <c r="B850" t="s">
        <v>0</v>
      </c>
      <c r="C850">
        <v>452.89323250000001</v>
      </c>
      <c r="D850">
        <v>-5.8747273370791378E-3</v>
      </c>
      <c r="E850">
        <v>0</v>
      </c>
      <c r="F850">
        <v>423.63932658499999</v>
      </c>
      <c r="G850">
        <v>18.182770601888002</v>
      </c>
      <c r="H850">
        <v>460.00486778877598</v>
      </c>
      <c r="I850">
        <v>387.273785381224</v>
      </c>
    </row>
    <row r="851" spans="1:9" x14ac:dyDescent="0.25">
      <c r="A851" s="1">
        <v>41414</v>
      </c>
      <c r="B851" t="s">
        <v>0</v>
      </c>
      <c r="C851">
        <v>452.56944060000001</v>
      </c>
      <c r="D851">
        <v>7.1494091049374058E-4</v>
      </c>
      <c r="E851">
        <v>1</v>
      </c>
      <c r="F851">
        <v>426.33970963499996</v>
      </c>
      <c r="G851">
        <v>18.680204395759972</v>
      </c>
      <c r="H851">
        <v>463.70011842651991</v>
      </c>
      <c r="I851">
        <v>388.97930084348002</v>
      </c>
    </row>
    <row r="852" spans="1:9" x14ac:dyDescent="0.25">
      <c r="A852" s="1">
        <v>41415</v>
      </c>
      <c r="B852" t="s">
        <v>0</v>
      </c>
      <c r="C852">
        <v>451.7923394</v>
      </c>
      <c r="D852">
        <v>1.7170872142178929E-3</v>
      </c>
      <c r="E852">
        <v>1</v>
      </c>
      <c r="F852">
        <v>428.80721414499993</v>
      </c>
      <c r="G852">
        <v>18.731200822360179</v>
      </c>
      <c r="H852">
        <v>466.26961578972032</v>
      </c>
      <c r="I852">
        <v>391.34481250027955</v>
      </c>
    </row>
    <row r="853" spans="1:9" x14ac:dyDescent="0.25">
      <c r="A853" s="1">
        <v>41416</v>
      </c>
      <c r="B853" t="s">
        <v>0</v>
      </c>
      <c r="C853">
        <v>443.0501064</v>
      </c>
      <c r="D853">
        <v>1.9350113398580567E-2</v>
      </c>
      <c r="E853">
        <v>1</v>
      </c>
      <c r="F853">
        <v>430.69937587999993</v>
      </c>
      <c r="G853">
        <v>18.603719805480651</v>
      </c>
      <c r="H853">
        <v>467.90681549096121</v>
      </c>
      <c r="I853">
        <v>393.49193626903866</v>
      </c>
    </row>
    <row r="854" spans="1:9" x14ac:dyDescent="0.25">
      <c r="A854" s="1">
        <v>41417</v>
      </c>
      <c r="B854" t="s">
        <v>0</v>
      </c>
      <c r="C854">
        <v>439.74748849999997</v>
      </c>
      <c r="D854">
        <v>7.4542762822819844E-3</v>
      </c>
      <c r="E854">
        <v>1</v>
      </c>
      <c r="F854">
        <v>432.53475042499997</v>
      </c>
      <c r="G854">
        <v>18.016676415803893</v>
      </c>
      <c r="H854">
        <v>468.56810325660774</v>
      </c>
      <c r="I854">
        <v>396.5013975933922</v>
      </c>
    </row>
    <row r="855" spans="1:9" x14ac:dyDescent="0.25">
      <c r="A855" s="1">
        <v>41418</v>
      </c>
      <c r="B855" t="s">
        <v>0</v>
      </c>
      <c r="C855">
        <v>435.03013429999999</v>
      </c>
      <c r="D855">
        <v>1.0727415899727165E-2</v>
      </c>
      <c r="E855">
        <v>1</v>
      </c>
      <c r="F855">
        <v>434.32554023</v>
      </c>
      <c r="G855">
        <v>16.938468481949947</v>
      </c>
      <c r="H855">
        <v>468.20247719389988</v>
      </c>
      <c r="I855">
        <v>400.44860326610012</v>
      </c>
    </row>
    <row r="856" spans="1:9" x14ac:dyDescent="0.25">
      <c r="A856" s="1">
        <v>41422</v>
      </c>
      <c r="B856" t="s">
        <v>0</v>
      </c>
      <c r="C856">
        <v>438.99031550000001</v>
      </c>
      <c r="D856">
        <v>-9.1032342078377782E-3</v>
      </c>
      <c r="E856">
        <v>0</v>
      </c>
      <c r="F856">
        <v>435.87498592499998</v>
      </c>
      <c r="G856">
        <v>15.08964856172488</v>
      </c>
      <c r="H856">
        <v>466.05428304844975</v>
      </c>
      <c r="I856">
        <v>405.6956888015502</v>
      </c>
    </row>
    <row r="857" spans="1:9" x14ac:dyDescent="0.25">
      <c r="A857" s="1">
        <v>41423</v>
      </c>
      <c r="B857" t="s">
        <v>0</v>
      </c>
      <c r="C857">
        <v>432.534494</v>
      </c>
      <c r="D857">
        <v>1.4706068156986513E-2</v>
      </c>
      <c r="E857">
        <v>1</v>
      </c>
      <c r="F857">
        <v>436.96440429000006</v>
      </c>
      <c r="G857">
        <v>13.802998038551785</v>
      </c>
      <c r="H857">
        <v>464.57040036710362</v>
      </c>
      <c r="I857">
        <v>409.35840821289651</v>
      </c>
    </row>
    <row r="858" spans="1:9" x14ac:dyDescent="0.25">
      <c r="A858" s="1">
        <v>41424</v>
      </c>
      <c r="B858" t="s">
        <v>0</v>
      </c>
      <c r="C858">
        <v>433.75492459999998</v>
      </c>
      <c r="D858">
        <v>-2.8215798206373478E-3</v>
      </c>
      <c r="E858">
        <v>0</v>
      </c>
      <c r="F858">
        <v>438.21795717000003</v>
      </c>
      <c r="G858">
        <v>12.597835168979561</v>
      </c>
      <c r="H858">
        <v>463.41362750795918</v>
      </c>
      <c r="I858">
        <v>413.02228683204089</v>
      </c>
    </row>
    <row r="859" spans="1:9" x14ac:dyDescent="0.25">
      <c r="A859" s="1">
        <v>41425</v>
      </c>
      <c r="B859" t="s">
        <v>0</v>
      </c>
      <c r="C859">
        <v>433.98408160000002</v>
      </c>
      <c r="D859">
        <v>-5.2830985195468922E-4</v>
      </c>
      <c r="E859">
        <v>0</v>
      </c>
      <c r="F859">
        <v>439.25432523000001</v>
      </c>
      <c r="G859">
        <v>10.824154404761877</v>
      </c>
      <c r="H859">
        <v>460.90263403952378</v>
      </c>
      <c r="I859">
        <v>417.60601642047624</v>
      </c>
    </row>
    <row r="860" spans="1:9" x14ac:dyDescent="0.25">
      <c r="A860" s="1">
        <v>41428</v>
      </c>
      <c r="B860" t="s">
        <v>0</v>
      </c>
      <c r="C860">
        <v>432.19577909999998</v>
      </c>
      <c r="D860">
        <v>4.120663811923656E-3</v>
      </c>
      <c r="E860">
        <v>1</v>
      </c>
      <c r="F860">
        <v>439.80003081500001</v>
      </c>
      <c r="G860">
        <v>9.222532933785704</v>
      </c>
      <c r="H860">
        <v>458.24509668257144</v>
      </c>
      <c r="I860">
        <v>421.35496494742858</v>
      </c>
    </row>
    <row r="861" spans="1:9" x14ac:dyDescent="0.25">
      <c r="A861" s="1">
        <v>41429</v>
      </c>
      <c r="B861" t="s">
        <v>0</v>
      </c>
      <c r="C861">
        <v>427.94668730000001</v>
      </c>
      <c r="D861">
        <v>9.8314051304439817E-3</v>
      </c>
      <c r="E861">
        <v>1</v>
      </c>
      <c r="F861">
        <v>439.73900929000001</v>
      </c>
      <c r="G861">
        <v>8.4144863402366266</v>
      </c>
      <c r="H861">
        <v>456.56798197047328</v>
      </c>
      <c r="I861">
        <v>422.91003660952674</v>
      </c>
    </row>
    <row r="862" spans="1:9" x14ac:dyDescent="0.25">
      <c r="A862" s="1">
        <v>41430</v>
      </c>
      <c r="B862" t="s">
        <v>0</v>
      </c>
      <c r="C862">
        <v>428.2455769</v>
      </c>
      <c r="D862">
        <v>-6.9842718467047569E-4</v>
      </c>
      <c r="E862">
        <v>0</v>
      </c>
      <c r="F862">
        <v>439.80052979499999</v>
      </c>
      <c r="G862">
        <v>8.4954142662108829</v>
      </c>
      <c r="H862">
        <v>456.79135832742173</v>
      </c>
      <c r="I862">
        <v>422.80970126257824</v>
      </c>
    </row>
    <row r="863" spans="1:9" x14ac:dyDescent="0.25">
      <c r="A863" s="1">
        <v>41431</v>
      </c>
      <c r="B863" t="s">
        <v>0</v>
      </c>
      <c r="C863">
        <v>430.7063354</v>
      </c>
      <c r="D863">
        <v>-5.7461387407968748E-3</v>
      </c>
      <c r="E863">
        <v>0</v>
      </c>
      <c r="F863">
        <v>439.57661734999994</v>
      </c>
      <c r="G863">
        <v>8.4098021268132683</v>
      </c>
      <c r="H863">
        <v>456.39622160362649</v>
      </c>
      <c r="I863">
        <v>422.75701309637338</v>
      </c>
    </row>
    <row r="864" spans="1:9" x14ac:dyDescent="0.25">
      <c r="A864" s="1">
        <v>41432</v>
      </c>
      <c r="B864" t="s">
        <v>0</v>
      </c>
      <c r="C864">
        <v>438.22319390000001</v>
      </c>
      <c r="D864">
        <v>-1.7452398263468897E-2</v>
      </c>
      <c r="E864">
        <v>0</v>
      </c>
      <c r="F864">
        <v>439.78209865499991</v>
      </c>
      <c r="G864">
        <v>8.5870013250766153</v>
      </c>
      <c r="H864">
        <v>456.95610130515314</v>
      </c>
      <c r="I864">
        <v>422.60809600484669</v>
      </c>
    </row>
    <row r="865" spans="1:9" x14ac:dyDescent="0.25">
      <c r="A865" s="1">
        <v>41435</v>
      </c>
      <c r="B865" t="s">
        <v>0</v>
      </c>
      <c r="C865">
        <v>443.4486058</v>
      </c>
      <c r="D865">
        <v>-1.1924087936779522E-2</v>
      </c>
      <c r="E865">
        <v>0</v>
      </c>
      <c r="F865">
        <v>440.03091652500007</v>
      </c>
      <c r="G865">
        <v>8.5037285462526775</v>
      </c>
      <c r="H865">
        <v>457.03837361750544</v>
      </c>
      <c r="I865">
        <v>423.02345943249469</v>
      </c>
    </row>
    <row r="866" spans="1:9" x14ac:dyDescent="0.25">
      <c r="A866" s="1">
        <v>41436</v>
      </c>
      <c r="B866" t="s">
        <v>0</v>
      </c>
      <c r="C866">
        <v>438.26305000000002</v>
      </c>
      <c r="D866">
        <v>1.1693701890538168E-2</v>
      </c>
      <c r="E866">
        <v>1</v>
      </c>
      <c r="F866">
        <v>440.08770372499993</v>
      </c>
      <c r="G866">
        <v>8.5310715421489967</v>
      </c>
      <c r="H866">
        <v>457.14984680929791</v>
      </c>
      <c r="I866">
        <v>423.02556064070194</v>
      </c>
    </row>
    <row r="867" spans="1:9" x14ac:dyDescent="0.25">
      <c r="A867" s="1">
        <v>41437</v>
      </c>
      <c r="B867" t="s">
        <v>0</v>
      </c>
      <c r="C867">
        <v>434.36265259999999</v>
      </c>
      <c r="D867">
        <v>8.8996720120485418E-3</v>
      </c>
      <c r="E867">
        <v>1</v>
      </c>
      <c r="F867">
        <v>439.7111146200001</v>
      </c>
      <c r="G867">
        <v>8.5234541905009156</v>
      </c>
      <c r="H867">
        <v>456.75802300100196</v>
      </c>
      <c r="I867">
        <v>422.66420623899825</v>
      </c>
    </row>
    <row r="868" spans="1:9" x14ac:dyDescent="0.25">
      <c r="A868" s="1">
        <v>41438</v>
      </c>
      <c r="B868" t="s">
        <v>0</v>
      </c>
      <c r="C868">
        <v>436.8632672</v>
      </c>
      <c r="D868">
        <v>-5.7569742357725115E-3</v>
      </c>
      <c r="E868">
        <v>0</v>
      </c>
      <c r="F868">
        <v>438.74249264999997</v>
      </c>
      <c r="G868">
        <v>8.6475116553096942</v>
      </c>
      <c r="H868">
        <v>456.03751596061937</v>
      </c>
      <c r="I868">
        <v>421.44746933938058</v>
      </c>
    </row>
    <row r="869" spans="1:9" x14ac:dyDescent="0.25">
      <c r="A869" s="1">
        <v>41439</v>
      </c>
      <c r="B869" t="s">
        <v>0</v>
      </c>
      <c r="C869">
        <v>435.88694720000001</v>
      </c>
      <c r="D869">
        <v>2.2348411352081446E-3</v>
      </c>
      <c r="E869">
        <v>1</v>
      </c>
      <c r="F869">
        <v>438.02443264000004</v>
      </c>
      <c r="G869">
        <v>7.7569978539542435</v>
      </c>
      <c r="H869">
        <v>453.53842834790851</v>
      </c>
      <c r="I869">
        <v>422.51043693209158</v>
      </c>
    </row>
    <row r="870" spans="1:9" x14ac:dyDescent="0.25">
      <c r="A870" s="1">
        <v>41442</v>
      </c>
      <c r="B870" t="s">
        <v>0</v>
      </c>
      <c r="C870">
        <v>441.47103270000002</v>
      </c>
      <c r="D870">
        <v>-1.2810857347003426E-2</v>
      </c>
      <c r="E870">
        <v>0</v>
      </c>
      <c r="F870">
        <v>437.45332264999996</v>
      </c>
      <c r="G870">
        <v>7.2975793521240426</v>
      </c>
      <c r="H870">
        <v>452.04848135424805</v>
      </c>
      <c r="I870">
        <v>422.85816394575187</v>
      </c>
    </row>
    <row r="871" spans="1:9" x14ac:dyDescent="0.25">
      <c r="A871" s="1">
        <v>41443</v>
      </c>
      <c r="B871" t="s">
        <v>0</v>
      </c>
      <c r="C871">
        <v>448.62918719999999</v>
      </c>
      <c r="D871">
        <v>-1.6214324315281324E-2</v>
      </c>
      <c r="E871">
        <v>0</v>
      </c>
      <c r="F871">
        <v>437.25630998000008</v>
      </c>
      <c r="G871">
        <v>6.4946930093865705</v>
      </c>
      <c r="H871">
        <v>450.24569599877321</v>
      </c>
      <c r="I871">
        <v>424.26692396122695</v>
      </c>
    </row>
    <row r="872" spans="1:9" x14ac:dyDescent="0.25">
      <c r="A872" s="1">
        <v>41444</v>
      </c>
      <c r="B872" t="s">
        <v>0</v>
      </c>
      <c r="C872">
        <v>448.6590946</v>
      </c>
      <c r="D872">
        <v>-6.6663964033798911E-5</v>
      </c>
      <c r="E872">
        <v>0</v>
      </c>
      <c r="F872">
        <v>437.09964773999991</v>
      </c>
      <c r="G872">
        <v>6.078494771521755</v>
      </c>
      <c r="H872">
        <v>449.2566372830434</v>
      </c>
      <c r="I872">
        <v>424.94265819695642</v>
      </c>
    </row>
    <row r="873" spans="1:9" x14ac:dyDescent="0.25">
      <c r="A873" s="1">
        <v>41445</v>
      </c>
      <c r="B873" t="s">
        <v>0</v>
      </c>
      <c r="C873">
        <v>440.71883409999998</v>
      </c>
      <c r="D873">
        <v>1.7697758934495968E-2</v>
      </c>
      <c r="E873">
        <v>1</v>
      </c>
      <c r="F873">
        <v>436.98308412499989</v>
      </c>
      <c r="G873">
        <v>5.7314018301307135</v>
      </c>
      <c r="H873">
        <v>448.44588778526133</v>
      </c>
      <c r="I873">
        <v>425.52028046473845</v>
      </c>
    </row>
    <row r="874" spans="1:9" x14ac:dyDescent="0.25">
      <c r="A874" s="1">
        <v>41446</v>
      </c>
      <c r="B874" t="s">
        <v>0</v>
      </c>
      <c r="C874">
        <v>438.82094289999998</v>
      </c>
      <c r="D874">
        <v>4.3063537411005409E-3</v>
      </c>
      <c r="E874">
        <v>1</v>
      </c>
      <c r="F874">
        <v>436.93675684499988</v>
      </c>
      <c r="G874">
        <v>5.6310271340863025</v>
      </c>
      <c r="H874">
        <v>448.1988111131725</v>
      </c>
      <c r="I874">
        <v>425.67470257682726</v>
      </c>
    </row>
    <row r="875" spans="1:9" x14ac:dyDescent="0.25">
      <c r="A875" s="1">
        <v>41449</v>
      </c>
      <c r="B875" t="s">
        <v>0</v>
      </c>
      <c r="C875">
        <v>433.27173920000001</v>
      </c>
      <c r="D875">
        <v>1.2645712994752249E-2</v>
      </c>
      <c r="E875">
        <v>1</v>
      </c>
      <c r="F875">
        <v>436.84883708999996</v>
      </c>
      <c r="G875">
        <v>5.6123697045728669</v>
      </c>
      <c r="H875">
        <v>448.0735764991457</v>
      </c>
      <c r="I875">
        <v>425.62409768085422</v>
      </c>
    </row>
    <row r="876" spans="1:9" x14ac:dyDescent="0.25">
      <c r="A876" s="1">
        <v>41450</v>
      </c>
      <c r="B876" t="s">
        <v>0</v>
      </c>
      <c r="C876">
        <v>431.48343620000003</v>
      </c>
      <c r="D876">
        <v>4.1274397524794408E-3</v>
      </c>
      <c r="E876">
        <v>1</v>
      </c>
      <c r="F876">
        <v>436.473493125</v>
      </c>
      <c r="G876">
        <v>5.6669192924095597</v>
      </c>
      <c r="H876">
        <v>447.8073317098191</v>
      </c>
      <c r="I876">
        <v>425.13965454018091</v>
      </c>
    </row>
    <row r="877" spans="1:9" x14ac:dyDescent="0.25">
      <c r="A877" s="1">
        <v>41451</v>
      </c>
      <c r="B877" t="s">
        <v>0</v>
      </c>
      <c r="C877">
        <v>435.19453299999998</v>
      </c>
      <c r="D877">
        <v>-8.6007862380139966E-3</v>
      </c>
      <c r="E877">
        <v>0</v>
      </c>
      <c r="F877">
        <v>436.606495075</v>
      </c>
      <c r="G877">
        <v>5.7497806434471421</v>
      </c>
      <c r="H877">
        <v>448.10605636189428</v>
      </c>
      <c r="I877">
        <v>425.10693378810572</v>
      </c>
    </row>
    <row r="878" spans="1:9" x14ac:dyDescent="0.25">
      <c r="A878" s="1">
        <v>41452</v>
      </c>
      <c r="B878" t="s">
        <v>0</v>
      </c>
      <c r="C878">
        <v>436.89814899999999</v>
      </c>
      <c r="D878">
        <v>-3.9146079989934319E-3</v>
      </c>
      <c r="E878">
        <v>0</v>
      </c>
      <c r="F878">
        <v>436.76365629500003</v>
      </c>
      <c r="G878">
        <v>5.6881718771634526</v>
      </c>
      <c r="H878">
        <v>448.14000004932694</v>
      </c>
      <c r="I878">
        <v>425.38731254067312</v>
      </c>
    </row>
    <row r="879" spans="1:9" x14ac:dyDescent="0.25">
      <c r="A879" s="1">
        <v>41453</v>
      </c>
      <c r="B879" t="s">
        <v>0</v>
      </c>
      <c r="C879">
        <v>438.54198100000002</v>
      </c>
      <c r="D879">
        <v>-3.7625062128611394E-3</v>
      </c>
      <c r="E879">
        <v>0</v>
      </c>
      <c r="F879">
        <v>436.99155126500011</v>
      </c>
      <c r="G879">
        <v>5.6529210604133295</v>
      </c>
      <c r="H879">
        <v>448.29739338582675</v>
      </c>
      <c r="I879">
        <v>425.68570914417347</v>
      </c>
    </row>
    <row r="880" spans="1:9" x14ac:dyDescent="0.25">
      <c r="A880" s="1">
        <v>41456</v>
      </c>
      <c r="B880" t="s">
        <v>0</v>
      </c>
      <c r="C880">
        <v>442.28298480000001</v>
      </c>
      <c r="D880">
        <v>-8.530548868934824E-3</v>
      </c>
      <c r="E880">
        <v>0</v>
      </c>
      <c r="F880">
        <v>437.49591155000007</v>
      </c>
      <c r="G880">
        <v>5.6460467356561725</v>
      </c>
      <c r="H880">
        <v>448.78800502131242</v>
      </c>
      <c r="I880">
        <v>426.20381807868773</v>
      </c>
    </row>
    <row r="881" spans="1:9" x14ac:dyDescent="0.25">
      <c r="A881" s="1">
        <v>41457</v>
      </c>
      <c r="B881" t="s">
        <v>0</v>
      </c>
      <c r="C881">
        <v>439.50838320000003</v>
      </c>
      <c r="D881">
        <v>6.273362745923077E-3</v>
      </c>
      <c r="E881">
        <v>1</v>
      </c>
      <c r="F881">
        <v>438.07399634500007</v>
      </c>
      <c r="G881">
        <v>5.652721387711412</v>
      </c>
      <c r="H881">
        <v>449.37943912042289</v>
      </c>
      <c r="I881">
        <v>426.76855356957725</v>
      </c>
    </row>
    <row r="882" spans="1:9" x14ac:dyDescent="0.25">
      <c r="A882" s="1">
        <v>41458</v>
      </c>
      <c r="B882" t="s">
        <v>0</v>
      </c>
      <c r="C882">
        <v>441.56069359999998</v>
      </c>
      <c r="D882">
        <v>-4.6695591675802953E-3</v>
      </c>
      <c r="E882">
        <v>0</v>
      </c>
      <c r="F882">
        <v>438.73975217999998</v>
      </c>
      <c r="G882">
        <v>5.2317534132228927</v>
      </c>
      <c r="H882">
        <v>449.20325900644576</v>
      </c>
      <c r="I882">
        <v>428.2762453535542</v>
      </c>
    </row>
    <row r="883" spans="1:9" x14ac:dyDescent="0.25">
      <c r="A883" s="1">
        <v>41460</v>
      </c>
      <c r="B883" t="s">
        <v>0</v>
      </c>
      <c r="C883">
        <v>445.07751469999999</v>
      </c>
      <c r="D883">
        <v>-7.9645248115898324E-3</v>
      </c>
      <c r="E883">
        <v>0</v>
      </c>
      <c r="F883">
        <v>439.45831114499998</v>
      </c>
      <c r="G883">
        <v>4.7727424555842815</v>
      </c>
      <c r="H883">
        <v>449.00379605616854</v>
      </c>
      <c r="I883">
        <v>429.91282623383142</v>
      </c>
    </row>
    <row r="884" spans="1:9" x14ac:dyDescent="0.25">
      <c r="A884" s="1">
        <v>41463</v>
      </c>
      <c r="B884" t="s">
        <v>0</v>
      </c>
      <c r="C884">
        <v>450.85584510000001</v>
      </c>
      <c r="D884">
        <v>-1.2982750665116932E-2</v>
      </c>
      <c r="E884">
        <v>0</v>
      </c>
      <c r="F884">
        <v>440.08994370500005</v>
      </c>
      <c r="G884">
        <v>4.5745982004720087</v>
      </c>
      <c r="H884">
        <v>449.23914010594405</v>
      </c>
      <c r="I884">
        <v>430.94074730405606</v>
      </c>
    </row>
    <row r="885" spans="1:9" x14ac:dyDescent="0.25">
      <c r="A885" s="1">
        <v>41464</v>
      </c>
      <c r="B885" t="s">
        <v>0</v>
      </c>
      <c r="C885">
        <v>450.93058300000001</v>
      </c>
      <c r="D885">
        <v>-1.6576894990332321E-4</v>
      </c>
      <c r="E885">
        <v>0</v>
      </c>
      <c r="F885">
        <v>440.464042565</v>
      </c>
      <c r="G885">
        <v>5.1660325737876205</v>
      </c>
      <c r="H885">
        <v>450.79610771257524</v>
      </c>
      <c r="I885">
        <v>430.13197741742476</v>
      </c>
    </row>
    <row r="886" spans="1:9" x14ac:dyDescent="0.25">
      <c r="A886" s="1">
        <v>41465</v>
      </c>
      <c r="B886" t="s">
        <v>0</v>
      </c>
      <c r="C886">
        <v>451.3041796</v>
      </c>
      <c r="D886">
        <v>-8.2850135715896835E-4</v>
      </c>
      <c r="E886">
        <v>0</v>
      </c>
      <c r="F886">
        <v>441.116099045</v>
      </c>
      <c r="G886">
        <v>5.6696660179620428</v>
      </c>
      <c r="H886">
        <v>452.45543108092409</v>
      </c>
      <c r="I886">
        <v>429.77676700907591</v>
      </c>
    </row>
    <row r="887" spans="1:9" x14ac:dyDescent="0.25">
      <c r="A887" s="1">
        <v>41466</v>
      </c>
      <c r="B887" t="s">
        <v>0</v>
      </c>
      <c r="C887">
        <v>458.40258060000002</v>
      </c>
      <c r="D887">
        <v>-1.5728640063319334E-2</v>
      </c>
      <c r="E887">
        <v>0</v>
      </c>
      <c r="F887">
        <v>442.31809544500004</v>
      </c>
      <c r="G887">
        <v>6.1945752822890379</v>
      </c>
      <c r="H887">
        <v>454.70724600957811</v>
      </c>
      <c r="I887">
        <v>429.92894488042197</v>
      </c>
    </row>
    <row r="888" spans="1:9" x14ac:dyDescent="0.25">
      <c r="A888" s="1">
        <v>41467</v>
      </c>
      <c r="B888" t="s">
        <v>0</v>
      </c>
      <c r="C888">
        <v>459.77743029999999</v>
      </c>
      <c r="D888">
        <v>-2.999218935897871E-3</v>
      </c>
      <c r="E888">
        <v>0</v>
      </c>
      <c r="F888">
        <v>443.46380360000001</v>
      </c>
      <c r="G888">
        <v>7.032530817312316</v>
      </c>
      <c r="H888">
        <v>457.52886523462462</v>
      </c>
      <c r="I888">
        <v>429.39874196537539</v>
      </c>
    </row>
    <row r="889" spans="1:9" x14ac:dyDescent="0.25">
      <c r="A889" s="1">
        <v>41470</v>
      </c>
      <c r="B889" t="s">
        <v>0</v>
      </c>
      <c r="C889">
        <v>460.61928979999999</v>
      </c>
      <c r="D889">
        <v>-1.8310152793944096E-3</v>
      </c>
      <c r="E889">
        <v>0</v>
      </c>
      <c r="F889">
        <v>444.70042072999996</v>
      </c>
      <c r="G889">
        <v>7.8812485298725443</v>
      </c>
      <c r="H889">
        <v>460.46291778974506</v>
      </c>
      <c r="I889">
        <v>428.93792367025486</v>
      </c>
    </row>
    <row r="890" spans="1:9" x14ac:dyDescent="0.25">
      <c r="A890" s="1">
        <v>41471</v>
      </c>
      <c r="B890" t="s">
        <v>0</v>
      </c>
      <c r="C890">
        <v>458.08876780000003</v>
      </c>
      <c r="D890">
        <v>5.4937386601822732E-3</v>
      </c>
      <c r="E890">
        <v>1</v>
      </c>
      <c r="F890">
        <v>445.53130748499996</v>
      </c>
      <c r="G890">
        <v>8.4611527009883325</v>
      </c>
      <c r="H890">
        <v>462.4536128869766</v>
      </c>
      <c r="I890">
        <v>428.60900208302331</v>
      </c>
    </row>
    <row r="891" spans="1:9" x14ac:dyDescent="0.25">
      <c r="A891" s="1">
        <v>41472</v>
      </c>
      <c r="B891" t="s">
        <v>0</v>
      </c>
      <c r="C891">
        <v>457.56075149999998</v>
      </c>
      <c r="D891">
        <v>1.152650615154522E-3</v>
      </c>
      <c r="E891">
        <v>1</v>
      </c>
      <c r="F891">
        <v>445.9778857</v>
      </c>
      <c r="G891">
        <v>8.8797936937301394</v>
      </c>
      <c r="H891">
        <v>463.73747308746027</v>
      </c>
      <c r="I891">
        <v>428.21829831253973</v>
      </c>
    </row>
    <row r="892" spans="1:9" x14ac:dyDescent="0.25">
      <c r="A892" s="1">
        <v>41473</v>
      </c>
      <c r="B892" t="s">
        <v>0</v>
      </c>
      <c r="C892">
        <v>453.6404263</v>
      </c>
      <c r="D892">
        <v>8.5678791005307179E-3</v>
      </c>
      <c r="E892">
        <v>1</v>
      </c>
      <c r="F892">
        <v>446.22695228500004</v>
      </c>
      <c r="G892">
        <v>9.2341452897286853</v>
      </c>
      <c r="H892">
        <v>464.69524286445738</v>
      </c>
      <c r="I892">
        <v>427.75866170554269</v>
      </c>
    </row>
    <row r="893" spans="1:9" x14ac:dyDescent="0.25">
      <c r="A893" s="1">
        <v>41474</v>
      </c>
      <c r="B893" t="s">
        <v>0</v>
      </c>
      <c r="C893">
        <v>446.62671189999998</v>
      </c>
      <c r="D893">
        <v>1.5460955402951101E-2</v>
      </c>
      <c r="E893">
        <v>1</v>
      </c>
      <c r="F893">
        <v>446.52234617500005</v>
      </c>
      <c r="G893">
        <v>9.370640896897136</v>
      </c>
      <c r="H893">
        <v>465.26362796879431</v>
      </c>
      <c r="I893">
        <v>427.78106438120579</v>
      </c>
    </row>
    <row r="894" spans="1:9" x14ac:dyDescent="0.25">
      <c r="A894" s="1">
        <v>41477</v>
      </c>
      <c r="B894" t="s">
        <v>0</v>
      </c>
      <c r="C894">
        <v>453.650375</v>
      </c>
      <c r="D894">
        <v>-1.5726025588842577E-2</v>
      </c>
      <c r="E894">
        <v>0</v>
      </c>
      <c r="F894">
        <v>447.26381778000007</v>
      </c>
      <c r="G894">
        <v>9.3099515546331748</v>
      </c>
      <c r="H894">
        <v>465.88372088926644</v>
      </c>
      <c r="I894">
        <v>428.64391467073369</v>
      </c>
    </row>
    <row r="895" spans="1:9" x14ac:dyDescent="0.25">
      <c r="A895" s="1">
        <v>41478</v>
      </c>
      <c r="B895" t="s">
        <v>0</v>
      </c>
      <c r="C895">
        <v>450.21326570000002</v>
      </c>
      <c r="D895">
        <v>7.5765600326021436E-3</v>
      </c>
      <c r="E895">
        <v>1</v>
      </c>
      <c r="F895">
        <v>448.11089410500006</v>
      </c>
      <c r="G895">
        <v>9.2665006930470852</v>
      </c>
      <c r="H895">
        <v>466.64389549109421</v>
      </c>
      <c r="I895">
        <v>429.5778927189059</v>
      </c>
    </row>
    <row r="896" spans="1:9" x14ac:dyDescent="0.25">
      <c r="A896" s="1">
        <v>41479</v>
      </c>
      <c r="B896" t="s">
        <v>0</v>
      </c>
      <c r="C896">
        <v>449.76493110000001</v>
      </c>
      <c r="D896">
        <v>9.9582716493911089E-4</v>
      </c>
      <c r="E896">
        <v>1</v>
      </c>
      <c r="F896">
        <v>449.02496885000011</v>
      </c>
      <c r="G896">
        <v>8.712895049014012</v>
      </c>
      <c r="H896">
        <v>466.45075894802812</v>
      </c>
      <c r="I896">
        <v>431.59917875197209</v>
      </c>
    </row>
    <row r="897" spans="1:9" x14ac:dyDescent="0.25">
      <c r="A897" s="1">
        <v>41480</v>
      </c>
      <c r="B897" t="s">
        <v>0</v>
      </c>
      <c r="C897">
        <v>442.19332439999999</v>
      </c>
      <c r="D897">
        <v>1.6834586639474031E-2</v>
      </c>
      <c r="E897">
        <v>1</v>
      </c>
      <c r="F897">
        <v>449.37490842000005</v>
      </c>
      <c r="G897">
        <v>7.7896794965393168</v>
      </c>
      <c r="H897">
        <v>464.9542674130787</v>
      </c>
      <c r="I897">
        <v>433.79554942692141</v>
      </c>
    </row>
    <row r="898" spans="1:9" x14ac:dyDescent="0.25">
      <c r="A898" s="1">
        <v>41481</v>
      </c>
      <c r="B898" t="s">
        <v>0</v>
      </c>
      <c r="C898">
        <v>441.02269819999998</v>
      </c>
      <c r="D898">
        <v>2.6473176671954644E-3</v>
      </c>
      <c r="E898">
        <v>1</v>
      </c>
      <c r="F898">
        <v>449.58113588000003</v>
      </c>
      <c r="G898">
        <v>7.2970022285368668</v>
      </c>
      <c r="H898">
        <v>464.17514033707374</v>
      </c>
      <c r="I898">
        <v>434.98713142292632</v>
      </c>
    </row>
    <row r="899" spans="1:9" x14ac:dyDescent="0.25">
      <c r="A899" s="1">
        <v>41484</v>
      </c>
      <c r="B899" t="s">
        <v>0</v>
      </c>
      <c r="C899">
        <v>439.48845490000002</v>
      </c>
      <c r="D899">
        <v>3.4788306957030846E-3</v>
      </c>
      <c r="E899">
        <v>1</v>
      </c>
      <c r="F899">
        <v>449.62845957500002</v>
      </c>
      <c r="G899">
        <v>6.9905590635935573</v>
      </c>
      <c r="H899">
        <v>463.60957770218715</v>
      </c>
      <c r="I899">
        <v>435.64734144781289</v>
      </c>
    </row>
    <row r="900" spans="1:9" x14ac:dyDescent="0.25">
      <c r="A900" s="1">
        <v>41485</v>
      </c>
      <c r="B900" t="s">
        <v>0</v>
      </c>
      <c r="C900">
        <v>443.79730030000002</v>
      </c>
      <c r="D900">
        <v>-9.804228875546727E-3</v>
      </c>
      <c r="E900">
        <v>0</v>
      </c>
      <c r="F900">
        <v>449.70417534999996</v>
      </c>
      <c r="G900">
        <v>6.9187522922076248</v>
      </c>
      <c r="H900">
        <v>463.54167993441519</v>
      </c>
      <c r="I900">
        <v>435.86667076558473</v>
      </c>
    </row>
    <row r="901" spans="1:9" x14ac:dyDescent="0.25">
      <c r="A901" s="1">
        <v>41486</v>
      </c>
      <c r="B901" t="s">
        <v>0</v>
      </c>
      <c r="C901">
        <v>442.21822650000001</v>
      </c>
      <c r="D901">
        <v>3.5580969035471244E-3</v>
      </c>
      <c r="E901">
        <v>1</v>
      </c>
      <c r="F901">
        <v>449.83966751500003</v>
      </c>
      <c r="G901">
        <v>6.8467763649435645</v>
      </c>
      <c r="H901">
        <v>463.53322024488716</v>
      </c>
      <c r="I901">
        <v>436.1461147851129</v>
      </c>
    </row>
    <row r="902" spans="1:9" x14ac:dyDescent="0.25">
      <c r="A902" s="1">
        <v>41487</v>
      </c>
      <c r="B902" t="s">
        <v>0</v>
      </c>
      <c r="C902">
        <v>450.4224949</v>
      </c>
      <c r="D902">
        <v>-1.8552533361037279E-2</v>
      </c>
      <c r="E902">
        <v>0</v>
      </c>
      <c r="F902">
        <v>450.28275758000007</v>
      </c>
      <c r="G902">
        <v>6.6814835010377402</v>
      </c>
      <c r="H902">
        <v>463.64572458207556</v>
      </c>
      <c r="I902">
        <v>436.91979057792457</v>
      </c>
    </row>
    <row r="903" spans="1:9" x14ac:dyDescent="0.25">
      <c r="A903" s="1">
        <v>41488</v>
      </c>
      <c r="B903" t="s">
        <v>0</v>
      </c>
      <c r="C903">
        <v>451.59309020000001</v>
      </c>
      <c r="D903">
        <v>-2.5988828561057781E-3</v>
      </c>
      <c r="E903">
        <v>0</v>
      </c>
      <c r="F903">
        <v>450.60853635500007</v>
      </c>
      <c r="G903">
        <v>6.3988756752455629</v>
      </c>
      <c r="H903">
        <v>463.4062877054912</v>
      </c>
      <c r="I903">
        <v>437.81078500450894</v>
      </c>
    </row>
    <row r="904" spans="1:9" x14ac:dyDescent="0.25">
      <c r="A904" s="1">
        <v>41491</v>
      </c>
      <c r="B904" t="s">
        <v>0</v>
      </c>
      <c r="C904">
        <v>450.81101460000002</v>
      </c>
      <c r="D904">
        <v>1.7318148062310291E-3</v>
      </c>
      <c r="E904">
        <v>1</v>
      </c>
      <c r="F904">
        <v>450.60629483000002</v>
      </c>
      <c r="G904">
        <v>6.2820754705721988</v>
      </c>
      <c r="H904">
        <v>463.17044577114444</v>
      </c>
      <c r="I904">
        <v>438.04214388885561</v>
      </c>
    </row>
    <row r="905" spans="1:9" x14ac:dyDescent="0.25">
      <c r="A905" s="1">
        <v>41492</v>
      </c>
      <c r="B905" t="s">
        <v>0</v>
      </c>
      <c r="C905">
        <v>446.61175800000001</v>
      </c>
      <c r="D905">
        <v>9.3148935230120099E-3</v>
      </c>
      <c r="E905">
        <v>1</v>
      </c>
      <c r="F905">
        <v>450.39035358000012</v>
      </c>
      <c r="G905">
        <v>6.2857047801948989</v>
      </c>
      <c r="H905">
        <v>462.96176314038991</v>
      </c>
      <c r="I905">
        <v>437.81894401961034</v>
      </c>
    </row>
    <row r="906" spans="1:9" x14ac:dyDescent="0.25">
      <c r="A906" s="1">
        <v>41493</v>
      </c>
      <c r="B906" t="s">
        <v>0</v>
      </c>
      <c r="C906">
        <v>443.66280890000002</v>
      </c>
      <c r="D906">
        <v>6.6029365487506779E-3</v>
      </c>
      <c r="E906">
        <v>1</v>
      </c>
      <c r="F906">
        <v>450.00828504500004</v>
      </c>
      <c r="G906">
        <v>6.3525867003725489</v>
      </c>
      <c r="H906">
        <v>462.71345844574512</v>
      </c>
      <c r="I906">
        <v>437.30311164425495</v>
      </c>
    </row>
    <row r="907" spans="1:9" x14ac:dyDescent="0.25">
      <c r="A907" s="1">
        <v>41494</v>
      </c>
      <c r="B907" t="s">
        <v>0</v>
      </c>
      <c r="C907">
        <v>444.66406189999998</v>
      </c>
      <c r="D907">
        <v>-2.2567882182471634E-3</v>
      </c>
      <c r="E907">
        <v>0</v>
      </c>
      <c r="F907">
        <v>449.32135911000012</v>
      </c>
      <c r="G907">
        <v>6.5388463253375164</v>
      </c>
      <c r="H907">
        <v>462.39905176067515</v>
      </c>
      <c r="I907">
        <v>436.24366645932508</v>
      </c>
    </row>
    <row r="908" spans="1:9" x14ac:dyDescent="0.25">
      <c r="A908" s="1">
        <v>41495</v>
      </c>
      <c r="B908" t="s">
        <v>0</v>
      </c>
      <c r="C908">
        <v>443.54324100000002</v>
      </c>
      <c r="D908">
        <v>2.5206014968037057E-3</v>
      </c>
      <c r="E908">
        <v>1</v>
      </c>
      <c r="F908">
        <v>448.5096496450002</v>
      </c>
      <c r="G908">
        <v>6.3542485944084826</v>
      </c>
      <c r="H908">
        <v>461.21814683381717</v>
      </c>
      <c r="I908">
        <v>435.80115245618322</v>
      </c>
    </row>
    <row r="909" spans="1:9" x14ac:dyDescent="0.25">
      <c r="A909" s="1">
        <v>41498</v>
      </c>
      <c r="B909" t="s">
        <v>0</v>
      </c>
      <c r="C909">
        <v>441.1024104</v>
      </c>
      <c r="D909">
        <v>5.5030273812695218E-3</v>
      </c>
      <c r="E909">
        <v>1</v>
      </c>
      <c r="F909">
        <v>447.53380567500005</v>
      </c>
      <c r="G909">
        <v>6.017795555710137</v>
      </c>
      <c r="H909">
        <v>459.56939678642033</v>
      </c>
      <c r="I909">
        <v>435.49821456357978</v>
      </c>
    </row>
    <row r="910" spans="1:9" x14ac:dyDescent="0.25">
      <c r="A910" s="1">
        <v>41499</v>
      </c>
      <c r="B910" t="s">
        <v>0</v>
      </c>
      <c r="C910">
        <v>438.9803364</v>
      </c>
      <c r="D910">
        <v>4.8108419948910755E-3</v>
      </c>
      <c r="E910">
        <v>1</v>
      </c>
      <c r="F910">
        <v>446.578384105</v>
      </c>
      <c r="G910">
        <v>5.5347394922100301</v>
      </c>
      <c r="H910">
        <v>457.64786308942007</v>
      </c>
      <c r="I910">
        <v>435.50890512057993</v>
      </c>
    </row>
    <row r="911" spans="1:9" x14ac:dyDescent="0.25">
      <c r="A911" s="1">
        <v>41500</v>
      </c>
      <c r="B911" t="s">
        <v>0</v>
      </c>
      <c r="C911">
        <v>433.28168790000001</v>
      </c>
      <c r="D911">
        <v>1.2981557549328058E-2</v>
      </c>
      <c r="E911">
        <v>1</v>
      </c>
      <c r="F911">
        <v>445.36443092500002</v>
      </c>
      <c r="G911">
        <v>5.3262644861035646</v>
      </c>
      <c r="H911">
        <v>456.01695989720713</v>
      </c>
      <c r="I911">
        <v>434.71190195279291</v>
      </c>
    </row>
    <row r="912" spans="1:9" x14ac:dyDescent="0.25">
      <c r="A912" s="1">
        <v>41501</v>
      </c>
      <c r="B912" t="s">
        <v>0</v>
      </c>
      <c r="C912">
        <v>428.2256486</v>
      </c>
      <c r="D912">
        <v>1.1669173752773338E-2</v>
      </c>
      <c r="E912">
        <v>1</v>
      </c>
      <c r="F912">
        <v>444.09369203999995</v>
      </c>
      <c r="G912">
        <v>5.4631486216082576</v>
      </c>
      <c r="H912">
        <v>455.01998928321649</v>
      </c>
      <c r="I912">
        <v>433.16739479678341</v>
      </c>
    </row>
    <row r="913" spans="1:9" x14ac:dyDescent="0.25">
      <c r="A913" s="1">
        <v>41502</v>
      </c>
      <c r="B913" t="s">
        <v>0</v>
      </c>
      <c r="C913">
        <v>426.85577330000001</v>
      </c>
      <c r="D913">
        <v>3.1989566820168971E-3</v>
      </c>
      <c r="E913">
        <v>1</v>
      </c>
      <c r="F913">
        <v>443.10514511000002</v>
      </c>
      <c r="G913">
        <v>6.2334542008204359</v>
      </c>
      <c r="H913">
        <v>455.57205351164089</v>
      </c>
      <c r="I913">
        <v>430.63823670835916</v>
      </c>
    </row>
    <row r="914" spans="1:9" x14ac:dyDescent="0.25">
      <c r="A914" s="1">
        <v>41505</v>
      </c>
      <c r="B914" t="s">
        <v>0</v>
      </c>
      <c r="C914">
        <v>431.20944909999997</v>
      </c>
      <c r="D914">
        <v>-1.0199407088586196E-2</v>
      </c>
      <c r="E914">
        <v>0</v>
      </c>
      <c r="F914">
        <v>441.98309881500001</v>
      </c>
      <c r="G914">
        <v>7.2592679892678431</v>
      </c>
      <c r="H914">
        <v>456.50163479353569</v>
      </c>
      <c r="I914">
        <v>427.46456283646432</v>
      </c>
    </row>
    <row r="915" spans="1:9" x14ac:dyDescent="0.25">
      <c r="A915" s="1">
        <v>41506</v>
      </c>
      <c r="B915" t="s">
        <v>0</v>
      </c>
      <c r="C915">
        <v>431.09488599999997</v>
      </c>
      <c r="D915">
        <v>2.6567854725611584E-4</v>
      </c>
      <c r="E915">
        <v>1</v>
      </c>
      <c r="F915">
        <v>441.02717983000002</v>
      </c>
      <c r="G915">
        <v>7.2531415659777947</v>
      </c>
      <c r="H915">
        <v>455.53346296195559</v>
      </c>
      <c r="I915">
        <v>426.52089669804445</v>
      </c>
    </row>
    <row r="916" spans="1:9" x14ac:dyDescent="0.25">
      <c r="A916" s="1">
        <v>41507</v>
      </c>
      <c r="B916" t="s">
        <v>0</v>
      </c>
      <c r="C916">
        <v>433.0425821</v>
      </c>
      <c r="D916">
        <v>-4.5180218166634206E-3</v>
      </c>
      <c r="E916">
        <v>0</v>
      </c>
      <c r="F916">
        <v>440.19106237999995</v>
      </c>
      <c r="G916">
        <v>7.3498618573434129</v>
      </c>
      <c r="H916">
        <v>454.89078609468675</v>
      </c>
      <c r="I916">
        <v>425.49133866531315</v>
      </c>
    </row>
    <row r="917" spans="1:9" x14ac:dyDescent="0.25">
      <c r="A917" s="1">
        <v>41508</v>
      </c>
      <c r="B917" t="s">
        <v>0</v>
      </c>
      <c r="C917">
        <v>435.2244096</v>
      </c>
      <c r="D917">
        <v>-5.0383671033444937E-3</v>
      </c>
      <c r="E917">
        <v>0</v>
      </c>
      <c r="F917">
        <v>439.84261664000007</v>
      </c>
      <c r="G917">
        <v>7.2190009113480027</v>
      </c>
      <c r="H917">
        <v>454.28061846269605</v>
      </c>
      <c r="I917">
        <v>425.40461481730409</v>
      </c>
    </row>
    <row r="918" spans="1:9" x14ac:dyDescent="0.25">
      <c r="A918" s="1">
        <v>41509</v>
      </c>
      <c r="B918" t="s">
        <v>0</v>
      </c>
      <c r="C918">
        <v>433.4809679</v>
      </c>
      <c r="D918">
        <v>4.0058454019211457E-3</v>
      </c>
      <c r="E918">
        <v>1</v>
      </c>
      <c r="F918">
        <v>439.46553012499999</v>
      </c>
      <c r="G918">
        <v>7.2832869545561136</v>
      </c>
      <c r="H918">
        <v>454.03210403411219</v>
      </c>
      <c r="I918">
        <v>424.89895621588778</v>
      </c>
    </row>
    <row r="919" spans="1:9" x14ac:dyDescent="0.25">
      <c r="A919" s="1">
        <v>41512</v>
      </c>
      <c r="B919" t="s">
        <v>0</v>
      </c>
      <c r="C919">
        <v>431.5780714</v>
      </c>
      <c r="D919">
        <v>4.3898040304251084E-3</v>
      </c>
      <c r="E919">
        <v>1</v>
      </c>
      <c r="F919">
        <v>439.07001095000004</v>
      </c>
      <c r="G919">
        <v>7.4075782082104817</v>
      </c>
      <c r="H919">
        <v>453.885167366421</v>
      </c>
      <c r="I919">
        <v>424.25485453357908</v>
      </c>
    </row>
    <row r="920" spans="1:9" x14ac:dyDescent="0.25">
      <c r="A920" s="1">
        <v>41513</v>
      </c>
      <c r="B920" t="s">
        <v>0</v>
      </c>
      <c r="C920">
        <v>423.48839700000002</v>
      </c>
      <c r="D920">
        <v>1.8744405557395007E-2</v>
      </c>
      <c r="E920">
        <v>1</v>
      </c>
      <c r="F920">
        <v>438.05456578499997</v>
      </c>
      <c r="G920">
        <v>7.6616608472285508</v>
      </c>
      <c r="H920">
        <v>453.37788747945706</v>
      </c>
      <c r="I920">
        <v>422.73124409054287</v>
      </c>
    </row>
    <row r="921" spans="1:9" x14ac:dyDescent="0.25">
      <c r="A921" s="1">
        <v>41514</v>
      </c>
      <c r="B921" t="s">
        <v>0</v>
      </c>
      <c r="C921">
        <v>422.69136800000001</v>
      </c>
      <c r="D921">
        <v>1.882056286892812E-3</v>
      </c>
      <c r="E921">
        <v>1</v>
      </c>
      <c r="F921">
        <v>437.07822285999998</v>
      </c>
      <c r="G921">
        <v>8.2833571764906537</v>
      </c>
      <c r="H921">
        <v>453.64493721298129</v>
      </c>
      <c r="I921">
        <v>420.51150850701868</v>
      </c>
    </row>
    <row r="922" spans="1:9" x14ac:dyDescent="0.25">
      <c r="A922" s="1">
        <v>41515</v>
      </c>
      <c r="B922" t="s">
        <v>0</v>
      </c>
      <c r="C922">
        <v>426.11852859999999</v>
      </c>
      <c r="D922">
        <v>-8.1079502905769749E-3</v>
      </c>
      <c r="E922">
        <v>0</v>
      </c>
      <c r="F922">
        <v>435.86302454500003</v>
      </c>
      <c r="G922">
        <v>8.8948755373682733</v>
      </c>
      <c r="H922">
        <v>453.65277561973659</v>
      </c>
      <c r="I922">
        <v>418.07327347026347</v>
      </c>
    </row>
    <row r="923" spans="1:9" x14ac:dyDescent="0.25">
      <c r="A923" s="1">
        <v>41516</v>
      </c>
      <c r="B923" t="s">
        <v>0</v>
      </c>
      <c r="C923">
        <v>421.86946719999997</v>
      </c>
      <c r="D923">
        <v>9.9715480900588477E-3</v>
      </c>
      <c r="E923">
        <v>1</v>
      </c>
      <c r="F923">
        <v>434.37684339499992</v>
      </c>
      <c r="G923">
        <v>8.687715260417324</v>
      </c>
      <c r="H923">
        <v>451.75227391583456</v>
      </c>
      <c r="I923">
        <v>417.00141287416528</v>
      </c>
    </row>
    <row r="924" spans="1:9" x14ac:dyDescent="0.25">
      <c r="A924" s="1">
        <v>41520</v>
      </c>
      <c r="B924" t="s">
        <v>0</v>
      </c>
      <c r="C924">
        <v>428.58429189999998</v>
      </c>
      <c r="D924">
        <v>-1.591683025692078E-2</v>
      </c>
      <c r="E924">
        <v>0</v>
      </c>
      <c r="F924">
        <v>433.26550726000005</v>
      </c>
      <c r="G924">
        <v>8.3494448745215077</v>
      </c>
      <c r="H924">
        <v>449.96439700904307</v>
      </c>
      <c r="I924">
        <v>416.56661751095703</v>
      </c>
    </row>
    <row r="925" spans="1:9" x14ac:dyDescent="0.25">
      <c r="A925" s="1">
        <v>41521</v>
      </c>
      <c r="B925" t="s">
        <v>0</v>
      </c>
      <c r="C925">
        <v>434.18830559999998</v>
      </c>
      <c r="D925">
        <v>-1.307563950875633E-2</v>
      </c>
      <c r="E925">
        <v>0</v>
      </c>
      <c r="F925">
        <v>432.64433464000001</v>
      </c>
      <c r="G925">
        <v>7.4701092768410362</v>
      </c>
      <c r="H925">
        <v>447.5845531936821</v>
      </c>
      <c r="I925">
        <v>417.70411608631792</v>
      </c>
    </row>
    <row r="926" spans="1:9" x14ac:dyDescent="0.25">
      <c r="A926" s="1">
        <v>41522</v>
      </c>
      <c r="B926" t="s">
        <v>0</v>
      </c>
      <c r="C926">
        <v>438.13850780000001</v>
      </c>
      <c r="D926">
        <v>-9.0979009546129867E-3</v>
      </c>
      <c r="E926">
        <v>0</v>
      </c>
      <c r="F926">
        <v>432.36811958500004</v>
      </c>
      <c r="G926">
        <v>6.8002627827862359</v>
      </c>
      <c r="H926">
        <v>445.96864515057251</v>
      </c>
      <c r="I926">
        <v>418.76759401942758</v>
      </c>
    </row>
    <row r="927" spans="1:9" x14ac:dyDescent="0.25">
      <c r="A927" s="1">
        <v>41523</v>
      </c>
      <c r="B927" t="s">
        <v>0</v>
      </c>
      <c r="C927">
        <v>438.14845650000001</v>
      </c>
      <c r="D927">
        <v>-2.2706746434934952E-5</v>
      </c>
      <c r="E927">
        <v>0</v>
      </c>
      <c r="F927">
        <v>432.04233931499994</v>
      </c>
      <c r="G927">
        <v>6.4526022169928252</v>
      </c>
      <c r="H927">
        <v>444.94754374898559</v>
      </c>
      <c r="I927">
        <v>419.13713488101428</v>
      </c>
    </row>
    <row r="928" spans="1:9" x14ac:dyDescent="0.25">
      <c r="A928" s="1">
        <v>41526</v>
      </c>
      <c r="B928" t="s">
        <v>0</v>
      </c>
      <c r="C928">
        <v>442.36767140000001</v>
      </c>
      <c r="D928">
        <v>-9.6296468409446442E-3</v>
      </c>
      <c r="E928">
        <v>0</v>
      </c>
      <c r="F928">
        <v>431.98356083500005</v>
      </c>
      <c r="G928">
        <v>5.9614066782651625</v>
      </c>
      <c r="H928">
        <v>443.90637419153035</v>
      </c>
      <c r="I928">
        <v>420.06074747846975</v>
      </c>
    </row>
    <row r="929" spans="1:9" x14ac:dyDescent="0.25">
      <c r="A929" s="1">
        <v>41527</v>
      </c>
      <c r="B929" t="s">
        <v>0</v>
      </c>
      <c r="C929">
        <v>442.67650980000002</v>
      </c>
      <c r="D929">
        <v>-6.9814866674728997E-4</v>
      </c>
      <c r="E929">
        <v>0</v>
      </c>
      <c r="F929">
        <v>432.06226580499998</v>
      </c>
      <c r="G929">
        <v>5.8527550257481025</v>
      </c>
      <c r="H929">
        <v>443.7677758564962</v>
      </c>
      <c r="I929">
        <v>420.35675575350376</v>
      </c>
    </row>
    <row r="930" spans="1:9" x14ac:dyDescent="0.25">
      <c r="A930" s="1">
        <v>41528</v>
      </c>
      <c r="B930" t="s">
        <v>0</v>
      </c>
      <c r="C930">
        <v>446.42245750000001</v>
      </c>
      <c r="D930">
        <v>-8.4620430880608423E-3</v>
      </c>
      <c r="E930">
        <v>0</v>
      </c>
      <c r="F930">
        <v>432.43437186</v>
      </c>
      <c r="G930">
        <v>5.9950064530350309</v>
      </c>
      <c r="H930">
        <v>444.42438476607003</v>
      </c>
      <c r="I930">
        <v>420.44435895392996</v>
      </c>
    </row>
    <row r="931" spans="1:9" x14ac:dyDescent="0.25">
      <c r="A931" s="1">
        <v>41529</v>
      </c>
      <c r="B931" t="s">
        <v>0</v>
      </c>
      <c r="C931">
        <v>444.86331159999997</v>
      </c>
      <c r="D931">
        <v>3.4925346469605704E-3</v>
      </c>
      <c r="E931">
        <v>1</v>
      </c>
      <c r="F931">
        <v>433.01345304500012</v>
      </c>
      <c r="G931">
        <v>6.6269360790945191</v>
      </c>
      <c r="H931">
        <v>446.26732520318916</v>
      </c>
      <c r="I931">
        <v>419.75958088681108</v>
      </c>
    </row>
    <row r="932" spans="1:9" x14ac:dyDescent="0.25">
      <c r="A932" s="1">
        <v>41530</v>
      </c>
      <c r="B932" t="s">
        <v>0</v>
      </c>
      <c r="C932">
        <v>442.87575939999999</v>
      </c>
      <c r="D932">
        <v>4.4677817841429343E-3</v>
      </c>
      <c r="E932">
        <v>1</v>
      </c>
      <c r="F932">
        <v>433.74595858500004</v>
      </c>
      <c r="G932">
        <v>7.1742739043291852</v>
      </c>
      <c r="H932">
        <v>448.09450639365843</v>
      </c>
      <c r="I932">
        <v>419.39741077634164</v>
      </c>
    </row>
    <row r="933" spans="1:9" x14ac:dyDescent="0.25">
      <c r="A933" s="1">
        <v>41533</v>
      </c>
      <c r="B933" t="s">
        <v>0</v>
      </c>
      <c r="C933">
        <v>442.22320089999999</v>
      </c>
      <c r="D933">
        <v>1.4734572533029854E-3</v>
      </c>
      <c r="E933">
        <v>1</v>
      </c>
      <c r="F933">
        <v>434.51432996500006</v>
      </c>
      <c r="G933">
        <v>7.3962539613980303</v>
      </c>
      <c r="H933">
        <v>449.30683788779612</v>
      </c>
      <c r="I933">
        <v>419.721822042204</v>
      </c>
    </row>
    <row r="934" spans="1:9" x14ac:dyDescent="0.25">
      <c r="A934" s="1">
        <v>41534</v>
      </c>
      <c r="B934" t="s">
        <v>0</v>
      </c>
      <c r="C934">
        <v>441.4012697</v>
      </c>
      <c r="D934">
        <v>1.8586342786340105E-3</v>
      </c>
      <c r="E934">
        <v>1</v>
      </c>
      <c r="F934">
        <v>435.02392099500003</v>
      </c>
      <c r="G934">
        <v>7.4163950625911275</v>
      </c>
      <c r="H934">
        <v>449.8567111201823</v>
      </c>
      <c r="I934">
        <v>420.19113086981775</v>
      </c>
    </row>
    <row r="935" spans="1:9" x14ac:dyDescent="0.25">
      <c r="A935" s="1">
        <v>41535</v>
      </c>
      <c r="B935" t="s">
        <v>0</v>
      </c>
      <c r="C935">
        <v>449.97416040000002</v>
      </c>
      <c r="D935">
        <v>-1.9421989215904642E-2</v>
      </c>
      <c r="E935">
        <v>0</v>
      </c>
      <c r="F935">
        <v>435.96788471500003</v>
      </c>
      <c r="G935">
        <v>7.5630683100493892</v>
      </c>
      <c r="H935">
        <v>451.09402133509883</v>
      </c>
      <c r="I935">
        <v>420.84174809490122</v>
      </c>
    </row>
    <row r="936" spans="1:9" x14ac:dyDescent="0.25">
      <c r="A936" s="1">
        <v>41536</v>
      </c>
      <c r="B936" t="s">
        <v>0</v>
      </c>
      <c r="C936">
        <v>447.5183758</v>
      </c>
      <c r="D936">
        <v>5.4576124944973959E-3</v>
      </c>
      <c r="E936">
        <v>1</v>
      </c>
      <c r="F936">
        <v>436.69167440000001</v>
      </c>
      <c r="G936">
        <v>8.145265856617403</v>
      </c>
      <c r="H936">
        <v>452.98220611323484</v>
      </c>
      <c r="I936">
        <v>420.40114268676518</v>
      </c>
    </row>
    <row r="937" spans="1:9" x14ac:dyDescent="0.25">
      <c r="A937" s="1">
        <v>41537</v>
      </c>
      <c r="B937" t="s">
        <v>0</v>
      </c>
      <c r="C937">
        <v>449.86954600000001</v>
      </c>
      <c r="D937">
        <v>-5.2537958822293637E-3</v>
      </c>
      <c r="E937">
        <v>0</v>
      </c>
      <c r="F937">
        <v>437.42393121999993</v>
      </c>
      <c r="G937">
        <v>8.4897959548481357</v>
      </c>
      <c r="H937">
        <v>454.40352312969623</v>
      </c>
      <c r="I937">
        <v>420.44433931030363</v>
      </c>
    </row>
    <row r="938" spans="1:9" x14ac:dyDescent="0.25">
      <c r="A938" s="1">
        <v>41540</v>
      </c>
      <c r="B938" t="s">
        <v>0</v>
      </c>
      <c r="C938">
        <v>441.59554500000002</v>
      </c>
      <c r="D938">
        <v>1.8392000689017519E-2</v>
      </c>
      <c r="E938">
        <v>1</v>
      </c>
      <c r="F938">
        <v>437.82966007499988</v>
      </c>
      <c r="G938">
        <v>8.9299508875189648</v>
      </c>
      <c r="H938">
        <v>455.68956185003782</v>
      </c>
      <c r="I938">
        <v>419.96975829996194</v>
      </c>
    </row>
    <row r="939" spans="1:9" x14ac:dyDescent="0.25">
      <c r="A939" s="1">
        <v>41541</v>
      </c>
      <c r="B939" t="s">
        <v>0</v>
      </c>
      <c r="C939">
        <v>441.76491759999999</v>
      </c>
      <c r="D939">
        <v>-3.8354689470423487E-4</v>
      </c>
      <c r="E939">
        <v>0</v>
      </c>
      <c r="F939">
        <v>438.3390023849999</v>
      </c>
      <c r="G939">
        <v>8.9312367969967461</v>
      </c>
      <c r="H939">
        <v>456.20147597899341</v>
      </c>
      <c r="I939">
        <v>420.47652879100639</v>
      </c>
    </row>
    <row r="940" spans="1:9" x14ac:dyDescent="0.25">
      <c r="A940" s="1">
        <v>41542</v>
      </c>
      <c r="B940" t="s">
        <v>0</v>
      </c>
      <c r="C940">
        <v>436.97786120000001</v>
      </c>
      <c r="D940">
        <v>1.0836207696181223E-2</v>
      </c>
      <c r="E940">
        <v>1</v>
      </c>
      <c r="F940">
        <v>439.01347559499993</v>
      </c>
      <c r="G940">
        <v>8.8613339965751301</v>
      </c>
      <c r="H940">
        <v>456.73614358815018</v>
      </c>
      <c r="I940">
        <v>421.29080760184968</v>
      </c>
    </row>
    <row r="941" spans="1:9" x14ac:dyDescent="0.25">
      <c r="A941" s="1">
        <v>41543</v>
      </c>
      <c r="B941" t="s">
        <v>0</v>
      </c>
      <c r="C941">
        <v>437.44609309999998</v>
      </c>
      <c r="D941">
        <v>-1.0715231630136824E-3</v>
      </c>
      <c r="E941">
        <v>0</v>
      </c>
      <c r="F941">
        <v>439.75121185</v>
      </c>
      <c r="G941">
        <v>8.1989803030626884</v>
      </c>
      <c r="H941">
        <v>456.14917245612537</v>
      </c>
      <c r="I941">
        <v>423.35325124387464</v>
      </c>
    </row>
    <row r="942" spans="1:9" x14ac:dyDescent="0.25">
      <c r="A942" s="1">
        <v>41544</v>
      </c>
      <c r="B942" t="s">
        <v>0</v>
      </c>
      <c r="C942">
        <v>436.55943409999998</v>
      </c>
      <c r="D942">
        <v>2.0268988887673501E-3</v>
      </c>
      <c r="E942">
        <v>1</v>
      </c>
      <c r="F942">
        <v>440.27325712499999</v>
      </c>
      <c r="G942">
        <v>7.2944893099120165</v>
      </c>
      <c r="H942">
        <v>454.86223574482403</v>
      </c>
      <c r="I942">
        <v>425.68427850517594</v>
      </c>
    </row>
    <row r="943" spans="1:9" x14ac:dyDescent="0.25">
      <c r="A943" s="1">
        <v>41547</v>
      </c>
      <c r="B943" t="s">
        <v>0</v>
      </c>
      <c r="C943">
        <v>436.32032830000003</v>
      </c>
      <c r="D943">
        <v>5.4770503469449023E-4</v>
      </c>
      <c r="E943">
        <v>1</v>
      </c>
      <c r="F943">
        <v>440.99580018000006</v>
      </c>
      <c r="G943">
        <v>6.663591362844671</v>
      </c>
      <c r="H943">
        <v>454.3229829056894</v>
      </c>
      <c r="I943">
        <v>427.66861745431072</v>
      </c>
    </row>
    <row r="944" spans="1:9" x14ac:dyDescent="0.25">
      <c r="A944" s="1">
        <v>41548</v>
      </c>
      <c r="B944" t="s">
        <v>0</v>
      </c>
      <c r="C944">
        <v>441.84462989999997</v>
      </c>
      <c r="D944">
        <v>-1.2661114419132931E-2</v>
      </c>
      <c r="E944">
        <v>0</v>
      </c>
      <c r="F944">
        <v>441.65881707999995</v>
      </c>
      <c r="G944">
        <v>5.2578714764251551</v>
      </c>
      <c r="H944">
        <v>452.17456003285025</v>
      </c>
      <c r="I944">
        <v>431.14307412714965</v>
      </c>
    </row>
    <row r="945" spans="1:9" x14ac:dyDescent="0.25">
      <c r="A945" s="1">
        <v>41549</v>
      </c>
      <c r="B945" t="s">
        <v>0</v>
      </c>
      <c r="C945">
        <v>442.33776399999999</v>
      </c>
      <c r="D945">
        <v>-1.1160803292135253E-3</v>
      </c>
      <c r="E945">
        <v>0</v>
      </c>
      <c r="F945">
        <v>442.06628999999992</v>
      </c>
      <c r="G945">
        <v>4.3892838287378577</v>
      </c>
      <c r="H945">
        <v>450.84485765747564</v>
      </c>
      <c r="I945">
        <v>433.28772234252421</v>
      </c>
    </row>
    <row r="946" spans="1:9" x14ac:dyDescent="0.25">
      <c r="A946" s="1">
        <v>41550</v>
      </c>
      <c r="B946" t="s">
        <v>0</v>
      </c>
      <c r="C946">
        <v>436.40998919999998</v>
      </c>
      <c r="D946">
        <v>1.3401014524276542E-2</v>
      </c>
      <c r="E946">
        <v>1</v>
      </c>
      <c r="F946">
        <v>441.97986406999991</v>
      </c>
      <c r="G946">
        <v>4.0216706686273698</v>
      </c>
      <c r="H946">
        <v>450.02320540725464</v>
      </c>
      <c r="I946">
        <v>433.93652273274517</v>
      </c>
    </row>
    <row r="947" spans="1:9" x14ac:dyDescent="0.25">
      <c r="A947" s="1">
        <v>41551</v>
      </c>
      <c r="B947" t="s">
        <v>0</v>
      </c>
      <c r="C947">
        <v>434.54694890000002</v>
      </c>
      <c r="D947">
        <v>4.2690138771002408E-3</v>
      </c>
      <c r="E947">
        <v>1</v>
      </c>
      <c r="F947">
        <v>441.79978868999996</v>
      </c>
      <c r="G947">
        <v>4.1254862153568439</v>
      </c>
      <c r="H947">
        <v>450.05076112071367</v>
      </c>
      <c r="I947">
        <v>433.54881625928624</v>
      </c>
    </row>
    <row r="948" spans="1:9" x14ac:dyDescent="0.25">
      <c r="A948" s="1">
        <v>41554</v>
      </c>
      <c r="B948" t="s">
        <v>0</v>
      </c>
      <c r="C948">
        <v>431.25430999999998</v>
      </c>
      <c r="D948">
        <v>7.5771764324543906E-3</v>
      </c>
      <c r="E948">
        <v>1</v>
      </c>
      <c r="F948">
        <v>441.24412061999999</v>
      </c>
      <c r="G948">
        <v>4.392263246892278</v>
      </c>
      <c r="H948">
        <v>450.02864711378453</v>
      </c>
      <c r="I948">
        <v>432.45959412621545</v>
      </c>
    </row>
    <row r="949" spans="1:9" x14ac:dyDescent="0.25">
      <c r="A949" s="1">
        <v>41555</v>
      </c>
      <c r="B949" t="s">
        <v>0</v>
      </c>
      <c r="C949">
        <v>425.24181829999998</v>
      </c>
      <c r="D949">
        <v>1.3941870401248856E-2</v>
      </c>
      <c r="E949">
        <v>1</v>
      </c>
      <c r="F949">
        <v>440.37238604499998</v>
      </c>
      <c r="G949">
        <v>4.997859050899943</v>
      </c>
      <c r="H949">
        <v>450.36810414679985</v>
      </c>
      <c r="I949">
        <v>430.37666794320012</v>
      </c>
    </row>
    <row r="950" spans="1:9" x14ac:dyDescent="0.25">
      <c r="A950" s="1">
        <v>41556</v>
      </c>
      <c r="B950" t="s">
        <v>0</v>
      </c>
      <c r="C950">
        <v>426.33273179999998</v>
      </c>
      <c r="D950">
        <v>-2.5653956244500405E-3</v>
      </c>
      <c r="E950">
        <v>0</v>
      </c>
      <c r="F950">
        <v>439.36789976000011</v>
      </c>
      <c r="G950">
        <v>6.0966255002090541</v>
      </c>
      <c r="H950">
        <v>451.56115076041823</v>
      </c>
      <c r="I950">
        <v>427.174648759582</v>
      </c>
    </row>
    <row r="951" spans="1:9" x14ac:dyDescent="0.25">
      <c r="A951" s="1">
        <v>41557</v>
      </c>
      <c r="B951" t="s">
        <v>0</v>
      </c>
      <c r="C951">
        <v>432.49964319999998</v>
      </c>
      <c r="D951">
        <v>-1.4465019783873897E-2</v>
      </c>
      <c r="E951">
        <v>0</v>
      </c>
      <c r="F951">
        <v>438.74971634000002</v>
      </c>
      <c r="G951">
        <v>6.5998813756372368</v>
      </c>
      <c r="H951">
        <v>451.9494790912745</v>
      </c>
      <c r="I951">
        <v>425.54995358872554</v>
      </c>
    </row>
    <row r="952" spans="1:9" x14ac:dyDescent="0.25">
      <c r="A952" s="1">
        <v>41558</v>
      </c>
      <c r="B952" t="s">
        <v>0</v>
      </c>
      <c r="C952">
        <v>434.36762700000003</v>
      </c>
      <c r="D952">
        <v>-4.3190412509455855E-3</v>
      </c>
      <c r="E952">
        <v>0</v>
      </c>
      <c r="F952">
        <v>438.32430972000003</v>
      </c>
      <c r="G952">
        <v>6.6199526680661274</v>
      </c>
      <c r="H952">
        <v>451.5642150561323</v>
      </c>
      <c r="I952">
        <v>425.08440438386776</v>
      </c>
    </row>
    <row r="953" spans="1:9" x14ac:dyDescent="0.25">
      <c r="A953" s="1">
        <v>41561</v>
      </c>
      <c r="B953" t="s">
        <v>0</v>
      </c>
      <c r="C953">
        <v>436.41993789999998</v>
      </c>
      <c r="D953">
        <v>-4.7248247162764547E-3</v>
      </c>
      <c r="E953">
        <v>0</v>
      </c>
      <c r="F953">
        <v>438.03414656999996</v>
      </c>
      <c r="G953">
        <v>6.6071892797855067</v>
      </c>
      <c r="H953">
        <v>451.24852512957096</v>
      </c>
      <c r="I953">
        <v>424.81976801042896</v>
      </c>
    </row>
    <row r="954" spans="1:9" x14ac:dyDescent="0.25">
      <c r="A954" s="1">
        <v>41562</v>
      </c>
      <c r="B954" t="s">
        <v>0</v>
      </c>
      <c r="C954">
        <v>439.35893829999998</v>
      </c>
      <c r="D954">
        <v>-6.7343403560848128E-3</v>
      </c>
      <c r="E954">
        <v>0</v>
      </c>
      <c r="F954">
        <v>437.93202999999994</v>
      </c>
      <c r="G954">
        <v>6.5512023816480944</v>
      </c>
      <c r="H954">
        <v>451.03443476329613</v>
      </c>
      <c r="I954">
        <v>424.82962523670375</v>
      </c>
    </row>
    <row r="955" spans="1:9" x14ac:dyDescent="0.25">
      <c r="A955" s="1">
        <v>41563</v>
      </c>
      <c r="B955" t="s">
        <v>0</v>
      </c>
      <c r="C955">
        <v>447.33902399999999</v>
      </c>
      <c r="D955">
        <v>-1.8163021175527132E-2</v>
      </c>
      <c r="E955">
        <v>0</v>
      </c>
      <c r="F955">
        <v>437.80027318000003</v>
      </c>
      <c r="G955">
        <v>6.51426393884649</v>
      </c>
      <c r="H955">
        <v>450.828801057693</v>
      </c>
      <c r="I955">
        <v>424.77174530230707</v>
      </c>
    </row>
    <row r="956" spans="1:9" x14ac:dyDescent="0.25">
      <c r="A956" s="1">
        <v>41564</v>
      </c>
      <c r="B956" t="s">
        <v>0</v>
      </c>
      <c r="C956">
        <v>442.73626330000002</v>
      </c>
      <c r="D956">
        <v>1.0289200031875547E-2</v>
      </c>
      <c r="E956">
        <v>1</v>
      </c>
      <c r="F956">
        <v>437.561167555</v>
      </c>
      <c r="G956">
        <v>6.2953965739181976</v>
      </c>
      <c r="H956">
        <v>450.15196070283639</v>
      </c>
      <c r="I956">
        <v>424.9703744071636</v>
      </c>
    </row>
    <row r="957" spans="1:9" x14ac:dyDescent="0.25">
      <c r="A957" s="1">
        <v>41565</v>
      </c>
      <c r="B957" t="s">
        <v>0</v>
      </c>
      <c r="C957">
        <v>503.81742259999999</v>
      </c>
      <c r="D957">
        <v>-0.13796285591047489</v>
      </c>
      <c r="E957">
        <v>0</v>
      </c>
      <c r="F957">
        <v>440.25856138500001</v>
      </c>
      <c r="G957">
        <v>6.579493331085926</v>
      </c>
      <c r="H957">
        <v>453.41754804717186</v>
      </c>
      <c r="I957">
        <v>427.09957472282815</v>
      </c>
    </row>
    <row r="958" spans="1:9" x14ac:dyDescent="0.25">
      <c r="A958" s="1">
        <v>41568</v>
      </c>
      <c r="B958" t="s">
        <v>0</v>
      </c>
      <c r="C958">
        <v>499.77755999999999</v>
      </c>
      <c r="D958">
        <v>8.0185051544106566E-3</v>
      </c>
      <c r="E958">
        <v>1</v>
      </c>
      <c r="F958">
        <v>443.16766213500006</v>
      </c>
      <c r="G958">
        <v>15.783551259185877</v>
      </c>
      <c r="H958">
        <v>474.73476465337183</v>
      </c>
      <c r="I958">
        <v>411.60055961662829</v>
      </c>
    </row>
    <row r="959" spans="1:9" x14ac:dyDescent="0.25">
      <c r="A959" s="1">
        <v>41569</v>
      </c>
      <c r="B959" t="s">
        <v>0</v>
      </c>
      <c r="C959">
        <v>501.62067209999998</v>
      </c>
      <c r="D959">
        <v>-3.6878648573176933E-3</v>
      </c>
      <c r="E959">
        <v>0</v>
      </c>
      <c r="F959">
        <v>446.16044985999997</v>
      </c>
      <c r="G959">
        <v>20.449638576714186</v>
      </c>
      <c r="H959">
        <v>487.05972701342836</v>
      </c>
      <c r="I959">
        <v>405.26117270657159</v>
      </c>
    </row>
    <row r="960" spans="1:9" x14ac:dyDescent="0.25">
      <c r="A960" s="1">
        <v>41570</v>
      </c>
      <c r="B960" t="s">
        <v>0</v>
      </c>
      <c r="C960">
        <v>513.78011700000002</v>
      </c>
      <c r="D960">
        <v>-2.4240318583951835E-2</v>
      </c>
      <c r="E960">
        <v>0</v>
      </c>
      <c r="F960">
        <v>450.00056264999995</v>
      </c>
      <c r="G960">
        <v>24.202478416708338</v>
      </c>
      <c r="H960">
        <v>498.40551948341664</v>
      </c>
      <c r="I960">
        <v>401.59560581658326</v>
      </c>
    </row>
    <row r="961" spans="1:9" x14ac:dyDescent="0.25">
      <c r="A961" s="1">
        <v>41571</v>
      </c>
      <c r="B961" t="s">
        <v>0</v>
      </c>
      <c r="C961">
        <v>510.86104440000003</v>
      </c>
      <c r="D961">
        <v>5.6815600748520061E-3</v>
      </c>
      <c r="E961">
        <v>1</v>
      </c>
      <c r="F961">
        <v>453.67131021500001</v>
      </c>
      <c r="G961">
        <v>28.180603066624137</v>
      </c>
      <c r="H961">
        <v>510.03251634824829</v>
      </c>
      <c r="I961">
        <v>397.31010408175172</v>
      </c>
    </row>
    <row r="962" spans="1:9" x14ac:dyDescent="0.25">
      <c r="A962" s="1">
        <v>41572</v>
      </c>
      <c r="B962" t="s">
        <v>0</v>
      </c>
      <c r="C962">
        <v>505.70536559999999</v>
      </c>
      <c r="D962">
        <v>1.0092135339963754E-2</v>
      </c>
      <c r="E962">
        <v>1</v>
      </c>
      <c r="F962">
        <v>457.12860679000005</v>
      </c>
      <c r="G962">
        <v>30.926844166391046</v>
      </c>
      <c r="H962">
        <v>518.98229512278215</v>
      </c>
      <c r="I962">
        <v>395.27491845721795</v>
      </c>
    </row>
    <row r="963" spans="1:9" x14ac:dyDescent="0.25">
      <c r="A963" s="1">
        <v>41575</v>
      </c>
      <c r="B963" t="s">
        <v>0</v>
      </c>
      <c r="C963">
        <v>505.60572509999997</v>
      </c>
      <c r="D963">
        <v>1.9703271267806555E-4</v>
      </c>
      <c r="E963">
        <v>1</v>
      </c>
      <c r="F963">
        <v>460.59287663000003</v>
      </c>
      <c r="G963">
        <v>32.638955056546507</v>
      </c>
      <c r="H963">
        <v>525.87078674309305</v>
      </c>
      <c r="I963">
        <v>395.31496651690702</v>
      </c>
    </row>
    <row r="964" spans="1:9" x14ac:dyDescent="0.25">
      <c r="A964" s="1">
        <v>41576</v>
      </c>
      <c r="B964" t="s">
        <v>0</v>
      </c>
      <c r="C964">
        <v>516.18606590000002</v>
      </c>
      <c r="D964">
        <v>-2.0926070008221203E-2</v>
      </c>
      <c r="E964">
        <v>0</v>
      </c>
      <c r="F964">
        <v>464.30994842999996</v>
      </c>
      <c r="G964">
        <v>33.925919386173867</v>
      </c>
      <c r="H964">
        <v>532.16178720234768</v>
      </c>
      <c r="I964">
        <v>396.45810965765224</v>
      </c>
    </row>
    <row r="965" spans="1:9" x14ac:dyDescent="0.25">
      <c r="A965" s="1">
        <v>41577</v>
      </c>
      <c r="B965" t="s">
        <v>0</v>
      </c>
      <c r="C965">
        <v>513.28695200000004</v>
      </c>
      <c r="D965">
        <v>5.6164125526038822E-3</v>
      </c>
      <c r="E965">
        <v>1</v>
      </c>
      <c r="F965">
        <v>467.85740782999994</v>
      </c>
      <c r="G965">
        <v>35.677367135863037</v>
      </c>
      <c r="H965">
        <v>539.21214210172604</v>
      </c>
      <c r="I965">
        <v>396.50267355827384</v>
      </c>
    </row>
    <row r="966" spans="1:9" x14ac:dyDescent="0.25">
      <c r="A966" s="1">
        <v>41578</v>
      </c>
      <c r="B966" t="s">
        <v>0</v>
      </c>
      <c r="C966">
        <v>513.3666637</v>
      </c>
      <c r="D966">
        <v>-1.5529656401622622E-4</v>
      </c>
      <c r="E966">
        <v>0</v>
      </c>
      <c r="F966">
        <v>471.70524155499999</v>
      </c>
      <c r="G966">
        <v>36.85525624977533</v>
      </c>
      <c r="H966">
        <v>545.41575405455069</v>
      </c>
      <c r="I966">
        <v>397.99472905544934</v>
      </c>
    </row>
    <row r="967" spans="1:9" x14ac:dyDescent="0.25">
      <c r="A967" s="1">
        <v>41579</v>
      </c>
      <c r="B967" t="s">
        <v>0</v>
      </c>
      <c r="C967">
        <v>511.6032639</v>
      </c>
      <c r="D967">
        <v>3.4349713853459199E-3</v>
      </c>
      <c r="E967">
        <v>1</v>
      </c>
      <c r="F967">
        <v>475.55805730499998</v>
      </c>
      <c r="G967">
        <v>37.385158355383354</v>
      </c>
      <c r="H967">
        <v>550.32837401576671</v>
      </c>
      <c r="I967">
        <v>400.78774059423324</v>
      </c>
    </row>
    <row r="968" spans="1:9" x14ac:dyDescent="0.25">
      <c r="A968" s="1">
        <v>41582</v>
      </c>
      <c r="B968" t="s">
        <v>0</v>
      </c>
      <c r="C968">
        <v>511.14000629999998</v>
      </c>
      <c r="D968">
        <v>9.0550165076853397E-4</v>
      </c>
      <c r="E968">
        <v>1</v>
      </c>
      <c r="F968">
        <v>479.55234211999993</v>
      </c>
      <c r="G968">
        <v>37.342625399587362</v>
      </c>
      <c r="H968">
        <v>554.23759291917463</v>
      </c>
      <c r="I968">
        <v>404.86709132082524</v>
      </c>
    </row>
    <row r="969" spans="1:9" x14ac:dyDescent="0.25">
      <c r="A969" s="1">
        <v>41583</v>
      </c>
      <c r="B969" t="s">
        <v>0</v>
      </c>
      <c r="C969">
        <v>508.85356439999998</v>
      </c>
      <c r="D969">
        <v>4.47322039327525E-3</v>
      </c>
      <c r="E969">
        <v>1</v>
      </c>
      <c r="F969">
        <v>483.73292942499995</v>
      </c>
      <c r="G969">
        <v>36.677009325091241</v>
      </c>
      <c r="H969">
        <v>557.08694807518248</v>
      </c>
      <c r="I969">
        <v>410.37891077481748</v>
      </c>
    </row>
    <row r="970" spans="1:9" x14ac:dyDescent="0.25">
      <c r="A970" s="1">
        <v>41584</v>
      </c>
      <c r="B970" t="s">
        <v>0</v>
      </c>
      <c r="C970">
        <v>509.46626689999999</v>
      </c>
      <c r="D970">
        <v>-1.2040841272723758E-3</v>
      </c>
      <c r="E970">
        <v>0</v>
      </c>
      <c r="F970">
        <v>487.88960617999999</v>
      </c>
      <c r="G970">
        <v>34.971027804797103</v>
      </c>
      <c r="H970">
        <v>557.83166178959414</v>
      </c>
      <c r="I970">
        <v>417.94755057040578</v>
      </c>
    </row>
    <row r="971" spans="1:9" x14ac:dyDescent="0.25">
      <c r="A971" s="1">
        <v>41585</v>
      </c>
      <c r="B971" t="s">
        <v>0</v>
      </c>
      <c r="C971">
        <v>502.09387839999999</v>
      </c>
      <c r="D971">
        <v>1.4470807939570767E-2</v>
      </c>
      <c r="E971">
        <v>1</v>
      </c>
      <c r="F971">
        <v>491.36931794000003</v>
      </c>
      <c r="G971">
        <v>32.693980407348981</v>
      </c>
      <c r="H971">
        <v>556.75727875469795</v>
      </c>
      <c r="I971">
        <v>425.98135712530205</v>
      </c>
    </row>
    <row r="972" spans="1:9" x14ac:dyDescent="0.25">
      <c r="A972" s="1">
        <v>41586</v>
      </c>
      <c r="B972" t="s">
        <v>0</v>
      </c>
      <c r="C972">
        <v>506.11881840000001</v>
      </c>
      <c r="D972">
        <v>-8.0163096447742211E-3</v>
      </c>
      <c r="E972">
        <v>0</v>
      </c>
      <c r="F972">
        <v>494.95687751000003</v>
      </c>
      <c r="G972">
        <v>30.236332750480138</v>
      </c>
      <c r="H972">
        <v>555.42954301096029</v>
      </c>
      <c r="I972">
        <v>434.48421200903977</v>
      </c>
    </row>
    <row r="973" spans="1:9" x14ac:dyDescent="0.25">
      <c r="A973" s="1">
        <v>41589</v>
      </c>
      <c r="B973" t="s">
        <v>0</v>
      </c>
      <c r="C973">
        <v>503.40897460000002</v>
      </c>
      <c r="D973">
        <v>5.354165270057833E-3</v>
      </c>
      <c r="E973">
        <v>1</v>
      </c>
      <c r="F973">
        <v>498.30632934499999</v>
      </c>
      <c r="G973">
        <v>27.351987645254567</v>
      </c>
      <c r="H973">
        <v>553.0103046355091</v>
      </c>
      <c r="I973">
        <v>443.60235405449089</v>
      </c>
    </row>
    <row r="974" spans="1:9" x14ac:dyDescent="0.25">
      <c r="A974" s="1">
        <v>41590</v>
      </c>
      <c r="B974" t="s">
        <v>0</v>
      </c>
      <c r="C974">
        <v>504.00174920000001</v>
      </c>
      <c r="D974">
        <v>-1.1775209221706717E-3</v>
      </c>
      <c r="E974">
        <v>0</v>
      </c>
      <c r="F974">
        <v>501.53846988999993</v>
      </c>
      <c r="G974">
        <v>23.840795661523568</v>
      </c>
      <c r="H974">
        <v>549.22006121304707</v>
      </c>
      <c r="I974">
        <v>453.85687856695279</v>
      </c>
    </row>
    <row r="975" spans="1:9" x14ac:dyDescent="0.25">
      <c r="A975" s="1">
        <v>41591</v>
      </c>
      <c r="B975" t="s">
        <v>0</v>
      </c>
      <c r="C975">
        <v>514.30813290000003</v>
      </c>
      <c r="D975">
        <v>-2.0449103036565466E-2</v>
      </c>
      <c r="E975">
        <v>0</v>
      </c>
      <c r="F975">
        <v>504.886925335</v>
      </c>
      <c r="G975">
        <v>19.661748941842252</v>
      </c>
      <c r="H975">
        <v>544.21042321868447</v>
      </c>
      <c r="I975">
        <v>465.56342745131548</v>
      </c>
    </row>
    <row r="976" spans="1:9" x14ac:dyDescent="0.25">
      <c r="A976" s="1">
        <v>41592</v>
      </c>
      <c r="B976" t="s">
        <v>0</v>
      </c>
      <c r="C976">
        <v>515.68295220000005</v>
      </c>
      <c r="D976">
        <v>-2.6731432230089332E-3</v>
      </c>
      <c r="E976">
        <v>0</v>
      </c>
      <c r="F976">
        <v>508.53425977999996</v>
      </c>
      <c r="G976">
        <v>15.451127149878547</v>
      </c>
      <c r="H976">
        <v>539.4365140797571</v>
      </c>
      <c r="I976">
        <v>477.63200548024287</v>
      </c>
    </row>
    <row r="977" spans="1:9" x14ac:dyDescent="0.25">
      <c r="A977" s="1">
        <v>41593</v>
      </c>
      <c r="B977" t="s">
        <v>0</v>
      </c>
      <c r="C977">
        <v>514.85110269999996</v>
      </c>
      <c r="D977">
        <v>1.6131025787283905E-3</v>
      </c>
      <c r="E977">
        <v>1</v>
      </c>
      <c r="F977">
        <v>509.08594378500004</v>
      </c>
      <c r="G977">
        <v>5.0127894998464599</v>
      </c>
      <c r="H977">
        <v>519.11152278469297</v>
      </c>
      <c r="I977">
        <v>499.06036478530712</v>
      </c>
    </row>
    <row r="978" spans="1:9" x14ac:dyDescent="0.25">
      <c r="A978" s="1">
        <v>41596</v>
      </c>
      <c r="B978" t="s">
        <v>0</v>
      </c>
      <c r="C978">
        <v>513.84981919999996</v>
      </c>
      <c r="D978">
        <v>1.9448020888933402E-3</v>
      </c>
      <c r="E978">
        <v>1</v>
      </c>
      <c r="F978">
        <v>509.78955674500014</v>
      </c>
      <c r="G978">
        <v>5.0889209916416966</v>
      </c>
      <c r="H978">
        <v>519.96739872828357</v>
      </c>
      <c r="I978">
        <v>499.61171476171677</v>
      </c>
    </row>
    <row r="979" spans="1:9" x14ac:dyDescent="0.25">
      <c r="A979" s="1">
        <v>41597</v>
      </c>
      <c r="B979" t="s">
        <v>0</v>
      </c>
      <c r="C979">
        <v>510.68669740000001</v>
      </c>
      <c r="D979">
        <v>6.1557320481780611E-3</v>
      </c>
      <c r="E979">
        <v>1</v>
      </c>
      <c r="F979">
        <v>510.24285801000013</v>
      </c>
      <c r="G979">
        <v>4.6813333052776329</v>
      </c>
      <c r="H979">
        <v>519.60552462055534</v>
      </c>
      <c r="I979">
        <v>500.88019139944487</v>
      </c>
    </row>
    <row r="980" spans="1:9" x14ac:dyDescent="0.25">
      <c r="A980" s="1">
        <v>41598</v>
      </c>
      <c r="B980" t="s">
        <v>0</v>
      </c>
      <c r="C980">
        <v>509.24708889999999</v>
      </c>
      <c r="D980">
        <v>2.8189661241017861E-3</v>
      </c>
      <c r="E980">
        <v>1</v>
      </c>
      <c r="F980">
        <v>510.01620660500009</v>
      </c>
      <c r="G980">
        <v>4.2730548266276154</v>
      </c>
      <c r="H980">
        <v>518.56231625825535</v>
      </c>
      <c r="I980">
        <v>501.47009695174484</v>
      </c>
    </row>
    <row r="981" spans="1:9" x14ac:dyDescent="0.25">
      <c r="A981" s="1">
        <v>41599</v>
      </c>
      <c r="B981" t="s">
        <v>0</v>
      </c>
      <c r="C981">
        <v>515.10513149999997</v>
      </c>
      <c r="D981">
        <v>-1.1503340377759744E-2</v>
      </c>
      <c r="E981">
        <v>0</v>
      </c>
      <c r="F981">
        <v>510.22841096000002</v>
      </c>
      <c r="G981">
        <v>4.1982441887977808</v>
      </c>
      <c r="H981">
        <v>518.62489933759559</v>
      </c>
      <c r="I981">
        <v>501.83192258240445</v>
      </c>
    </row>
    <row r="982" spans="1:9" x14ac:dyDescent="0.25">
      <c r="A982" s="1">
        <v>41600</v>
      </c>
      <c r="B982" t="s">
        <v>0</v>
      </c>
      <c r="C982">
        <v>514.01919190000001</v>
      </c>
      <c r="D982">
        <v>2.1081902190290269E-3</v>
      </c>
      <c r="E982">
        <v>1</v>
      </c>
      <c r="F982">
        <v>510.64410227500002</v>
      </c>
      <c r="G982">
        <v>4.3551305888495859</v>
      </c>
      <c r="H982">
        <v>519.3543634526992</v>
      </c>
      <c r="I982">
        <v>501.93384109730084</v>
      </c>
    </row>
    <row r="983" spans="1:9" x14ac:dyDescent="0.25">
      <c r="A983" s="1">
        <v>41603</v>
      </c>
      <c r="B983" t="s">
        <v>0</v>
      </c>
      <c r="C983">
        <v>521.01303919999998</v>
      </c>
      <c r="D983">
        <v>-1.360619877664138E-2</v>
      </c>
      <c r="E983">
        <v>0</v>
      </c>
      <c r="F983">
        <v>511.41446798000004</v>
      </c>
      <c r="G983">
        <v>4.3486355638249528</v>
      </c>
      <c r="H983">
        <v>520.1117391076499</v>
      </c>
      <c r="I983">
        <v>502.71719685235013</v>
      </c>
    </row>
    <row r="984" spans="1:9" x14ac:dyDescent="0.25">
      <c r="A984" s="1">
        <v>41604</v>
      </c>
      <c r="B984" t="s">
        <v>0</v>
      </c>
      <c r="C984">
        <v>527.2297251</v>
      </c>
      <c r="D984">
        <v>-1.1931919994834587E-2</v>
      </c>
      <c r="E984">
        <v>0</v>
      </c>
      <c r="F984">
        <v>511.96665094000002</v>
      </c>
      <c r="G984">
        <v>4.7047944768342997</v>
      </c>
      <c r="H984">
        <v>521.37623989366864</v>
      </c>
      <c r="I984">
        <v>502.55706198633141</v>
      </c>
    </row>
    <row r="985" spans="1:9" x14ac:dyDescent="0.25">
      <c r="A985" s="1">
        <v>41605</v>
      </c>
      <c r="B985" t="s">
        <v>0</v>
      </c>
      <c r="C985">
        <v>529.57097650000003</v>
      </c>
      <c r="D985">
        <v>-4.4406665416218067E-3</v>
      </c>
      <c r="E985">
        <v>0</v>
      </c>
      <c r="F985">
        <v>512.78085216500017</v>
      </c>
      <c r="G985">
        <v>5.7927466036839261</v>
      </c>
      <c r="H985">
        <v>524.36634537236807</v>
      </c>
      <c r="I985">
        <v>501.19535895763232</v>
      </c>
    </row>
    <row r="986" spans="1:9" x14ac:dyDescent="0.25">
      <c r="A986" s="1">
        <v>41607</v>
      </c>
      <c r="B986" t="s">
        <v>0</v>
      </c>
      <c r="C986">
        <v>527.81749449999995</v>
      </c>
      <c r="D986">
        <v>3.3111368972466265E-3</v>
      </c>
      <c r="E986">
        <v>1</v>
      </c>
      <c r="F986">
        <v>513.50339370500001</v>
      </c>
      <c r="G986">
        <v>6.9397828783475362</v>
      </c>
      <c r="H986">
        <v>527.38295946169512</v>
      </c>
      <c r="I986">
        <v>499.62382794830495</v>
      </c>
    </row>
    <row r="987" spans="1:9" x14ac:dyDescent="0.25">
      <c r="A987" s="1">
        <v>41610</v>
      </c>
      <c r="B987" t="s">
        <v>0</v>
      </c>
      <c r="C987">
        <v>525.27207980000003</v>
      </c>
      <c r="D987">
        <v>4.8225281020879921E-3</v>
      </c>
      <c r="E987">
        <v>1</v>
      </c>
      <c r="F987">
        <v>514.18683450000003</v>
      </c>
      <c r="G987">
        <v>7.6727711449406231</v>
      </c>
      <c r="H987">
        <v>529.53237678988125</v>
      </c>
      <c r="I987">
        <v>498.84129221011881</v>
      </c>
    </row>
    <row r="988" spans="1:9" x14ac:dyDescent="0.25">
      <c r="A988" s="1">
        <v>41611</v>
      </c>
      <c r="B988" t="s">
        <v>0</v>
      </c>
      <c r="C988">
        <v>524.6643517</v>
      </c>
      <c r="D988">
        <v>1.1569777328188217E-3</v>
      </c>
      <c r="E988">
        <v>1</v>
      </c>
      <c r="F988">
        <v>514.86305177000008</v>
      </c>
      <c r="G988">
        <v>8.0708784004393959</v>
      </c>
      <c r="H988">
        <v>531.00480857087882</v>
      </c>
      <c r="I988">
        <v>498.72129496912129</v>
      </c>
    </row>
    <row r="989" spans="1:9" x14ac:dyDescent="0.25">
      <c r="A989" s="1">
        <v>41612</v>
      </c>
      <c r="B989" t="s">
        <v>0</v>
      </c>
      <c r="C989">
        <v>527.1151615</v>
      </c>
      <c r="D989">
        <v>-4.6711955787713984E-3</v>
      </c>
      <c r="E989">
        <v>0</v>
      </c>
      <c r="F989">
        <v>515.77613162500006</v>
      </c>
      <c r="G989">
        <v>8.3715598076817521</v>
      </c>
      <c r="H989">
        <v>532.51925124036359</v>
      </c>
      <c r="I989">
        <v>499.03301200963654</v>
      </c>
    </row>
    <row r="990" spans="1:9" x14ac:dyDescent="0.25">
      <c r="A990" s="1">
        <v>41613</v>
      </c>
      <c r="B990" t="s">
        <v>0</v>
      </c>
      <c r="C990">
        <v>526.69670389999999</v>
      </c>
      <c r="D990">
        <v>7.9386371435269496E-4</v>
      </c>
      <c r="E990">
        <v>1</v>
      </c>
      <c r="F990">
        <v>516.63765347500009</v>
      </c>
      <c r="G990">
        <v>8.6520411804206585</v>
      </c>
      <c r="H990">
        <v>533.94173583584143</v>
      </c>
      <c r="I990">
        <v>499.33357111415876</v>
      </c>
    </row>
    <row r="991" spans="1:9" x14ac:dyDescent="0.25">
      <c r="A991" s="1">
        <v>41614</v>
      </c>
      <c r="B991" t="s">
        <v>0</v>
      </c>
      <c r="C991">
        <v>532.9383527</v>
      </c>
      <c r="D991">
        <v>-1.1850556029272329E-2</v>
      </c>
      <c r="E991">
        <v>0</v>
      </c>
      <c r="F991">
        <v>518.17987719000007</v>
      </c>
      <c r="G991">
        <v>8.9288328507724621</v>
      </c>
      <c r="H991">
        <v>536.03754289154494</v>
      </c>
      <c r="I991">
        <v>500.32221148845514</v>
      </c>
    </row>
    <row r="992" spans="1:9" x14ac:dyDescent="0.25">
      <c r="A992" s="1">
        <v>41617</v>
      </c>
      <c r="B992" t="s">
        <v>0</v>
      </c>
      <c r="C992">
        <v>537.05792750000001</v>
      </c>
      <c r="D992">
        <v>-7.7299274468223302E-3</v>
      </c>
      <c r="E992">
        <v>0</v>
      </c>
      <c r="F992">
        <v>519.72683264500006</v>
      </c>
      <c r="G992">
        <v>8.9481724040251418</v>
      </c>
      <c r="H992">
        <v>537.62317745305029</v>
      </c>
      <c r="I992">
        <v>501.83048783694977</v>
      </c>
    </row>
    <row r="993" spans="1:9" x14ac:dyDescent="0.25">
      <c r="A993" s="1">
        <v>41618</v>
      </c>
      <c r="B993" t="s">
        <v>0</v>
      </c>
      <c r="C993">
        <v>540.30573600000002</v>
      </c>
      <c r="D993">
        <v>-6.0474081727431893E-3</v>
      </c>
      <c r="E993">
        <v>0</v>
      </c>
      <c r="F993">
        <v>521.5716707150001</v>
      </c>
      <c r="G993">
        <v>9.446303866366085</v>
      </c>
      <c r="H993">
        <v>540.46427844773223</v>
      </c>
      <c r="I993">
        <v>502.67906298226791</v>
      </c>
    </row>
    <row r="994" spans="1:9" x14ac:dyDescent="0.25">
      <c r="A994" s="1">
        <v>41619</v>
      </c>
      <c r="B994" t="s">
        <v>0</v>
      </c>
      <c r="C994">
        <v>536.63446529999999</v>
      </c>
      <c r="D994">
        <v>6.7948023783335077E-3</v>
      </c>
      <c r="E994">
        <v>1</v>
      </c>
      <c r="F994">
        <v>523.20330652000007</v>
      </c>
      <c r="G994">
        <v>9.6410049130119777</v>
      </c>
      <c r="H994">
        <v>542.48531634602398</v>
      </c>
      <c r="I994">
        <v>503.9212966939761</v>
      </c>
    </row>
    <row r="995" spans="1:9" x14ac:dyDescent="0.25">
      <c r="A995" s="1">
        <v>41620</v>
      </c>
      <c r="B995" t="s">
        <v>0</v>
      </c>
      <c r="C995">
        <v>532.98315279999997</v>
      </c>
      <c r="D995">
        <v>6.8040961512950693E-3</v>
      </c>
      <c r="E995">
        <v>1</v>
      </c>
      <c r="F995">
        <v>524.13705751500015</v>
      </c>
      <c r="G995">
        <v>9.1872562708569809</v>
      </c>
      <c r="H995">
        <v>542.51157005671416</v>
      </c>
      <c r="I995">
        <v>505.7625449732862</v>
      </c>
    </row>
    <row r="996" spans="1:9" x14ac:dyDescent="0.25">
      <c r="A996" s="1">
        <v>41621</v>
      </c>
      <c r="B996" t="s">
        <v>0</v>
      </c>
      <c r="C996">
        <v>528.41527380000002</v>
      </c>
      <c r="D996">
        <v>8.5704003513109705E-3</v>
      </c>
      <c r="E996">
        <v>1</v>
      </c>
      <c r="F996">
        <v>524.77367359499999</v>
      </c>
      <c r="G996">
        <v>9.1593253002015675</v>
      </c>
      <c r="H996">
        <v>543.09232419540308</v>
      </c>
      <c r="I996">
        <v>506.45502299459685</v>
      </c>
    </row>
    <row r="997" spans="1:9" x14ac:dyDescent="0.25">
      <c r="A997" s="1">
        <v>41624</v>
      </c>
      <c r="B997" t="s">
        <v>0</v>
      </c>
      <c r="C997">
        <v>534.48754989999998</v>
      </c>
      <c r="D997">
        <v>-1.1491484824676454E-2</v>
      </c>
      <c r="E997">
        <v>0</v>
      </c>
      <c r="F997">
        <v>525.75549595500001</v>
      </c>
      <c r="G997">
        <v>9.021541826655012</v>
      </c>
      <c r="H997">
        <v>543.79857960831009</v>
      </c>
      <c r="I997">
        <v>507.71241230168999</v>
      </c>
    </row>
    <row r="998" spans="1:9" x14ac:dyDescent="0.25">
      <c r="A998" s="1">
        <v>41625</v>
      </c>
      <c r="B998" t="s">
        <v>0</v>
      </c>
      <c r="C998">
        <v>532.93334800000002</v>
      </c>
      <c r="D998">
        <v>2.9078355525600855E-3</v>
      </c>
      <c r="E998">
        <v>1</v>
      </c>
      <c r="F998">
        <v>526.7096723950001</v>
      </c>
      <c r="G998">
        <v>8.9535366364734355</v>
      </c>
      <c r="H998">
        <v>544.61674566794693</v>
      </c>
      <c r="I998">
        <v>508.80259912205321</v>
      </c>
    </row>
    <row r="999" spans="1:9" x14ac:dyDescent="0.25">
      <c r="A999" s="1">
        <v>41626</v>
      </c>
      <c r="B999" t="s">
        <v>0</v>
      </c>
      <c r="C999">
        <v>540.35053600000003</v>
      </c>
      <c r="D999">
        <v>-1.3917665366288938E-2</v>
      </c>
      <c r="E999">
        <v>0</v>
      </c>
      <c r="F999">
        <v>528.19286432500007</v>
      </c>
      <c r="G999">
        <v>8.7197243244184737</v>
      </c>
      <c r="H999">
        <v>545.63231297383697</v>
      </c>
      <c r="I999">
        <v>510.75341567616312</v>
      </c>
    </row>
    <row r="1000" spans="1:9" x14ac:dyDescent="0.25">
      <c r="A1000" s="1">
        <v>41627</v>
      </c>
      <c r="B1000" t="s">
        <v>0</v>
      </c>
      <c r="C1000">
        <v>541.08283719999997</v>
      </c>
      <c r="D1000">
        <v>-1.355233595992839E-3</v>
      </c>
      <c r="E1000">
        <v>0</v>
      </c>
      <c r="F1000">
        <v>529.78465174000007</v>
      </c>
      <c r="G1000">
        <v>8.4044354049492416</v>
      </c>
      <c r="H1000">
        <v>546.59352254989858</v>
      </c>
      <c r="I1000">
        <v>512.97578093010156</v>
      </c>
    </row>
    <row r="1001" spans="1:9" x14ac:dyDescent="0.25">
      <c r="A1001" s="1">
        <v>41628</v>
      </c>
      <c r="B1001" t="s">
        <v>0</v>
      </c>
      <c r="C1001">
        <v>548.25594509999996</v>
      </c>
      <c r="D1001">
        <v>-1.3256949595961036E-2</v>
      </c>
      <c r="E1001">
        <v>0</v>
      </c>
      <c r="F1001">
        <v>531.44219241999997</v>
      </c>
      <c r="G1001">
        <v>7.6599511059731418</v>
      </c>
      <c r="H1001">
        <v>546.7620946319463</v>
      </c>
      <c r="I1001">
        <v>516.12229020805364</v>
      </c>
    </row>
    <row r="1002" spans="1:9" x14ac:dyDescent="0.25">
      <c r="A1002" s="1">
        <v>41631</v>
      </c>
      <c r="B1002" t="s">
        <v>0</v>
      </c>
      <c r="C1002">
        <v>555.46890919999998</v>
      </c>
      <c r="D1002">
        <v>-1.3156198604803824E-2</v>
      </c>
      <c r="E1002">
        <v>0</v>
      </c>
      <c r="F1002">
        <v>533.51467828499995</v>
      </c>
      <c r="G1002">
        <v>7.9849974696642532</v>
      </c>
      <c r="H1002">
        <v>549.4846732243285</v>
      </c>
      <c r="I1002">
        <v>517.54468334567139</v>
      </c>
    </row>
    <row r="1003" spans="1:9" x14ac:dyDescent="0.25">
      <c r="A1003" s="1">
        <v>41632</v>
      </c>
      <c r="B1003" t="s">
        <v>0</v>
      </c>
      <c r="C1003">
        <v>553.84500500000001</v>
      </c>
      <c r="D1003">
        <v>2.9234835165459698E-3</v>
      </c>
      <c r="E1003">
        <v>1</v>
      </c>
      <c r="F1003">
        <v>535.15627657499977</v>
      </c>
      <c r="G1003">
        <v>8.4587672163469527</v>
      </c>
      <c r="H1003">
        <v>552.07381100769362</v>
      </c>
      <c r="I1003">
        <v>518.23874214230591</v>
      </c>
    </row>
    <row r="1004" spans="1:9" x14ac:dyDescent="0.25">
      <c r="A1004" s="1">
        <v>41634</v>
      </c>
      <c r="B1004" t="s">
        <v>0</v>
      </c>
      <c r="C1004">
        <v>556.64450920000002</v>
      </c>
      <c r="D1004">
        <v>-5.0546708460429308E-3</v>
      </c>
      <c r="E1004">
        <v>0</v>
      </c>
      <c r="F1004">
        <v>536.62701577999997</v>
      </c>
      <c r="G1004">
        <v>9.0097551001323541</v>
      </c>
      <c r="H1004">
        <v>554.64652598026464</v>
      </c>
      <c r="I1004">
        <v>518.60750557973529</v>
      </c>
    </row>
    <row r="1005" spans="1:9" x14ac:dyDescent="0.25">
      <c r="A1005" s="1">
        <v>41635</v>
      </c>
      <c r="B1005" t="s">
        <v>0</v>
      </c>
      <c r="C1005">
        <v>557.11277159999997</v>
      </c>
      <c r="D1005">
        <v>-8.4122342403581145E-4</v>
      </c>
      <c r="E1005">
        <v>0</v>
      </c>
      <c r="F1005">
        <v>538.00410553499989</v>
      </c>
      <c r="G1005">
        <v>9.9343651881966366</v>
      </c>
      <c r="H1005">
        <v>557.87283591139317</v>
      </c>
      <c r="I1005">
        <v>518.13537515860662</v>
      </c>
    </row>
    <row r="1006" spans="1:9" x14ac:dyDescent="0.25">
      <c r="A1006" s="1">
        <v>41638</v>
      </c>
      <c r="B1006" t="s">
        <v>0</v>
      </c>
      <c r="C1006">
        <v>552.65945620000002</v>
      </c>
      <c r="D1006">
        <v>7.9935618550087302E-3</v>
      </c>
      <c r="E1006">
        <v>1</v>
      </c>
      <c r="F1006">
        <v>539.24620361999985</v>
      </c>
      <c r="G1006">
        <v>10.720801836539556</v>
      </c>
      <c r="H1006">
        <v>560.687807293079</v>
      </c>
      <c r="I1006">
        <v>517.80459994692069</v>
      </c>
    </row>
    <row r="1007" spans="1:9" x14ac:dyDescent="0.25">
      <c r="A1007" s="1">
        <v>41639</v>
      </c>
      <c r="B1007" t="s">
        <v>0</v>
      </c>
      <c r="C1007">
        <v>558.26346950000004</v>
      </c>
      <c r="D1007">
        <v>-1.014008398324049E-2</v>
      </c>
      <c r="E1007">
        <v>0</v>
      </c>
      <c r="F1007">
        <v>540.89577310499976</v>
      </c>
      <c r="G1007">
        <v>10.960003153989414</v>
      </c>
      <c r="H1007">
        <v>562.8157794129786</v>
      </c>
      <c r="I1007">
        <v>518.97576679702092</v>
      </c>
    </row>
    <row r="1008" spans="1:9" x14ac:dyDescent="0.25">
      <c r="A1008" s="1">
        <v>41641</v>
      </c>
      <c r="B1008" t="s">
        <v>0</v>
      </c>
      <c r="C1008">
        <v>554.48264040000004</v>
      </c>
      <c r="D1008">
        <v>6.7724816445293226E-3</v>
      </c>
      <c r="E1008">
        <v>1</v>
      </c>
      <c r="F1008">
        <v>542.38668753999991</v>
      </c>
      <c r="G1008">
        <v>11.190234549237992</v>
      </c>
      <c r="H1008">
        <v>564.76715663847585</v>
      </c>
      <c r="I1008">
        <v>520.00621844152397</v>
      </c>
    </row>
    <row r="1009" spans="1:9" x14ac:dyDescent="0.25">
      <c r="A1009" s="1">
        <v>41642</v>
      </c>
      <c r="B1009" t="s">
        <v>0</v>
      </c>
      <c r="C1009">
        <v>550.43777260000002</v>
      </c>
      <c r="D1009">
        <v>7.2948501996060325E-3</v>
      </c>
      <c r="E1009">
        <v>1</v>
      </c>
      <c r="F1009">
        <v>543.55281809499979</v>
      </c>
      <c r="G1009">
        <v>10.871649099218743</v>
      </c>
      <c r="H1009">
        <v>565.29611629343731</v>
      </c>
      <c r="I1009">
        <v>521.80951989656228</v>
      </c>
    </row>
    <row r="1010" spans="1:9" x14ac:dyDescent="0.25">
      <c r="A1010" s="1">
        <v>41645</v>
      </c>
      <c r="B1010" t="s">
        <v>0</v>
      </c>
      <c r="C1010">
        <v>556.57480699999996</v>
      </c>
      <c r="D1010">
        <v>-1.114937002054126E-2</v>
      </c>
      <c r="E1010">
        <v>0</v>
      </c>
      <c r="F1010">
        <v>545.0467232499999</v>
      </c>
      <c r="G1010">
        <v>10.453937485881484</v>
      </c>
      <c r="H1010">
        <v>565.95459822176292</v>
      </c>
      <c r="I1010">
        <v>524.13884827823688</v>
      </c>
    </row>
    <row r="1011" spans="1:9" x14ac:dyDescent="0.25">
      <c r="A1011" s="1">
        <v>41646</v>
      </c>
      <c r="B1011" t="s">
        <v>0</v>
      </c>
      <c r="C1011">
        <v>567.30456170000002</v>
      </c>
      <c r="D1011">
        <v>-1.9278189679181899E-2</v>
      </c>
      <c r="E1011">
        <v>0</v>
      </c>
      <c r="F1011">
        <v>546.76503369999989</v>
      </c>
      <c r="G1011">
        <v>10.101785733293848</v>
      </c>
      <c r="H1011">
        <v>566.96860516658762</v>
      </c>
      <c r="I1011">
        <v>526.56146223341216</v>
      </c>
    </row>
    <row r="1012" spans="1:9" x14ac:dyDescent="0.25">
      <c r="A1012" s="1">
        <v>41647</v>
      </c>
      <c r="B1012" t="s">
        <v>0</v>
      </c>
      <c r="C1012">
        <v>568.48516649999999</v>
      </c>
      <c r="D1012">
        <v>-2.0810775722693597E-3</v>
      </c>
      <c r="E1012">
        <v>0</v>
      </c>
      <c r="F1012">
        <v>548.33639564999987</v>
      </c>
      <c r="G1012">
        <v>10.772650951768469</v>
      </c>
      <c r="H1012">
        <v>569.88169755353681</v>
      </c>
      <c r="I1012">
        <v>526.79109374646293</v>
      </c>
    </row>
    <row r="1013" spans="1:9" x14ac:dyDescent="0.25">
      <c r="A1013" s="1">
        <v>41648</v>
      </c>
      <c r="B1013" t="s">
        <v>0</v>
      </c>
      <c r="C1013">
        <v>563.01066979999996</v>
      </c>
      <c r="D1013">
        <v>9.6299728165379177E-3</v>
      </c>
      <c r="E1013">
        <v>1</v>
      </c>
      <c r="F1013">
        <v>549.4716423399999</v>
      </c>
      <c r="G1013">
        <v>11.457628451104378</v>
      </c>
      <c r="H1013">
        <v>572.38689924220864</v>
      </c>
      <c r="I1013">
        <v>526.55638543779116</v>
      </c>
    </row>
    <row r="1014" spans="1:9" x14ac:dyDescent="0.25">
      <c r="A1014" s="1">
        <v>41649</v>
      </c>
      <c r="B1014" t="s">
        <v>0</v>
      </c>
      <c r="C1014">
        <v>562.98076289999995</v>
      </c>
      <c r="D1014">
        <v>5.3119597201663024E-5</v>
      </c>
      <c r="E1014">
        <v>1</v>
      </c>
      <c r="F1014">
        <v>550.78895722000004</v>
      </c>
      <c r="G1014">
        <v>11.74636707638048</v>
      </c>
      <c r="H1014">
        <v>574.28169137276097</v>
      </c>
      <c r="I1014">
        <v>527.29622306723911</v>
      </c>
    </row>
    <row r="1015" spans="1:9" x14ac:dyDescent="0.25">
      <c r="A1015" s="1">
        <v>41652</v>
      </c>
      <c r="B1015" t="s">
        <v>0</v>
      </c>
      <c r="C1015">
        <v>559.39420870000004</v>
      </c>
      <c r="D1015">
        <v>6.370651426036337E-3</v>
      </c>
      <c r="E1015">
        <v>1</v>
      </c>
      <c r="F1015">
        <v>552.10951001500007</v>
      </c>
      <c r="G1015">
        <v>11.710487751956975</v>
      </c>
      <c r="H1015">
        <v>575.53048551891402</v>
      </c>
      <c r="I1015">
        <v>528.68853451108612</v>
      </c>
    </row>
    <row r="1016" spans="1:9" x14ac:dyDescent="0.25">
      <c r="A1016" s="1">
        <v>41653</v>
      </c>
      <c r="B1016" t="s">
        <v>0</v>
      </c>
      <c r="C1016">
        <v>572.554937</v>
      </c>
      <c r="D1016">
        <v>-2.3526751073424116E-2</v>
      </c>
      <c r="E1016">
        <v>0</v>
      </c>
      <c r="F1016">
        <v>554.31649317500012</v>
      </c>
      <c r="G1016">
        <v>11.241386159545947</v>
      </c>
      <c r="H1016">
        <v>576.79926549409197</v>
      </c>
      <c r="I1016">
        <v>531.83372085590827</v>
      </c>
    </row>
    <row r="1017" spans="1:9" x14ac:dyDescent="0.25">
      <c r="A1017" s="1">
        <v>41654</v>
      </c>
      <c r="B1017" t="s">
        <v>0</v>
      </c>
      <c r="C1017">
        <v>572.16638639999996</v>
      </c>
      <c r="D1017">
        <v>6.7862588354561772E-4</v>
      </c>
      <c r="E1017">
        <v>1</v>
      </c>
      <c r="F1017">
        <v>556.20043500000008</v>
      </c>
      <c r="G1017">
        <v>10.630446039104172</v>
      </c>
      <c r="H1017">
        <v>577.46132707820846</v>
      </c>
      <c r="I1017">
        <v>534.93954292179171</v>
      </c>
    </row>
    <row r="1018" spans="1:9" x14ac:dyDescent="0.25">
      <c r="A1018" s="1">
        <v>41655</v>
      </c>
      <c r="B1018" t="s">
        <v>0</v>
      </c>
      <c r="C1018">
        <v>575.95215940000003</v>
      </c>
      <c r="D1018">
        <v>-6.6165596057113345E-3</v>
      </c>
      <c r="E1018">
        <v>0</v>
      </c>
      <c r="F1018">
        <v>558.35137556999996</v>
      </c>
      <c r="G1018">
        <v>10.334700748596687</v>
      </c>
      <c r="H1018">
        <v>579.02077706719331</v>
      </c>
      <c r="I1018">
        <v>537.68197407280661</v>
      </c>
    </row>
    <row r="1019" spans="1:9" x14ac:dyDescent="0.25">
      <c r="A1019" s="1">
        <v>41656</v>
      </c>
      <c r="B1019" t="s">
        <v>0</v>
      </c>
      <c r="C1019">
        <v>573.11780380000005</v>
      </c>
      <c r="D1019">
        <v>4.9211649852180074E-3</v>
      </c>
      <c r="E1019">
        <v>1</v>
      </c>
      <c r="F1019">
        <v>559.98973895999984</v>
      </c>
      <c r="G1019">
        <v>9.6268295640253463</v>
      </c>
      <c r="H1019">
        <v>579.24339808805053</v>
      </c>
      <c r="I1019">
        <v>540.73607983194916</v>
      </c>
    </row>
    <row r="1020" spans="1:9" x14ac:dyDescent="0.25">
      <c r="A1020" s="1">
        <v>41660</v>
      </c>
      <c r="B1020" t="s">
        <v>0</v>
      </c>
      <c r="C1020">
        <v>579.67824010000004</v>
      </c>
      <c r="D1020">
        <v>-1.1446924622654677E-2</v>
      </c>
      <c r="E1020">
        <v>0</v>
      </c>
      <c r="F1020">
        <v>561.91950910499986</v>
      </c>
      <c r="G1020">
        <v>9.259171126201549</v>
      </c>
      <c r="H1020">
        <v>580.43785135740291</v>
      </c>
      <c r="I1020">
        <v>543.40116685259682</v>
      </c>
    </row>
    <row r="1021" spans="1:9" x14ac:dyDescent="0.25">
      <c r="A1021" s="1">
        <v>41661</v>
      </c>
      <c r="B1021" t="s">
        <v>0</v>
      </c>
      <c r="C1021">
        <v>580.33577309999998</v>
      </c>
      <c r="D1021">
        <v>-1.1343068525161704E-3</v>
      </c>
      <c r="E1021">
        <v>0</v>
      </c>
      <c r="F1021">
        <v>563.52350050500002</v>
      </c>
      <c r="G1021">
        <v>9.0755341374139995</v>
      </c>
      <c r="H1021">
        <v>581.67456877982806</v>
      </c>
      <c r="I1021">
        <v>545.37243223017197</v>
      </c>
    </row>
    <row r="1022" spans="1:9" x14ac:dyDescent="0.25">
      <c r="A1022" s="1">
        <v>41662</v>
      </c>
      <c r="B1022" t="s">
        <v>0</v>
      </c>
      <c r="C1022">
        <v>577.88496329999998</v>
      </c>
      <c r="D1022">
        <v>4.2230893107078771E-3</v>
      </c>
      <c r="E1022">
        <v>1</v>
      </c>
      <c r="F1022">
        <v>564.64430320999986</v>
      </c>
      <c r="G1022">
        <v>9.2789671661825537</v>
      </c>
      <c r="H1022">
        <v>583.20223754236497</v>
      </c>
      <c r="I1022">
        <v>546.08636887763475</v>
      </c>
    </row>
    <row r="1023" spans="1:9" x14ac:dyDescent="0.25">
      <c r="A1023" s="1">
        <v>41663</v>
      </c>
      <c r="B1023" t="s">
        <v>0</v>
      </c>
      <c r="C1023">
        <v>559.81761019999999</v>
      </c>
      <c r="D1023">
        <v>3.1264618821065612E-2</v>
      </c>
      <c r="E1023">
        <v>1</v>
      </c>
      <c r="F1023">
        <v>564.94293346999996</v>
      </c>
      <c r="G1023">
        <v>9.5260050872488282</v>
      </c>
      <c r="H1023">
        <v>583.99494364449765</v>
      </c>
      <c r="I1023">
        <v>545.89092329550226</v>
      </c>
    </row>
    <row r="1024" spans="1:9" x14ac:dyDescent="0.25">
      <c r="A1024" s="1">
        <v>41666</v>
      </c>
      <c r="B1024" t="s">
        <v>0</v>
      </c>
      <c r="C1024">
        <v>548.55977829999995</v>
      </c>
      <c r="D1024">
        <v>2.010982093967726E-2</v>
      </c>
      <c r="E1024">
        <v>1</v>
      </c>
      <c r="F1024">
        <v>564.53869692499984</v>
      </c>
      <c r="G1024">
        <v>9.2770375778824246</v>
      </c>
      <c r="H1024">
        <v>583.09277208076469</v>
      </c>
      <c r="I1024">
        <v>545.98462176923499</v>
      </c>
    </row>
    <row r="1025" spans="1:9" x14ac:dyDescent="0.25">
      <c r="A1025" s="1">
        <v>41667</v>
      </c>
      <c r="B1025" t="s">
        <v>0</v>
      </c>
      <c r="C1025">
        <v>559.4091621</v>
      </c>
      <c r="D1025">
        <v>-1.9777942585624046E-2</v>
      </c>
      <c r="E1025">
        <v>0</v>
      </c>
      <c r="F1025">
        <v>564.6535164500001</v>
      </c>
      <c r="G1025">
        <v>9.7840171593321195</v>
      </c>
      <c r="H1025">
        <v>584.22155076866432</v>
      </c>
      <c r="I1025">
        <v>545.08548213133588</v>
      </c>
    </row>
    <row r="1026" spans="1:9" x14ac:dyDescent="0.25">
      <c r="A1026" s="1">
        <v>41668</v>
      </c>
      <c r="B1026" t="s">
        <v>0</v>
      </c>
      <c r="C1026">
        <v>551.39419520000001</v>
      </c>
      <c r="D1026">
        <v>1.4327557435620324E-2</v>
      </c>
      <c r="E1026">
        <v>1</v>
      </c>
      <c r="F1026">
        <v>564.59025339999994</v>
      </c>
      <c r="G1026">
        <v>9.7089142014119574</v>
      </c>
      <c r="H1026">
        <v>584.00808180282388</v>
      </c>
      <c r="I1026">
        <v>545.17242499717599</v>
      </c>
    </row>
    <row r="1027" spans="1:9" x14ac:dyDescent="0.25">
      <c r="A1027" s="1">
        <v>41669</v>
      </c>
      <c r="B1027" t="s">
        <v>0</v>
      </c>
      <c r="C1027">
        <v>565.57604309999999</v>
      </c>
      <c r="D1027">
        <v>-2.5719980412300104E-2</v>
      </c>
      <c r="E1027">
        <v>0</v>
      </c>
      <c r="F1027">
        <v>564.95588208000004</v>
      </c>
      <c r="G1027">
        <v>9.7972598624069551</v>
      </c>
      <c r="H1027">
        <v>584.55040180481399</v>
      </c>
      <c r="I1027">
        <v>545.36136235518609</v>
      </c>
    </row>
    <row r="1028" spans="1:9" x14ac:dyDescent="0.25">
      <c r="A1028" s="1">
        <v>41670</v>
      </c>
      <c r="B1028" t="s">
        <v>0</v>
      </c>
      <c r="C1028">
        <v>588.28097700000001</v>
      </c>
      <c r="D1028">
        <v>-4.0144794280095659E-2</v>
      </c>
      <c r="E1028">
        <v>0</v>
      </c>
      <c r="F1028">
        <v>566.64579891000005</v>
      </c>
      <c r="G1028">
        <v>9.8296454860456191</v>
      </c>
      <c r="H1028">
        <v>586.30508988209124</v>
      </c>
      <c r="I1028">
        <v>546.98650793790887</v>
      </c>
    </row>
    <row r="1029" spans="1:9" x14ac:dyDescent="0.25">
      <c r="A1029" s="1">
        <v>41673</v>
      </c>
      <c r="B1029" t="s">
        <v>0</v>
      </c>
      <c r="C1029">
        <v>564.59972310000001</v>
      </c>
      <c r="D1029">
        <v>4.0255005390051904E-2</v>
      </c>
      <c r="E1029">
        <v>1</v>
      </c>
      <c r="F1029">
        <v>567.35389643500002</v>
      </c>
      <c r="G1029">
        <v>10.636270859120671</v>
      </c>
      <c r="H1029">
        <v>588.62643815324134</v>
      </c>
      <c r="I1029">
        <v>546.08135471675871</v>
      </c>
    </row>
    <row r="1030" spans="1:9" x14ac:dyDescent="0.25">
      <c r="A1030" s="1">
        <v>41674</v>
      </c>
      <c r="B1030" t="s">
        <v>0</v>
      </c>
      <c r="C1030">
        <v>566.95586719999994</v>
      </c>
      <c r="D1030">
        <v>-4.1731230172470796E-3</v>
      </c>
      <c r="E1030">
        <v>0</v>
      </c>
      <c r="F1030">
        <v>567.87294944500013</v>
      </c>
      <c r="G1030">
        <v>9.973524205298661</v>
      </c>
      <c r="H1030">
        <v>587.81999785559742</v>
      </c>
      <c r="I1030">
        <v>547.92590103440284</v>
      </c>
    </row>
    <row r="1031" spans="1:9" x14ac:dyDescent="0.25">
      <c r="A1031" s="1">
        <v>41675</v>
      </c>
      <c r="B1031" t="s">
        <v>0</v>
      </c>
      <c r="C1031">
        <v>569.46649179999997</v>
      </c>
      <c r="D1031">
        <v>-4.4282540233671801E-3</v>
      </c>
      <c r="E1031">
        <v>0</v>
      </c>
      <c r="F1031">
        <v>567.98104595000007</v>
      </c>
      <c r="G1031">
        <v>9.651037290618067</v>
      </c>
      <c r="H1031">
        <v>587.28312053123625</v>
      </c>
      <c r="I1031">
        <v>548.67897136876388</v>
      </c>
    </row>
    <row r="1032" spans="1:9" x14ac:dyDescent="0.25">
      <c r="A1032" s="1">
        <v>41676</v>
      </c>
      <c r="B1032" t="s">
        <v>0</v>
      </c>
      <c r="C1032">
        <v>577.81519979999996</v>
      </c>
      <c r="D1032">
        <v>-1.4660578137988326E-2</v>
      </c>
      <c r="E1032">
        <v>0</v>
      </c>
      <c r="F1032">
        <v>568.44754761500008</v>
      </c>
      <c r="G1032">
        <v>9.6668293928251146</v>
      </c>
      <c r="H1032">
        <v>587.78120640065026</v>
      </c>
      <c r="I1032">
        <v>549.11388882934989</v>
      </c>
    </row>
    <row r="1033" spans="1:9" x14ac:dyDescent="0.25">
      <c r="A1033" s="1">
        <v>41677</v>
      </c>
      <c r="B1033" t="s">
        <v>0</v>
      </c>
      <c r="C1033">
        <v>586.52255100000002</v>
      </c>
      <c r="D1033">
        <v>-1.5069439507672956E-2</v>
      </c>
      <c r="E1033">
        <v>0</v>
      </c>
      <c r="F1033">
        <v>569.62314167499994</v>
      </c>
      <c r="G1033">
        <v>9.9607824249817831</v>
      </c>
      <c r="H1033">
        <v>589.54470652496354</v>
      </c>
      <c r="I1033">
        <v>549.70157682503634</v>
      </c>
    </row>
    <row r="1034" spans="1:9" x14ac:dyDescent="0.25">
      <c r="A1034" s="1">
        <v>41680</v>
      </c>
      <c r="B1034" t="s">
        <v>0</v>
      </c>
      <c r="C1034">
        <v>584.27596519999997</v>
      </c>
      <c r="D1034">
        <v>3.8303485452855978E-3</v>
      </c>
      <c r="E1034">
        <v>1</v>
      </c>
      <c r="F1034">
        <v>570.68790178999984</v>
      </c>
      <c r="G1034">
        <v>10.603969218275397</v>
      </c>
      <c r="H1034">
        <v>591.8958402265506</v>
      </c>
      <c r="I1034">
        <v>549.47996335344908</v>
      </c>
    </row>
    <row r="1035" spans="1:9" x14ac:dyDescent="0.25">
      <c r="A1035" s="1">
        <v>41681</v>
      </c>
      <c r="B1035" t="s">
        <v>0</v>
      </c>
      <c r="C1035">
        <v>592.86881459999995</v>
      </c>
      <c r="D1035">
        <v>-1.4706833605689413E-2</v>
      </c>
      <c r="E1035">
        <v>0</v>
      </c>
      <c r="F1035">
        <v>572.361632085</v>
      </c>
      <c r="G1035">
        <v>11.023035432708848</v>
      </c>
      <c r="H1035">
        <v>594.40770295041773</v>
      </c>
      <c r="I1035">
        <v>550.31556121958226</v>
      </c>
    </row>
    <row r="1036" spans="1:9" x14ac:dyDescent="0.25">
      <c r="A1036" s="1">
        <v>41682</v>
      </c>
      <c r="B1036" t="s">
        <v>0</v>
      </c>
      <c r="C1036">
        <v>591.13028610000003</v>
      </c>
      <c r="D1036">
        <v>2.932399979872235E-3</v>
      </c>
      <c r="E1036">
        <v>1</v>
      </c>
      <c r="F1036">
        <v>573.29039953999995</v>
      </c>
      <c r="G1036">
        <v>11.61849570336477</v>
      </c>
      <c r="H1036">
        <v>596.5273909467295</v>
      </c>
      <c r="I1036">
        <v>550.05340813327041</v>
      </c>
    </row>
    <row r="1037" spans="1:9" x14ac:dyDescent="0.25">
      <c r="A1037" s="1">
        <v>41683</v>
      </c>
      <c r="B1037" t="s">
        <v>0</v>
      </c>
      <c r="C1037">
        <v>597.71068060000005</v>
      </c>
      <c r="D1037">
        <v>-1.1131885228575181E-2</v>
      </c>
      <c r="E1037">
        <v>0</v>
      </c>
      <c r="F1037">
        <v>574.56761424999991</v>
      </c>
      <c r="G1037">
        <v>12.3493624204184</v>
      </c>
      <c r="H1037">
        <v>599.26633909083671</v>
      </c>
      <c r="I1037">
        <v>549.8688894091631</v>
      </c>
    </row>
    <row r="1038" spans="1:9" x14ac:dyDescent="0.25">
      <c r="A1038" s="1">
        <v>41684</v>
      </c>
      <c r="B1038" t="s">
        <v>0</v>
      </c>
      <c r="C1038">
        <v>599.15526299999999</v>
      </c>
      <c r="D1038">
        <v>-2.4168589367515223E-3</v>
      </c>
      <c r="E1038">
        <v>0</v>
      </c>
      <c r="F1038">
        <v>575.72776942999997</v>
      </c>
      <c r="G1038">
        <v>13.429240241993126</v>
      </c>
      <c r="H1038">
        <v>602.58624991398619</v>
      </c>
      <c r="I1038">
        <v>548.86928894601374</v>
      </c>
    </row>
    <row r="1039" spans="1:9" x14ac:dyDescent="0.25">
      <c r="A1039" s="1">
        <v>41688</v>
      </c>
      <c r="B1039" t="s">
        <v>0</v>
      </c>
      <c r="C1039">
        <v>603.18017259999999</v>
      </c>
      <c r="D1039">
        <v>-6.7176403989962132E-3</v>
      </c>
      <c r="E1039">
        <v>0</v>
      </c>
      <c r="F1039">
        <v>577.23088787000006</v>
      </c>
      <c r="G1039">
        <v>14.492884934598896</v>
      </c>
      <c r="H1039">
        <v>606.2166577391979</v>
      </c>
      <c r="I1039">
        <v>548.24511800080222</v>
      </c>
    </row>
    <row r="1040" spans="1:9" x14ac:dyDescent="0.25">
      <c r="A1040" s="1">
        <v>41689</v>
      </c>
      <c r="B1040" t="s">
        <v>0</v>
      </c>
      <c r="C1040">
        <v>598.92613679999999</v>
      </c>
      <c r="D1040">
        <v>7.0526784421030171E-3</v>
      </c>
      <c r="E1040">
        <v>1</v>
      </c>
      <c r="F1040">
        <v>578.19328270500012</v>
      </c>
      <c r="G1040">
        <v>15.613850051077874</v>
      </c>
      <c r="H1040">
        <v>609.42098280715584</v>
      </c>
      <c r="I1040">
        <v>546.96558260284439</v>
      </c>
    </row>
    <row r="1041" spans="1:9" x14ac:dyDescent="0.25">
      <c r="A1041" s="1">
        <v>41690</v>
      </c>
      <c r="B1041" t="s">
        <v>0</v>
      </c>
      <c r="C1041">
        <v>599.80779110000003</v>
      </c>
      <c r="D1041">
        <v>-1.4720584823875338E-3</v>
      </c>
      <c r="E1041">
        <v>0</v>
      </c>
      <c r="F1041">
        <v>579.16688360500007</v>
      </c>
      <c r="G1041">
        <v>16.313262063517673</v>
      </c>
      <c r="H1041">
        <v>611.79340773203546</v>
      </c>
      <c r="I1041">
        <v>546.54035947796467</v>
      </c>
    </row>
    <row r="1042" spans="1:9" x14ac:dyDescent="0.25">
      <c r="A1042" s="1">
        <v>41691</v>
      </c>
      <c r="B1042" t="s">
        <v>0</v>
      </c>
      <c r="C1042">
        <v>599.64842799999997</v>
      </c>
      <c r="D1042">
        <v>2.6569028006089224E-4</v>
      </c>
      <c r="E1042">
        <v>1</v>
      </c>
      <c r="F1042">
        <v>580.25505684000007</v>
      </c>
      <c r="G1042">
        <v>16.986485160875887</v>
      </c>
      <c r="H1042">
        <v>614.22802716175181</v>
      </c>
      <c r="I1042">
        <v>546.28208651824832</v>
      </c>
    </row>
    <row r="1043" spans="1:9" x14ac:dyDescent="0.25">
      <c r="A1043" s="1">
        <v>41694</v>
      </c>
      <c r="B1043" t="s">
        <v>0</v>
      </c>
      <c r="C1043">
        <v>603.99212469999998</v>
      </c>
      <c r="D1043">
        <v>-7.2437389930087668E-3</v>
      </c>
      <c r="E1043">
        <v>0</v>
      </c>
      <c r="F1043">
        <v>582.46378256499997</v>
      </c>
      <c r="G1043">
        <v>17.661920125710896</v>
      </c>
      <c r="H1043">
        <v>617.78762281642173</v>
      </c>
      <c r="I1043">
        <v>547.13994231357822</v>
      </c>
    </row>
    <row r="1044" spans="1:9" x14ac:dyDescent="0.25">
      <c r="A1044" s="1">
        <v>41695</v>
      </c>
      <c r="B1044" t="s">
        <v>0</v>
      </c>
      <c r="C1044">
        <v>607.72314889999996</v>
      </c>
      <c r="D1044">
        <v>-6.1772729269494384E-3</v>
      </c>
      <c r="E1044">
        <v>0</v>
      </c>
      <c r="F1044">
        <v>585.42195109500017</v>
      </c>
      <c r="G1044">
        <v>17.83886776658461</v>
      </c>
      <c r="H1044">
        <v>621.09968662816937</v>
      </c>
      <c r="I1044">
        <v>549.74421556183097</v>
      </c>
    </row>
    <row r="1045" spans="1:9" x14ac:dyDescent="0.25">
      <c r="A1045" s="1">
        <v>41696</v>
      </c>
      <c r="B1045" t="s">
        <v>0</v>
      </c>
      <c r="C1045">
        <v>607.8078051</v>
      </c>
      <c r="D1045">
        <v>-1.3930060119195892E-4</v>
      </c>
      <c r="E1045">
        <v>0</v>
      </c>
      <c r="F1045">
        <v>587.84188324499996</v>
      </c>
      <c r="G1045">
        <v>16.76327703114038</v>
      </c>
      <c r="H1045">
        <v>621.36843730728071</v>
      </c>
      <c r="I1045">
        <v>554.31532918271921</v>
      </c>
    </row>
    <row r="1046" spans="1:9" x14ac:dyDescent="0.25">
      <c r="A1046" s="1">
        <v>41697</v>
      </c>
      <c r="B1046" t="s">
        <v>0</v>
      </c>
      <c r="C1046">
        <v>607.32965490000004</v>
      </c>
      <c r="D1046">
        <v>7.8667992741766641E-4</v>
      </c>
      <c r="E1046">
        <v>1</v>
      </c>
      <c r="F1046">
        <v>590.63865623000004</v>
      </c>
      <c r="G1046">
        <v>16.381096304671331</v>
      </c>
      <c r="H1046">
        <v>623.40084883934264</v>
      </c>
      <c r="I1046">
        <v>557.87646362065743</v>
      </c>
    </row>
    <row r="1047" spans="1:9" x14ac:dyDescent="0.25">
      <c r="A1047" s="1">
        <v>41698</v>
      </c>
      <c r="B1047" t="s">
        <v>0</v>
      </c>
      <c r="C1047">
        <v>605.55627489999995</v>
      </c>
      <c r="D1047">
        <v>2.9199628005849385E-3</v>
      </c>
      <c r="E1047">
        <v>1</v>
      </c>
      <c r="F1047">
        <v>592.63766782000005</v>
      </c>
      <c r="G1047">
        <v>14.465802751081902</v>
      </c>
      <c r="H1047">
        <v>621.56927332216389</v>
      </c>
      <c r="I1047">
        <v>563.7060623178362</v>
      </c>
    </row>
    <row r="1048" spans="1:9" x14ac:dyDescent="0.25">
      <c r="A1048" s="1">
        <v>41701</v>
      </c>
      <c r="B1048" t="s">
        <v>0</v>
      </c>
      <c r="C1048">
        <v>599.10045339999999</v>
      </c>
      <c r="D1048">
        <v>1.0660976968764883E-2</v>
      </c>
      <c r="E1048">
        <v>1</v>
      </c>
      <c r="F1048">
        <v>593.17864164000002</v>
      </c>
      <c r="G1048">
        <v>13.464027841890386</v>
      </c>
      <c r="H1048">
        <v>620.10669732378085</v>
      </c>
      <c r="I1048">
        <v>566.2505859562192</v>
      </c>
    </row>
    <row r="1049" spans="1:9" x14ac:dyDescent="0.25">
      <c r="A1049" s="1">
        <v>41702</v>
      </c>
      <c r="B1049" t="s">
        <v>0</v>
      </c>
      <c r="C1049">
        <v>605.18762219999996</v>
      </c>
      <c r="D1049">
        <v>-1.0160514427011736E-2</v>
      </c>
      <c r="E1049">
        <v>0</v>
      </c>
      <c r="F1049">
        <v>595.20803659500007</v>
      </c>
      <c r="G1049">
        <v>13.636441118940368</v>
      </c>
      <c r="H1049">
        <v>622.48091883288077</v>
      </c>
      <c r="I1049">
        <v>567.93515435711936</v>
      </c>
    </row>
    <row r="1050" spans="1:9" x14ac:dyDescent="0.25">
      <c r="A1050" s="1">
        <v>41703</v>
      </c>
      <c r="B1050" t="s">
        <v>0</v>
      </c>
      <c r="C1050">
        <v>606.85638730000005</v>
      </c>
      <c r="D1050">
        <v>-2.7574342877895149E-3</v>
      </c>
      <c r="E1050">
        <v>0</v>
      </c>
      <c r="F1050">
        <v>597.20306259999995</v>
      </c>
      <c r="G1050">
        <v>12.168353168893466</v>
      </c>
      <c r="H1050">
        <v>621.5397689377869</v>
      </c>
      <c r="I1050">
        <v>572.866356262213</v>
      </c>
    </row>
    <row r="1051" spans="1:9" x14ac:dyDescent="0.25">
      <c r="A1051" s="1">
        <v>41704</v>
      </c>
      <c r="B1051" t="s">
        <v>0</v>
      </c>
      <c r="C1051">
        <v>607.5288736</v>
      </c>
      <c r="D1051">
        <v>-1.1081473542561588E-3</v>
      </c>
      <c r="E1051">
        <v>0</v>
      </c>
      <c r="F1051">
        <v>599.10618168999997</v>
      </c>
      <c r="G1051">
        <v>10.516908933880455</v>
      </c>
      <c r="H1051">
        <v>620.13999955776092</v>
      </c>
      <c r="I1051">
        <v>578.07236382223903</v>
      </c>
    </row>
    <row r="1052" spans="1:9" x14ac:dyDescent="0.25">
      <c r="A1052" s="1">
        <v>41705</v>
      </c>
      <c r="B1052" t="s">
        <v>0</v>
      </c>
      <c r="C1052">
        <v>605.12786870000002</v>
      </c>
      <c r="D1052">
        <v>3.9520836034878052E-3</v>
      </c>
      <c r="E1052">
        <v>1</v>
      </c>
      <c r="F1052">
        <v>600.47181513500004</v>
      </c>
      <c r="G1052">
        <v>8.490692218035452</v>
      </c>
      <c r="H1052">
        <v>617.45319957107097</v>
      </c>
      <c r="I1052">
        <v>583.49043069892912</v>
      </c>
    </row>
    <row r="1053" spans="1:9" x14ac:dyDescent="0.25">
      <c r="A1053" s="1">
        <v>41708</v>
      </c>
      <c r="B1053" t="s">
        <v>0</v>
      </c>
      <c r="C1053">
        <v>603.52386190000004</v>
      </c>
      <c r="D1053">
        <v>2.6506906770727267E-3</v>
      </c>
      <c r="E1053">
        <v>1</v>
      </c>
      <c r="F1053">
        <v>601.32188068000005</v>
      </c>
      <c r="G1053">
        <v>6.9449475584991598</v>
      </c>
      <c r="H1053">
        <v>615.21177579699838</v>
      </c>
      <c r="I1053">
        <v>587.43198556300172</v>
      </c>
    </row>
    <row r="1054" spans="1:9" x14ac:dyDescent="0.25">
      <c r="A1054" s="1">
        <v>41709</v>
      </c>
      <c r="B1054" t="s">
        <v>0</v>
      </c>
      <c r="C1054">
        <v>597.75548070000002</v>
      </c>
      <c r="D1054">
        <v>9.5578345184896846E-3</v>
      </c>
      <c r="E1054">
        <v>1</v>
      </c>
      <c r="F1054">
        <v>601.99585645500008</v>
      </c>
      <c r="G1054">
        <v>6.1626267168623432</v>
      </c>
      <c r="H1054">
        <v>614.32110988872478</v>
      </c>
      <c r="I1054">
        <v>589.67060302127538</v>
      </c>
    </row>
    <row r="1055" spans="1:9" x14ac:dyDescent="0.25">
      <c r="A1055" s="1">
        <v>41710</v>
      </c>
      <c r="B1055" t="s">
        <v>0</v>
      </c>
      <c r="C1055">
        <v>601.39684399999999</v>
      </c>
      <c r="D1055">
        <v>-6.0917271653214405E-3</v>
      </c>
      <c r="E1055">
        <v>0</v>
      </c>
      <c r="F1055">
        <v>602.42225792500005</v>
      </c>
      <c r="G1055">
        <v>4.8331251057397537</v>
      </c>
      <c r="H1055">
        <v>612.0885081364795</v>
      </c>
      <c r="I1055">
        <v>592.7560077135206</v>
      </c>
    </row>
    <row r="1056" spans="1:9" x14ac:dyDescent="0.25">
      <c r="A1056" s="1">
        <v>41711</v>
      </c>
      <c r="B1056" t="s">
        <v>0</v>
      </c>
      <c r="C1056">
        <v>592.31089139999995</v>
      </c>
      <c r="D1056">
        <v>1.5108081611416042E-2</v>
      </c>
      <c r="E1056">
        <v>1</v>
      </c>
      <c r="F1056">
        <v>602.48128818999999</v>
      </c>
      <c r="G1056">
        <v>4.341859345671808</v>
      </c>
      <c r="H1056">
        <v>611.16500688134363</v>
      </c>
      <c r="I1056">
        <v>593.79756949865634</v>
      </c>
    </row>
    <row r="1057" spans="1:9" x14ac:dyDescent="0.25">
      <c r="A1057" s="1">
        <v>41712</v>
      </c>
      <c r="B1057" t="s">
        <v>0</v>
      </c>
      <c r="C1057">
        <v>584.21126770000001</v>
      </c>
      <c r="D1057">
        <v>1.3674615506149949E-2</v>
      </c>
      <c r="E1057">
        <v>1</v>
      </c>
      <c r="F1057">
        <v>601.80631754500007</v>
      </c>
      <c r="G1057">
        <v>4.2469888238788949</v>
      </c>
      <c r="H1057">
        <v>610.30029519275786</v>
      </c>
      <c r="I1057">
        <v>593.31233989724228</v>
      </c>
    </row>
    <row r="1058" spans="1:9" x14ac:dyDescent="0.25">
      <c r="A1058" s="1">
        <v>41715</v>
      </c>
      <c r="B1058" t="s">
        <v>0</v>
      </c>
      <c r="C1058">
        <v>593.8252367</v>
      </c>
      <c r="D1058">
        <v>-1.6456322449667118E-2</v>
      </c>
      <c r="E1058">
        <v>0</v>
      </c>
      <c r="F1058">
        <v>601.53981623000004</v>
      </c>
      <c r="G1058">
        <v>5.7226317262417217</v>
      </c>
      <c r="H1058">
        <v>612.9850796824835</v>
      </c>
      <c r="I1058">
        <v>590.09455277751658</v>
      </c>
    </row>
    <row r="1059" spans="1:9" x14ac:dyDescent="0.25">
      <c r="A1059" s="1">
        <v>41716</v>
      </c>
      <c r="B1059" t="s">
        <v>0</v>
      </c>
      <c r="C1059">
        <v>603.36944270000004</v>
      </c>
      <c r="D1059">
        <v>-1.6072415603349904E-2</v>
      </c>
      <c r="E1059">
        <v>0</v>
      </c>
      <c r="F1059">
        <v>601.54927973500014</v>
      </c>
      <c r="G1059">
        <v>5.9531534158809318</v>
      </c>
      <c r="H1059">
        <v>613.45558656676201</v>
      </c>
      <c r="I1059">
        <v>589.64297290323827</v>
      </c>
    </row>
    <row r="1060" spans="1:9" x14ac:dyDescent="0.25">
      <c r="A1060" s="1">
        <v>41717</v>
      </c>
      <c r="B1060" t="s">
        <v>0</v>
      </c>
      <c r="C1060">
        <v>597.38688879999995</v>
      </c>
      <c r="D1060">
        <v>9.9152417683416837E-3</v>
      </c>
      <c r="E1060">
        <v>1</v>
      </c>
      <c r="F1060">
        <v>601.47231733500007</v>
      </c>
      <c r="G1060">
        <v>5.9563930266673157</v>
      </c>
      <c r="H1060">
        <v>613.38510338833476</v>
      </c>
      <c r="I1060">
        <v>589.55953128166539</v>
      </c>
    </row>
    <row r="1061" spans="1:9" x14ac:dyDescent="0.25">
      <c r="A1061" s="1">
        <v>41718</v>
      </c>
      <c r="B1061" t="s">
        <v>0</v>
      </c>
      <c r="C1061">
        <v>596.3457492</v>
      </c>
      <c r="D1061">
        <v>1.7428229837640713E-3</v>
      </c>
      <c r="E1061">
        <v>1</v>
      </c>
      <c r="F1061">
        <v>601.29921524000008</v>
      </c>
      <c r="G1061">
        <v>6.0015803563156096</v>
      </c>
      <c r="H1061">
        <v>613.30237595263134</v>
      </c>
      <c r="I1061">
        <v>589.29605452736882</v>
      </c>
    </row>
    <row r="1062" spans="1:9" x14ac:dyDescent="0.25">
      <c r="A1062" s="1">
        <v>41719</v>
      </c>
      <c r="B1062" t="s">
        <v>0</v>
      </c>
      <c r="C1062">
        <v>589.31210650000003</v>
      </c>
      <c r="D1062">
        <v>1.1794571705148617E-2</v>
      </c>
      <c r="E1062">
        <v>1</v>
      </c>
      <c r="F1062">
        <v>600.78239916500002</v>
      </c>
      <c r="G1062">
        <v>6.1156920802877854</v>
      </c>
      <c r="H1062">
        <v>613.01378332557556</v>
      </c>
      <c r="I1062">
        <v>588.55101500442447</v>
      </c>
    </row>
    <row r="1063" spans="1:9" x14ac:dyDescent="0.25">
      <c r="A1063" s="1">
        <v>41722</v>
      </c>
      <c r="B1063" t="s">
        <v>0</v>
      </c>
      <c r="C1063">
        <v>576.80396759999996</v>
      </c>
      <c r="D1063">
        <v>2.1224982080017836E-2</v>
      </c>
      <c r="E1063">
        <v>1</v>
      </c>
      <c r="F1063">
        <v>599.42299131000004</v>
      </c>
      <c r="G1063">
        <v>6.7648921275963732</v>
      </c>
      <c r="H1063">
        <v>612.95277556519284</v>
      </c>
      <c r="I1063">
        <v>585.89320705480725</v>
      </c>
    </row>
    <row r="1064" spans="1:9" x14ac:dyDescent="0.25">
      <c r="A1064" s="1">
        <v>41723</v>
      </c>
      <c r="B1064" t="s">
        <v>0</v>
      </c>
      <c r="C1064">
        <v>577.19752300000005</v>
      </c>
      <c r="D1064">
        <v>-6.8230355910624295E-4</v>
      </c>
      <c r="E1064">
        <v>0</v>
      </c>
      <c r="F1064">
        <v>597.89671001500005</v>
      </c>
      <c r="G1064">
        <v>8.5223507773605949</v>
      </c>
      <c r="H1064">
        <v>614.94141156972125</v>
      </c>
      <c r="I1064">
        <v>580.85200846027885</v>
      </c>
    </row>
    <row r="1065" spans="1:9" x14ac:dyDescent="0.25">
      <c r="A1065" s="1">
        <v>41724</v>
      </c>
      <c r="B1065" t="s">
        <v>0</v>
      </c>
      <c r="C1065">
        <v>563.87242670000001</v>
      </c>
      <c r="D1065">
        <v>2.3085851496282391E-2</v>
      </c>
      <c r="E1065">
        <v>1</v>
      </c>
      <c r="F1065">
        <v>595.69994109499999</v>
      </c>
      <c r="G1065">
        <v>9.6979961103478551</v>
      </c>
      <c r="H1065">
        <v>615.09593331569567</v>
      </c>
      <c r="I1065">
        <v>576.3039488743043</v>
      </c>
    </row>
    <row r="1066" spans="1:9" x14ac:dyDescent="0.25">
      <c r="A1066" s="1">
        <v>41725</v>
      </c>
      <c r="B1066" t="s">
        <v>0</v>
      </c>
      <c r="C1066">
        <v>556.93349009999997</v>
      </c>
      <c r="D1066">
        <v>1.2305862587765427E-2</v>
      </c>
      <c r="E1066">
        <v>1</v>
      </c>
      <c r="F1066">
        <v>593.18013285500001</v>
      </c>
      <c r="G1066">
        <v>11.988330876844858</v>
      </c>
      <c r="H1066">
        <v>617.15679460868978</v>
      </c>
      <c r="I1066">
        <v>569.20347110131024</v>
      </c>
    </row>
    <row r="1067" spans="1:9" x14ac:dyDescent="0.25">
      <c r="A1067" s="1">
        <v>41726</v>
      </c>
      <c r="B1067" t="s">
        <v>0</v>
      </c>
      <c r="C1067">
        <v>558.45931499999995</v>
      </c>
      <c r="D1067">
        <v>-2.7396896166650099E-3</v>
      </c>
      <c r="E1067">
        <v>0</v>
      </c>
      <c r="F1067">
        <v>590.82528486000001</v>
      </c>
      <c r="G1067">
        <v>14.315931444988133</v>
      </c>
      <c r="H1067">
        <v>619.45714774997623</v>
      </c>
      <c r="I1067">
        <v>562.19342197002379</v>
      </c>
    </row>
    <row r="1068" spans="1:9" x14ac:dyDescent="0.25">
      <c r="A1068" s="1">
        <v>41729</v>
      </c>
      <c r="B1068" t="s">
        <v>0</v>
      </c>
      <c r="C1068">
        <v>555.4475218</v>
      </c>
      <c r="D1068">
        <v>5.3930395985962616E-3</v>
      </c>
      <c r="E1068">
        <v>1</v>
      </c>
      <c r="F1068">
        <v>588.64263827999991</v>
      </c>
      <c r="G1068">
        <v>15.85047431788017</v>
      </c>
      <c r="H1068">
        <v>620.34358691576028</v>
      </c>
      <c r="I1068">
        <v>556.94168964423955</v>
      </c>
    </row>
    <row r="1069" spans="1:9" x14ac:dyDescent="0.25">
      <c r="A1069" s="1">
        <v>41730</v>
      </c>
      <c r="B1069" t="s">
        <v>0</v>
      </c>
      <c r="C1069">
        <v>565.60967659999994</v>
      </c>
      <c r="D1069">
        <v>-1.8295436384463744E-2</v>
      </c>
      <c r="E1069">
        <v>0</v>
      </c>
      <c r="F1069">
        <v>586.66374099999996</v>
      </c>
      <c r="G1069">
        <v>17.457979940371207</v>
      </c>
      <c r="H1069">
        <v>621.57970088074239</v>
      </c>
      <c r="I1069">
        <v>551.74778111925752</v>
      </c>
    </row>
    <row r="1070" spans="1:9" x14ac:dyDescent="0.25">
      <c r="A1070" s="1">
        <v>41731</v>
      </c>
      <c r="B1070" t="s">
        <v>0</v>
      </c>
      <c r="C1070">
        <v>565.45013070000005</v>
      </c>
      <c r="D1070">
        <v>2.8207774124191533E-4</v>
      </c>
      <c r="E1070">
        <v>1</v>
      </c>
      <c r="F1070">
        <v>584.59342816999992</v>
      </c>
      <c r="G1070">
        <v>17.722139584848328</v>
      </c>
      <c r="H1070">
        <v>620.03770733969657</v>
      </c>
      <c r="I1070">
        <v>549.14914900030328</v>
      </c>
    </row>
    <row r="1071" spans="1:9" x14ac:dyDescent="0.25">
      <c r="A1071" s="1">
        <v>41732</v>
      </c>
      <c r="B1071" t="s">
        <v>0</v>
      </c>
      <c r="C1071">
        <v>568.18262560000005</v>
      </c>
      <c r="D1071">
        <v>-4.8324242079797715E-3</v>
      </c>
      <c r="E1071">
        <v>0</v>
      </c>
      <c r="F1071">
        <v>582.62611576999996</v>
      </c>
      <c r="G1071">
        <v>17.648962405311092</v>
      </c>
      <c r="H1071">
        <v>617.92404058062209</v>
      </c>
      <c r="I1071">
        <v>547.32819095937782</v>
      </c>
    </row>
    <row r="1072" spans="1:9" x14ac:dyDescent="0.25">
      <c r="A1072" s="1">
        <v>41733</v>
      </c>
      <c r="B1072" t="s">
        <v>0</v>
      </c>
      <c r="C1072">
        <v>541.65534530000002</v>
      </c>
      <c r="D1072">
        <v>4.6687946981812861E-2</v>
      </c>
      <c r="E1072">
        <v>1</v>
      </c>
      <c r="F1072">
        <v>579.45248960000004</v>
      </c>
      <c r="G1072">
        <v>17.348807742567086</v>
      </c>
      <c r="H1072">
        <v>614.15010508513421</v>
      </c>
      <c r="I1072">
        <v>544.75487411486586</v>
      </c>
    </row>
    <row r="1073" spans="1:9" x14ac:dyDescent="0.25">
      <c r="A1073" s="1">
        <v>41736</v>
      </c>
      <c r="B1073" t="s">
        <v>0</v>
      </c>
      <c r="C1073">
        <v>536.67900380000003</v>
      </c>
      <c r="D1073">
        <v>9.1872840232820087E-3</v>
      </c>
      <c r="E1073">
        <v>1</v>
      </c>
      <c r="F1073">
        <v>576.11024669500011</v>
      </c>
      <c r="G1073">
        <v>18.72489436525326</v>
      </c>
      <c r="H1073">
        <v>613.56003542550661</v>
      </c>
      <c r="I1073">
        <v>538.66045796449362</v>
      </c>
    </row>
    <row r="1074" spans="1:9" x14ac:dyDescent="0.25">
      <c r="A1074" s="1">
        <v>41737</v>
      </c>
      <c r="B1074" t="s">
        <v>0</v>
      </c>
      <c r="C1074">
        <v>553.38318149999998</v>
      </c>
      <c r="D1074">
        <v>-3.1125081439230221E-2</v>
      </c>
      <c r="E1074">
        <v>0</v>
      </c>
      <c r="F1074">
        <v>573.89163173500003</v>
      </c>
      <c r="G1074">
        <v>19.892454655282325</v>
      </c>
      <c r="H1074">
        <v>613.6765410455647</v>
      </c>
      <c r="I1074">
        <v>534.10672242443536</v>
      </c>
    </row>
    <row r="1075" spans="1:9" x14ac:dyDescent="0.25">
      <c r="A1075" s="1">
        <v>41738</v>
      </c>
      <c r="B1075" t="s">
        <v>0</v>
      </c>
      <c r="C1075">
        <v>562.59794429999999</v>
      </c>
      <c r="D1075">
        <v>-1.6651685681922043E-2</v>
      </c>
      <c r="E1075">
        <v>0</v>
      </c>
      <c r="F1075">
        <v>571.95168674999991</v>
      </c>
      <c r="G1075">
        <v>19.79971719338808</v>
      </c>
      <c r="H1075">
        <v>611.55112113677603</v>
      </c>
      <c r="I1075">
        <v>532.35225236322378</v>
      </c>
    </row>
    <row r="1076" spans="1:9" x14ac:dyDescent="0.25">
      <c r="A1076" s="1">
        <v>41739</v>
      </c>
      <c r="B1076" t="s">
        <v>0</v>
      </c>
      <c r="C1076">
        <v>539.47131449999995</v>
      </c>
      <c r="D1076">
        <v>4.1106850876916803E-2</v>
      </c>
      <c r="E1076">
        <v>1</v>
      </c>
      <c r="F1076">
        <v>569.3097079050001</v>
      </c>
      <c r="G1076">
        <v>18.974525389921073</v>
      </c>
      <c r="H1076">
        <v>607.25875868484229</v>
      </c>
      <c r="I1076">
        <v>531.3606571251579</v>
      </c>
    </row>
    <row r="1077" spans="1:9" x14ac:dyDescent="0.25">
      <c r="A1077" s="1">
        <v>41740</v>
      </c>
      <c r="B1077" t="s">
        <v>0</v>
      </c>
      <c r="C1077">
        <v>529.14961170000004</v>
      </c>
      <c r="D1077">
        <v>1.9132996551570886E-2</v>
      </c>
      <c r="E1077">
        <v>1</v>
      </c>
      <c r="F1077">
        <v>566.55662510499997</v>
      </c>
      <c r="G1077">
        <v>19.638631383511953</v>
      </c>
      <c r="H1077">
        <v>605.83388787202387</v>
      </c>
      <c r="I1077">
        <v>527.27936233797607</v>
      </c>
    </row>
    <row r="1078" spans="1:9" x14ac:dyDescent="0.25">
      <c r="A1078" s="1">
        <v>41743</v>
      </c>
      <c r="B1078" t="s">
        <v>0</v>
      </c>
      <c r="C1078">
        <v>531.06435480000005</v>
      </c>
      <c r="D1078">
        <v>-3.6185287821501192E-3</v>
      </c>
      <c r="E1078">
        <v>0</v>
      </c>
      <c r="F1078">
        <v>563.41858101000003</v>
      </c>
      <c r="G1078">
        <v>21.210918784811224</v>
      </c>
      <c r="H1078">
        <v>605.84041857962245</v>
      </c>
      <c r="I1078">
        <v>520.9967434403776</v>
      </c>
    </row>
    <row r="1079" spans="1:9" x14ac:dyDescent="0.25">
      <c r="A1079" s="1">
        <v>41744</v>
      </c>
      <c r="B1079" t="s">
        <v>0</v>
      </c>
      <c r="C1079">
        <v>534.97367380000003</v>
      </c>
      <c r="D1079">
        <v>-7.3612905190600488E-3</v>
      </c>
      <c r="E1079">
        <v>0</v>
      </c>
      <c r="F1079">
        <v>559.99879256500003</v>
      </c>
      <c r="G1079">
        <v>21.626594527902331</v>
      </c>
      <c r="H1079">
        <v>603.25198162080471</v>
      </c>
      <c r="I1079">
        <v>516.74560350919535</v>
      </c>
    </row>
    <row r="1080" spans="1:9" x14ac:dyDescent="0.25">
      <c r="A1080" s="1">
        <v>41745</v>
      </c>
      <c r="B1080" t="s">
        <v>0</v>
      </c>
      <c r="C1080">
        <v>555.01868620000005</v>
      </c>
      <c r="D1080">
        <v>-3.7469156673855038E-2</v>
      </c>
      <c r="E1080">
        <v>0</v>
      </c>
      <c r="F1080">
        <v>557.880382435</v>
      </c>
      <c r="G1080">
        <v>20.235103561797516</v>
      </c>
      <c r="H1080">
        <v>598.35058955859506</v>
      </c>
      <c r="I1080">
        <v>517.41017531140494</v>
      </c>
    </row>
    <row r="1081" spans="1:9" x14ac:dyDescent="0.25">
      <c r="A1081" s="1">
        <v>41746</v>
      </c>
      <c r="B1081" t="s">
        <v>0</v>
      </c>
      <c r="C1081">
        <v>534.63456080000003</v>
      </c>
      <c r="D1081">
        <v>3.672691732158119E-2</v>
      </c>
      <c r="E1081">
        <v>1</v>
      </c>
      <c r="F1081">
        <v>554.79482301500002</v>
      </c>
      <c r="G1081">
        <v>18.475696363052268</v>
      </c>
      <c r="H1081">
        <v>591.74621574110461</v>
      </c>
      <c r="I1081">
        <v>517.84343028889543</v>
      </c>
    </row>
    <row r="1082" spans="1:9" x14ac:dyDescent="0.25">
      <c r="A1082" s="1">
        <v>41750</v>
      </c>
      <c r="B1082" t="s">
        <v>0</v>
      </c>
      <c r="C1082">
        <v>527.17505489999996</v>
      </c>
      <c r="D1082">
        <v>1.3952532153622918E-2</v>
      </c>
      <c r="E1082">
        <v>1</v>
      </c>
      <c r="F1082">
        <v>551.68797043500012</v>
      </c>
      <c r="G1082">
        <v>16.881994086625745</v>
      </c>
      <c r="H1082">
        <v>585.45195860825163</v>
      </c>
      <c r="I1082">
        <v>517.92398226174862</v>
      </c>
    </row>
    <row r="1083" spans="1:9" x14ac:dyDescent="0.25">
      <c r="A1083" s="1">
        <v>41751</v>
      </c>
      <c r="B1083" t="s">
        <v>0</v>
      </c>
      <c r="C1083">
        <v>533.34811769999999</v>
      </c>
      <c r="D1083">
        <v>-1.1709702010029658E-2</v>
      </c>
      <c r="E1083">
        <v>0</v>
      </c>
      <c r="F1083">
        <v>549.51517794000006</v>
      </c>
      <c r="G1083">
        <v>15.779357472236191</v>
      </c>
      <c r="H1083">
        <v>581.07389288447246</v>
      </c>
      <c r="I1083">
        <v>517.95646299552766</v>
      </c>
    </row>
    <row r="1084" spans="1:9" x14ac:dyDescent="0.25">
      <c r="A1084" s="1">
        <v>41752</v>
      </c>
      <c r="B1084" t="s">
        <v>0</v>
      </c>
      <c r="C1084">
        <v>525.49963179999997</v>
      </c>
      <c r="D1084">
        <v>1.4715503138636116E-2</v>
      </c>
      <c r="E1084">
        <v>1</v>
      </c>
      <c r="F1084">
        <v>546.93028337999999</v>
      </c>
      <c r="G1084">
        <v>15.215274953405784</v>
      </c>
      <c r="H1084">
        <v>577.36083328681161</v>
      </c>
      <c r="I1084">
        <v>516.49973347318837</v>
      </c>
    </row>
    <row r="1085" spans="1:9" x14ac:dyDescent="0.25">
      <c r="A1085" s="1">
        <v>41753</v>
      </c>
      <c r="B1085" t="s">
        <v>0</v>
      </c>
      <c r="C1085">
        <v>523.72447739999996</v>
      </c>
      <c r="D1085">
        <v>3.3780316722954924E-3</v>
      </c>
      <c r="E1085">
        <v>1</v>
      </c>
      <c r="F1085">
        <v>544.92288591499994</v>
      </c>
      <c r="G1085">
        <v>14.583983959695955</v>
      </c>
      <c r="H1085">
        <v>574.09085383439185</v>
      </c>
      <c r="I1085">
        <v>515.75491799560803</v>
      </c>
    </row>
    <row r="1086" spans="1:9" x14ac:dyDescent="0.25">
      <c r="A1086" s="1">
        <v>41754</v>
      </c>
      <c r="B1086" t="s">
        <v>0</v>
      </c>
      <c r="C1086">
        <v>514.76905360000001</v>
      </c>
      <c r="D1086">
        <v>1.7099494460252527E-2</v>
      </c>
      <c r="E1086">
        <v>1</v>
      </c>
      <c r="F1086">
        <v>542.81466408999995</v>
      </c>
      <c r="G1086">
        <v>14.88796691225493</v>
      </c>
      <c r="H1086">
        <v>572.59059791450977</v>
      </c>
      <c r="I1086">
        <v>513.03873026549013</v>
      </c>
    </row>
    <row r="1087" spans="1:9" x14ac:dyDescent="0.25">
      <c r="A1087" s="1">
        <v>41757</v>
      </c>
      <c r="B1087" t="s">
        <v>0</v>
      </c>
      <c r="C1087">
        <v>515.73640469999998</v>
      </c>
      <c r="D1087">
        <v>-1.879194355672459E-3</v>
      </c>
      <c r="E1087">
        <v>0</v>
      </c>
      <c r="F1087">
        <v>540.678518575</v>
      </c>
      <c r="G1087">
        <v>15.986726601604824</v>
      </c>
      <c r="H1087">
        <v>572.6519717782096</v>
      </c>
      <c r="I1087">
        <v>508.70506537179034</v>
      </c>
    </row>
    <row r="1088" spans="1:9" x14ac:dyDescent="0.25">
      <c r="A1088" s="1">
        <v>41758</v>
      </c>
      <c r="B1088" t="s">
        <v>0</v>
      </c>
      <c r="C1088">
        <v>526.25756980000006</v>
      </c>
      <c r="D1088">
        <v>-2.0400276195589023E-2</v>
      </c>
      <c r="E1088">
        <v>0</v>
      </c>
      <c r="F1088">
        <v>539.21902097499992</v>
      </c>
      <c r="G1088">
        <v>16.522807776863296</v>
      </c>
      <c r="H1088">
        <v>572.26463652872656</v>
      </c>
      <c r="I1088">
        <v>506.17340542127334</v>
      </c>
    </row>
    <row r="1089" spans="1:9" x14ac:dyDescent="0.25">
      <c r="A1089" s="1">
        <v>41759</v>
      </c>
      <c r="B1089" t="s">
        <v>0</v>
      </c>
      <c r="C1089">
        <v>525.22039540000003</v>
      </c>
      <c r="D1089">
        <v>1.9708493701937552E-3</v>
      </c>
      <c r="E1089">
        <v>1</v>
      </c>
      <c r="F1089">
        <v>537.19955691500002</v>
      </c>
      <c r="G1089">
        <v>16.501913852567213</v>
      </c>
      <c r="H1089">
        <v>570.20338462013444</v>
      </c>
      <c r="I1089">
        <v>504.19572920986559</v>
      </c>
    </row>
    <row r="1090" spans="1:9" x14ac:dyDescent="0.25">
      <c r="A1090" s="1">
        <v>41760</v>
      </c>
      <c r="B1090" t="s">
        <v>0</v>
      </c>
      <c r="C1090">
        <v>529.89760109999997</v>
      </c>
      <c r="D1090">
        <v>-8.9052248179316319E-3</v>
      </c>
      <c r="E1090">
        <v>0</v>
      </c>
      <c r="F1090">
        <v>535.42193043499992</v>
      </c>
      <c r="G1090">
        <v>15.565711908045484</v>
      </c>
      <c r="H1090">
        <v>566.55335425109092</v>
      </c>
      <c r="I1090">
        <v>504.29050661890898</v>
      </c>
    </row>
    <row r="1091" spans="1:9" x14ac:dyDescent="0.25">
      <c r="A1091" s="1">
        <v>41761</v>
      </c>
      <c r="B1091" t="s">
        <v>0</v>
      </c>
      <c r="C1091">
        <v>526.48694109999997</v>
      </c>
      <c r="D1091">
        <v>6.4364511047415784E-3</v>
      </c>
      <c r="E1091">
        <v>1</v>
      </c>
      <c r="F1091">
        <v>533.33714621000001</v>
      </c>
      <c r="G1091">
        <v>14.250578326559493</v>
      </c>
      <c r="H1091">
        <v>561.838302863119</v>
      </c>
      <c r="I1091">
        <v>504.83598955688103</v>
      </c>
    </row>
    <row r="1092" spans="1:9" x14ac:dyDescent="0.25">
      <c r="A1092" s="1">
        <v>41764</v>
      </c>
      <c r="B1092" t="s">
        <v>0</v>
      </c>
      <c r="C1092">
        <v>526.3672507</v>
      </c>
      <c r="D1092">
        <v>2.2733783244442124E-4</v>
      </c>
      <c r="E1092">
        <v>1</v>
      </c>
      <c r="F1092">
        <v>532.5727414800001</v>
      </c>
      <c r="G1092">
        <v>12.054011408620829</v>
      </c>
      <c r="H1092">
        <v>556.68076429724181</v>
      </c>
      <c r="I1092">
        <v>508.46471866275846</v>
      </c>
    </row>
    <row r="1093" spans="1:9" x14ac:dyDescent="0.25">
      <c r="A1093" s="1">
        <v>41765</v>
      </c>
      <c r="B1093" t="s">
        <v>0</v>
      </c>
      <c r="C1093">
        <v>513.73187910000001</v>
      </c>
      <c r="D1093">
        <v>2.4004858932991337E-2</v>
      </c>
      <c r="E1093">
        <v>1</v>
      </c>
      <c r="F1093">
        <v>531.42538524500003</v>
      </c>
      <c r="G1093">
        <v>12.017334918884213</v>
      </c>
      <c r="H1093">
        <v>555.46005508276846</v>
      </c>
      <c r="I1093">
        <v>507.3907154072316</v>
      </c>
    </row>
    <row r="1094" spans="1:9" x14ac:dyDescent="0.25">
      <c r="A1094" s="1">
        <v>41766</v>
      </c>
      <c r="B1094" t="s">
        <v>0</v>
      </c>
      <c r="C1094">
        <v>508.56605289999999</v>
      </c>
      <c r="D1094">
        <v>1.0055490831228866E-2</v>
      </c>
      <c r="E1094">
        <v>1</v>
      </c>
      <c r="F1094">
        <v>529.18452881500002</v>
      </c>
      <c r="G1094">
        <v>12.794950515011449</v>
      </c>
      <c r="H1094">
        <v>554.77442984502295</v>
      </c>
      <c r="I1094">
        <v>503.59462778497715</v>
      </c>
    </row>
    <row r="1095" spans="1:9" x14ac:dyDescent="0.25">
      <c r="A1095" s="1">
        <v>41767</v>
      </c>
      <c r="B1095" t="s">
        <v>0</v>
      </c>
      <c r="C1095">
        <v>509.6031974</v>
      </c>
      <c r="D1095">
        <v>-2.039350629256306E-3</v>
      </c>
      <c r="E1095">
        <v>0</v>
      </c>
      <c r="F1095">
        <v>526.53479147000007</v>
      </c>
      <c r="G1095">
        <v>12.755751821962047</v>
      </c>
      <c r="H1095">
        <v>552.0462951139242</v>
      </c>
      <c r="I1095">
        <v>501.023287826076</v>
      </c>
    </row>
    <row r="1096" spans="1:9" x14ac:dyDescent="0.25">
      <c r="A1096" s="1">
        <v>41768</v>
      </c>
      <c r="B1096" t="s">
        <v>0</v>
      </c>
      <c r="C1096">
        <v>517.31209460000002</v>
      </c>
      <c r="D1096">
        <v>-1.5127254380135144E-2</v>
      </c>
      <c r="E1096">
        <v>0</v>
      </c>
      <c r="F1096">
        <v>525.42683047500009</v>
      </c>
      <c r="G1096">
        <v>10.641577721160326</v>
      </c>
      <c r="H1096">
        <v>546.70998591732075</v>
      </c>
      <c r="I1096">
        <v>504.14367503267943</v>
      </c>
    </row>
    <row r="1097" spans="1:9" x14ac:dyDescent="0.25">
      <c r="A1097" s="1">
        <v>41771</v>
      </c>
      <c r="B1097" t="s">
        <v>0</v>
      </c>
      <c r="C1097">
        <v>528.47150850000003</v>
      </c>
      <c r="D1097">
        <v>-2.1571917642151342E-2</v>
      </c>
      <c r="E1097">
        <v>0</v>
      </c>
      <c r="F1097">
        <v>525.39292531499996</v>
      </c>
      <c r="G1097">
        <v>10.328329792129862</v>
      </c>
      <c r="H1097">
        <v>546.04958489925968</v>
      </c>
      <c r="I1097">
        <v>504.73626573074023</v>
      </c>
    </row>
    <row r="1098" spans="1:9" x14ac:dyDescent="0.25">
      <c r="A1098" s="1">
        <v>41772</v>
      </c>
      <c r="B1098" t="s">
        <v>0</v>
      </c>
      <c r="C1098">
        <v>531.63283899999999</v>
      </c>
      <c r="D1098">
        <v>-5.9820263706798537E-3</v>
      </c>
      <c r="E1098">
        <v>0</v>
      </c>
      <c r="F1098">
        <v>525.42134952499998</v>
      </c>
      <c r="G1098">
        <v>10.317143661028346</v>
      </c>
      <c r="H1098">
        <v>546.05563684705669</v>
      </c>
      <c r="I1098">
        <v>504.78706220294328</v>
      </c>
    </row>
    <row r="1099" spans="1:9" x14ac:dyDescent="0.25">
      <c r="A1099" s="1">
        <v>41773</v>
      </c>
      <c r="B1099" t="s">
        <v>0</v>
      </c>
      <c r="C1099">
        <v>525.21044670000003</v>
      </c>
      <c r="D1099">
        <v>1.2080503364089508E-2</v>
      </c>
      <c r="E1099">
        <v>1</v>
      </c>
      <c r="F1099">
        <v>524.93318816999999</v>
      </c>
      <c r="G1099">
        <v>10.344984750062743</v>
      </c>
      <c r="H1099">
        <v>545.62315767012547</v>
      </c>
      <c r="I1099">
        <v>504.24321866987452</v>
      </c>
    </row>
    <row r="1100" spans="1:9" x14ac:dyDescent="0.25">
      <c r="A1100" s="1">
        <v>41774</v>
      </c>
      <c r="B1100" t="s">
        <v>0</v>
      </c>
      <c r="C1100">
        <v>518.55862130000003</v>
      </c>
      <c r="D1100">
        <v>1.2665066816158603E-2</v>
      </c>
      <c r="E1100">
        <v>1</v>
      </c>
      <c r="F1100">
        <v>523.11018492499988</v>
      </c>
      <c r="G1100">
        <v>10.261838350930242</v>
      </c>
      <c r="H1100">
        <v>543.63386162686038</v>
      </c>
      <c r="I1100">
        <v>502.58650822313939</v>
      </c>
    </row>
    <row r="1101" spans="1:9" x14ac:dyDescent="0.25">
      <c r="A1101" s="1">
        <v>41775</v>
      </c>
      <c r="B1101" t="s">
        <v>0</v>
      </c>
      <c r="C1101">
        <v>519.20687950000001</v>
      </c>
      <c r="D1101">
        <v>-1.2501155575715553E-3</v>
      </c>
      <c r="E1101">
        <v>0</v>
      </c>
      <c r="F1101">
        <v>522.33880085999988</v>
      </c>
      <c r="G1101">
        <v>7.4852236845097391</v>
      </c>
      <c r="H1101">
        <v>537.30924822901932</v>
      </c>
      <c r="I1101">
        <v>507.36835349098038</v>
      </c>
    </row>
    <row r="1102" spans="1:9" x14ac:dyDescent="0.25">
      <c r="A1102" s="1">
        <v>41778</v>
      </c>
      <c r="B1102" t="s">
        <v>0</v>
      </c>
      <c r="C1102">
        <v>527.41437480000002</v>
      </c>
      <c r="D1102">
        <v>-1.5807755297664549E-2</v>
      </c>
      <c r="E1102">
        <v>0</v>
      </c>
      <c r="F1102">
        <v>522.35076685499985</v>
      </c>
      <c r="G1102">
        <v>6.9971335371948875</v>
      </c>
      <c r="H1102">
        <v>536.34503392938961</v>
      </c>
      <c r="I1102">
        <v>508.35649978061008</v>
      </c>
    </row>
    <row r="1103" spans="1:9" x14ac:dyDescent="0.25">
      <c r="A1103" s="1">
        <v>41779</v>
      </c>
      <c r="B1103" t="s">
        <v>0</v>
      </c>
      <c r="C1103">
        <v>528.32191020000005</v>
      </c>
      <c r="D1103">
        <v>-1.7207255686653856E-3</v>
      </c>
      <c r="E1103">
        <v>0</v>
      </c>
      <c r="F1103">
        <v>522.09945647999984</v>
      </c>
      <c r="G1103">
        <v>7.0100893828750186</v>
      </c>
      <c r="H1103">
        <v>536.11963524574992</v>
      </c>
      <c r="I1103">
        <v>508.07927771424983</v>
      </c>
    </row>
    <row r="1104" spans="1:9" x14ac:dyDescent="0.25">
      <c r="A1104" s="1">
        <v>41780</v>
      </c>
      <c r="B1104" t="s">
        <v>0</v>
      </c>
      <c r="C1104">
        <v>537.46684979999998</v>
      </c>
      <c r="D1104">
        <v>-1.7309408191187921E-2</v>
      </c>
      <c r="E1104">
        <v>0</v>
      </c>
      <c r="F1104">
        <v>522.69781737999983</v>
      </c>
      <c r="G1104">
        <v>6.7163022918348538</v>
      </c>
      <c r="H1104">
        <v>536.13042196366951</v>
      </c>
      <c r="I1104">
        <v>509.2652127963301</v>
      </c>
    </row>
    <row r="1105" spans="1:9" x14ac:dyDescent="0.25">
      <c r="A1105" s="1">
        <v>41781</v>
      </c>
      <c r="B1105" t="s">
        <v>0</v>
      </c>
      <c r="C1105">
        <v>543.57008729999995</v>
      </c>
      <c r="D1105">
        <v>-1.1355560816952878E-2</v>
      </c>
      <c r="E1105">
        <v>0</v>
      </c>
      <c r="F1105">
        <v>523.69009787499999</v>
      </c>
      <c r="G1105">
        <v>7.5237653329305969</v>
      </c>
      <c r="H1105">
        <v>538.73762854086124</v>
      </c>
      <c r="I1105">
        <v>508.6425672091388</v>
      </c>
    </row>
    <row r="1106" spans="1:9" x14ac:dyDescent="0.25">
      <c r="A1106" s="1">
        <v>41782</v>
      </c>
      <c r="B1106" t="s">
        <v>0</v>
      </c>
      <c r="C1106">
        <v>551.18920200000002</v>
      </c>
      <c r="D1106">
        <v>-1.4016802760147154E-2</v>
      </c>
      <c r="E1106">
        <v>0</v>
      </c>
      <c r="F1106">
        <v>525.51110529499988</v>
      </c>
      <c r="G1106">
        <v>8.9265756417576725</v>
      </c>
      <c r="H1106">
        <v>543.36425657851521</v>
      </c>
      <c r="I1106">
        <v>507.65795401148455</v>
      </c>
    </row>
    <row r="1107" spans="1:9" x14ac:dyDescent="0.25">
      <c r="A1107" s="1">
        <v>41786</v>
      </c>
      <c r="B1107" t="s">
        <v>0</v>
      </c>
      <c r="C1107">
        <v>564.40300649999995</v>
      </c>
      <c r="D1107">
        <v>-2.3973264447223194E-2</v>
      </c>
      <c r="E1107">
        <v>0</v>
      </c>
      <c r="F1107">
        <v>527.94443538499991</v>
      </c>
      <c r="G1107">
        <v>10.620899058158155</v>
      </c>
      <c r="H1107">
        <v>549.18623350131622</v>
      </c>
      <c r="I1107">
        <v>506.70263726868359</v>
      </c>
    </row>
    <row r="1108" spans="1:9" x14ac:dyDescent="0.25">
      <c r="A1108" s="1">
        <v>41787</v>
      </c>
      <c r="B1108" t="s">
        <v>0</v>
      </c>
      <c r="C1108">
        <v>560.14468680000004</v>
      </c>
      <c r="D1108">
        <v>7.5448210781278013E-3</v>
      </c>
      <c r="E1108">
        <v>1</v>
      </c>
      <c r="F1108">
        <v>529.63879123499987</v>
      </c>
      <c r="G1108">
        <v>13.216804011450511</v>
      </c>
      <c r="H1108">
        <v>556.07239925790088</v>
      </c>
      <c r="I1108">
        <v>503.20518321209886</v>
      </c>
    </row>
    <row r="1109" spans="1:9" x14ac:dyDescent="0.25">
      <c r="A1109" s="1">
        <v>41788</v>
      </c>
      <c r="B1109" t="s">
        <v>0</v>
      </c>
      <c r="C1109">
        <v>558.54903760000002</v>
      </c>
      <c r="D1109">
        <v>2.8486375709741449E-3</v>
      </c>
      <c r="E1109">
        <v>1</v>
      </c>
      <c r="F1109">
        <v>531.30522334499994</v>
      </c>
      <c r="G1109">
        <v>14.947232337320608</v>
      </c>
      <c r="H1109">
        <v>561.19968801964114</v>
      </c>
      <c r="I1109">
        <v>501.41075867035875</v>
      </c>
    </row>
    <row r="1110" spans="1:9" x14ac:dyDescent="0.25">
      <c r="A1110" s="1">
        <v>41789</v>
      </c>
      <c r="B1110" t="s">
        <v>0</v>
      </c>
      <c r="C1110">
        <v>558.3595828</v>
      </c>
      <c r="D1110">
        <v>3.3919098816118229E-4</v>
      </c>
      <c r="E1110">
        <v>1</v>
      </c>
      <c r="F1110">
        <v>532.72832242999993</v>
      </c>
      <c r="G1110">
        <v>16.146361192343157</v>
      </c>
      <c r="H1110">
        <v>565.02104481468621</v>
      </c>
      <c r="I1110">
        <v>500.43560004531361</v>
      </c>
    </row>
    <row r="1111" spans="1:9" x14ac:dyDescent="0.25">
      <c r="A1111" s="1">
        <v>41792</v>
      </c>
      <c r="B1111" t="s">
        <v>0</v>
      </c>
      <c r="C1111">
        <v>552.41583030000004</v>
      </c>
      <c r="D1111">
        <v>1.0645026400718127E-2</v>
      </c>
      <c r="E1111">
        <v>1</v>
      </c>
      <c r="F1111">
        <v>534.02476688999991</v>
      </c>
      <c r="G1111">
        <v>17.170706864797403</v>
      </c>
      <c r="H1111">
        <v>568.36618061959473</v>
      </c>
      <c r="I1111">
        <v>499.68335316040509</v>
      </c>
    </row>
    <row r="1112" spans="1:9" x14ac:dyDescent="0.25">
      <c r="A1112" s="1">
        <v>41793</v>
      </c>
      <c r="B1112" t="s">
        <v>0</v>
      </c>
      <c r="C1112">
        <v>543.45039689999999</v>
      </c>
      <c r="D1112">
        <v>1.6229501234841879E-2</v>
      </c>
      <c r="E1112">
        <v>1</v>
      </c>
      <c r="F1112">
        <v>534.87892420000003</v>
      </c>
      <c r="G1112">
        <v>17.596402437218238</v>
      </c>
      <c r="H1112">
        <v>570.07172907443646</v>
      </c>
      <c r="I1112">
        <v>499.68611932556354</v>
      </c>
    </row>
    <row r="1113" spans="1:9" x14ac:dyDescent="0.25">
      <c r="A1113" s="1">
        <v>41794</v>
      </c>
      <c r="B1113" t="s">
        <v>0</v>
      </c>
      <c r="C1113">
        <v>543.17115960000001</v>
      </c>
      <c r="D1113">
        <v>5.1382297555182274E-4</v>
      </c>
      <c r="E1113">
        <v>1</v>
      </c>
      <c r="F1113">
        <v>536.35088822500006</v>
      </c>
      <c r="G1113">
        <v>17.659307312214892</v>
      </c>
      <c r="H1113">
        <v>571.66950284942982</v>
      </c>
      <c r="I1113">
        <v>501.03227360057031</v>
      </c>
    </row>
    <row r="1114" spans="1:9" x14ac:dyDescent="0.25">
      <c r="A1114" s="1">
        <v>41795</v>
      </c>
      <c r="B1114" t="s">
        <v>0</v>
      </c>
      <c r="C1114">
        <v>552.38592340000002</v>
      </c>
      <c r="D1114">
        <v>-1.6964751602028934E-2</v>
      </c>
      <c r="E1114">
        <v>0</v>
      </c>
      <c r="F1114">
        <v>538.54188175000002</v>
      </c>
      <c r="G1114">
        <v>17.128818224426013</v>
      </c>
      <c r="H1114">
        <v>572.79951819885207</v>
      </c>
      <c r="I1114">
        <v>504.28424530114796</v>
      </c>
    </row>
    <row r="1115" spans="1:9" x14ac:dyDescent="0.25">
      <c r="A1115" s="1">
        <v>41796</v>
      </c>
      <c r="B1115" t="s">
        <v>0</v>
      </c>
      <c r="C1115">
        <v>554.80927410000004</v>
      </c>
      <c r="D1115">
        <v>-4.3870609248765919E-3</v>
      </c>
      <c r="E1115">
        <v>0</v>
      </c>
      <c r="F1115">
        <v>540.80218558500007</v>
      </c>
      <c r="G1115">
        <v>16.222229991282543</v>
      </c>
      <c r="H1115">
        <v>573.24664556756511</v>
      </c>
      <c r="I1115">
        <v>508.35772560243498</v>
      </c>
    </row>
    <row r="1116" spans="1:9" x14ac:dyDescent="0.25">
      <c r="A1116" s="1">
        <v>41799</v>
      </c>
      <c r="B1116" t="s">
        <v>0</v>
      </c>
      <c r="C1116">
        <v>560.5834701</v>
      </c>
      <c r="D1116">
        <v>-1.040753330839096E-2</v>
      </c>
      <c r="E1116">
        <v>0</v>
      </c>
      <c r="F1116">
        <v>542.96575436000012</v>
      </c>
      <c r="G1116">
        <v>15.132179584553768</v>
      </c>
      <c r="H1116">
        <v>573.23011352910771</v>
      </c>
      <c r="I1116">
        <v>512.70139519089253</v>
      </c>
    </row>
    <row r="1117" spans="1:9" x14ac:dyDescent="0.25">
      <c r="A1117" s="1">
        <v>41800</v>
      </c>
      <c r="B1117" t="s">
        <v>0</v>
      </c>
      <c r="C1117">
        <v>559.01772779999999</v>
      </c>
      <c r="D1117">
        <v>2.7930582750160383E-3</v>
      </c>
      <c r="E1117">
        <v>1</v>
      </c>
      <c r="F1117">
        <v>544.49306532500009</v>
      </c>
      <c r="G1117">
        <v>14.626319434624518</v>
      </c>
      <c r="H1117">
        <v>573.74570419424913</v>
      </c>
      <c r="I1117">
        <v>515.24042645575105</v>
      </c>
    </row>
    <row r="1118" spans="1:9" x14ac:dyDescent="0.25">
      <c r="A1118" s="1">
        <v>41801</v>
      </c>
      <c r="B1118" t="s">
        <v>0</v>
      </c>
      <c r="C1118">
        <v>557.31239779999999</v>
      </c>
      <c r="D1118">
        <v>3.050583040919447E-3</v>
      </c>
      <c r="E1118">
        <v>1</v>
      </c>
      <c r="F1118">
        <v>545.77704326500009</v>
      </c>
      <c r="G1118">
        <v>14.60450603067012</v>
      </c>
      <c r="H1118">
        <v>574.98605532634031</v>
      </c>
      <c r="I1118">
        <v>516.56803120365987</v>
      </c>
    </row>
    <row r="1119" spans="1:9" x14ac:dyDescent="0.25">
      <c r="A1119" s="1">
        <v>41802</v>
      </c>
      <c r="B1119" t="s">
        <v>0</v>
      </c>
      <c r="C1119">
        <v>549.84288240000001</v>
      </c>
      <c r="D1119">
        <v>1.3402744007644572E-2</v>
      </c>
      <c r="E1119">
        <v>1</v>
      </c>
      <c r="F1119">
        <v>547.00866504999999</v>
      </c>
      <c r="G1119">
        <v>14.541622437646744</v>
      </c>
      <c r="H1119">
        <v>576.09190992529352</v>
      </c>
      <c r="I1119">
        <v>517.92542017470646</v>
      </c>
    </row>
    <row r="1120" spans="1:9" x14ac:dyDescent="0.25">
      <c r="A1120" s="1">
        <v>41803</v>
      </c>
      <c r="B1120" t="s">
        <v>0</v>
      </c>
      <c r="C1120">
        <v>550.25175879999995</v>
      </c>
      <c r="D1120">
        <v>-7.4362406623368902E-4</v>
      </c>
      <c r="E1120">
        <v>0</v>
      </c>
      <c r="F1120">
        <v>548.59332192499994</v>
      </c>
      <c r="G1120">
        <v>13.806282764314009</v>
      </c>
      <c r="H1120">
        <v>576.20588745362795</v>
      </c>
      <c r="I1120">
        <v>520.98075639637193</v>
      </c>
    </row>
    <row r="1121" spans="1:9" x14ac:dyDescent="0.25">
      <c r="A1121" s="1">
        <v>41806</v>
      </c>
      <c r="B1121" t="s">
        <v>0</v>
      </c>
      <c r="C1121">
        <v>542.7922519</v>
      </c>
      <c r="D1121">
        <v>1.3556534405756E-2</v>
      </c>
      <c r="E1121">
        <v>1</v>
      </c>
      <c r="F1121">
        <v>549.77259054499996</v>
      </c>
      <c r="G1121">
        <v>12.125901072005336</v>
      </c>
      <c r="H1121">
        <v>574.0243926890106</v>
      </c>
      <c r="I1121">
        <v>525.52078840098932</v>
      </c>
    </row>
    <row r="1122" spans="1:9" x14ac:dyDescent="0.25">
      <c r="A1122" s="1">
        <v>41807</v>
      </c>
      <c r="B1122" t="s">
        <v>0</v>
      </c>
      <c r="C1122">
        <v>541.52570619999995</v>
      </c>
      <c r="D1122">
        <v>2.3333894239768744E-3</v>
      </c>
      <c r="E1122">
        <v>1</v>
      </c>
      <c r="F1122">
        <v>550.47815711499993</v>
      </c>
      <c r="G1122">
        <v>10.161615166319971</v>
      </c>
      <c r="H1122">
        <v>570.80138744763985</v>
      </c>
      <c r="I1122">
        <v>530.15492678236001</v>
      </c>
    </row>
    <row r="1123" spans="1:9" x14ac:dyDescent="0.25">
      <c r="A1123" s="1">
        <v>41808</v>
      </c>
      <c r="B1123" t="s">
        <v>0</v>
      </c>
      <c r="C1123">
        <v>551.8573566</v>
      </c>
      <c r="D1123">
        <v>-1.9078781084095577E-2</v>
      </c>
      <c r="E1123">
        <v>0</v>
      </c>
      <c r="F1123">
        <v>551.65492943499999</v>
      </c>
      <c r="G1123">
        <v>9.0583459868284599</v>
      </c>
      <c r="H1123">
        <v>569.77162140865687</v>
      </c>
      <c r="I1123">
        <v>533.5382374613431</v>
      </c>
    </row>
    <row r="1124" spans="1:9" x14ac:dyDescent="0.25">
      <c r="A1124" s="1">
        <v>41809</v>
      </c>
      <c r="B1124" t="s">
        <v>0</v>
      </c>
      <c r="C1124">
        <v>553.38318149999998</v>
      </c>
      <c r="D1124">
        <v>-2.7648900241189155E-3</v>
      </c>
      <c r="E1124">
        <v>0</v>
      </c>
      <c r="F1124">
        <v>552.45074602</v>
      </c>
      <c r="G1124">
        <v>7.4476516809572235</v>
      </c>
      <c r="H1124">
        <v>567.34604938191444</v>
      </c>
      <c r="I1124">
        <v>537.55544265808555</v>
      </c>
    </row>
    <row r="1125" spans="1:9" x14ac:dyDescent="0.25">
      <c r="A1125" s="1">
        <v>41810</v>
      </c>
      <c r="B1125" t="s">
        <v>0</v>
      </c>
      <c r="C1125">
        <v>554.83918100000005</v>
      </c>
      <c r="D1125">
        <v>-2.6310873706957344E-3</v>
      </c>
      <c r="E1125">
        <v>0</v>
      </c>
      <c r="F1125">
        <v>553.01420070500012</v>
      </c>
      <c r="G1125">
        <v>6.6785186413264697</v>
      </c>
      <c r="H1125">
        <v>566.3712379876531</v>
      </c>
      <c r="I1125">
        <v>539.65716342234714</v>
      </c>
    </row>
    <row r="1126" spans="1:9" x14ac:dyDescent="0.25">
      <c r="A1126" s="1">
        <v>41813</v>
      </c>
      <c r="B1126" t="s">
        <v>0</v>
      </c>
      <c r="C1126">
        <v>563.40574849999996</v>
      </c>
      <c r="D1126">
        <v>-1.5439730634307718E-2</v>
      </c>
      <c r="E1126">
        <v>0</v>
      </c>
      <c r="F1126">
        <v>553.62502803000007</v>
      </c>
      <c r="G1126">
        <v>6.3782979717980872</v>
      </c>
      <c r="H1126">
        <v>566.38162397359622</v>
      </c>
      <c r="I1126">
        <v>540.86843208640391</v>
      </c>
    </row>
    <row r="1127" spans="1:9" x14ac:dyDescent="0.25">
      <c r="A1127" s="1">
        <v>41814</v>
      </c>
      <c r="B1127" t="s">
        <v>0</v>
      </c>
      <c r="C1127">
        <v>563.07664509999995</v>
      </c>
      <c r="D1127">
        <v>5.8413213013215853E-4</v>
      </c>
      <c r="E1127">
        <v>1</v>
      </c>
      <c r="F1127">
        <v>553.55870995999999</v>
      </c>
      <c r="G1127">
        <v>6.7211267899545373</v>
      </c>
      <c r="H1127">
        <v>567.00096353990909</v>
      </c>
      <c r="I1127">
        <v>540.11645638009088</v>
      </c>
    </row>
    <row r="1128" spans="1:9" x14ac:dyDescent="0.25">
      <c r="A1128" s="1">
        <v>41815</v>
      </c>
      <c r="B1128" t="s">
        <v>0</v>
      </c>
      <c r="C1128">
        <v>577.06828599999994</v>
      </c>
      <c r="D1128">
        <v>-2.4848554849074122E-2</v>
      </c>
      <c r="E1128">
        <v>0</v>
      </c>
      <c r="F1128">
        <v>554.40488992000007</v>
      </c>
      <c r="G1128">
        <v>6.6737681968614888</v>
      </c>
      <c r="H1128">
        <v>567.75242631372305</v>
      </c>
      <c r="I1128">
        <v>541.0573535262771</v>
      </c>
    </row>
    <row r="1129" spans="1:9" x14ac:dyDescent="0.25">
      <c r="A1129" s="1">
        <v>41816</v>
      </c>
      <c r="B1129" t="s">
        <v>0</v>
      </c>
      <c r="C1129">
        <v>574.42551279999998</v>
      </c>
      <c r="D1129">
        <v>4.5796542005775128E-3</v>
      </c>
      <c r="E1129">
        <v>1</v>
      </c>
      <c r="F1129">
        <v>555.19871368000008</v>
      </c>
      <c r="G1129">
        <v>8.3188671578614191</v>
      </c>
      <c r="H1129">
        <v>571.83644799572289</v>
      </c>
      <c r="I1129">
        <v>538.56097936427727</v>
      </c>
    </row>
    <row r="1130" spans="1:9" x14ac:dyDescent="0.25">
      <c r="A1130" s="1">
        <v>41817</v>
      </c>
      <c r="B1130" t="s">
        <v>0</v>
      </c>
      <c r="C1130">
        <v>575.66215160000002</v>
      </c>
      <c r="D1130">
        <v>-2.1528270810468033E-3</v>
      </c>
      <c r="E1130">
        <v>0</v>
      </c>
      <c r="F1130">
        <v>556.06384212</v>
      </c>
      <c r="G1130">
        <v>9.3741268771783464</v>
      </c>
      <c r="H1130">
        <v>574.81209587435671</v>
      </c>
      <c r="I1130">
        <v>537.31558836564329</v>
      </c>
    </row>
    <row r="1131" spans="1:9" x14ac:dyDescent="0.25">
      <c r="A1131" s="1">
        <v>41820</v>
      </c>
      <c r="B1131" t="s">
        <v>0</v>
      </c>
      <c r="C1131">
        <v>573.70749209999997</v>
      </c>
      <c r="D1131">
        <v>3.3954976796151206E-3</v>
      </c>
      <c r="E1131">
        <v>1</v>
      </c>
      <c r="F1131">
        <v>557.12842521000005</v>
      </c>
      <c r="G1131">
        <v>10.389839138560042</v>
      </c>
      <c r="H1131">
        <v>577.90810348712012</v>
      </c>
      <c r="I1131">
        <v>536.34874693287998</v>
      </c>
    </row>
    <row r="1132" spans="1:9" x14ac:dyDescent="0.25">
      <c r="A1132" s="1">
        <v>41821</v>
      </c>
      <c r="B1132" t="s">
        <v>0</v>
      </c>
      <c r="C1132">
        <v>581.07727629999999</v>
      </c>
      <c r="D1132">
        <v>-1.2845891506530017E-2</v>
      </c>
      <c r="E1132">
        <v>0</v>
      </c>
      <c r="F1132">
        <v>559.00976917999992</v>
      </c>
      <c r="G1132">
        <v>11.140963058303168</v>
      </c>
      <c r="H1132">
        <v>581.29169529660624</v>
      </c>
      <c r="I1132">
        <v>536.72784306339361</v>
      </c>
    </row>
    <row r="1133" spans="1:9" x14ac:dyDescent="0.25">
      <c r="A1133" s="1">
        <v>41822</v>
      </c>
      <c r="B1133" t="s">
        <v>0</v>
      </c>
      <c r="C1133">
        <v>580.74322949999998</v>
      </c>
      <c r="D1133">
        <v>5.7487500135446285E-4</v>
      </c>
      <c r="E1133">
        <v>1</v>
      </c>
      <c r="F1133">
        <v>560.88837267499991</v>
      </c>
      <c r="G1133">
        <v>11.827689934855536</v>
      </c>
      <c r="H1133">
        <v>584.54375254471097</v>
      </c>
      <c r="I1133">
        <v>537.23299280528886</v>
      </c>
    </row>
    <row r="1134" spans="1:9" x14ac:dyDescent="0.25">
      <c r="A1134" s="1">
        <v>41823</v>
      </c>
      <c r="B1134" t="s">
        <v>0</v>
      </c>
      <c r="C1134">
        <v>583.13166799999999</v>
      </c>
      <c r="D1134">
        <v>-4.1127272410155695E-3</v>
      </c>
      <c r="E1134">
        <v>0</v>
      </c>
      <c r="F1134">
        <v>562.42565990499997</v>
      </c>
      <c r="G1134">
        <v>12.094349351760071</v>
      </c>
      <c r="H1134">
        <v>586.61435860852009</v>
      </c>
      <c r="I1134">
        <v>538.23696120147986</v>
      </c>
    </row>
    <row r="1135" spans="1:9" x14ac:dyDescent="0.25">
      <c r="A1135" s="1">
        <v>41827</v>
      </c>
      <c r="B1135" t="s">
        <v>0</v>
      </c>
      <c r="C1135">
        <v>580.65845119999994</v>
      </c>
      <c r="D1135">
        <v>4.2412664852906692E-3</v>
      </c>
      <c r="E1135">
        <v>1</v>
      </c>
      <c r="F1135">
        <v>563.71811876000004</v>
      </c>
      <c r="G1135">
        <v>12.819549884504767</v>
      </c>
      <c r="H1135">
        <v>589.35721852900951</v>
      </c>
      <c r="I1135">
        <v>538.07901899099056</v>
      </c>
    </row>
    <row r="1136" spans="1:9" x14ac:dyDescent="0.25">
      <c r="A1136" s="1">
        <v>41828</v>
      </c>
      <c r="B1136" t="s">
        <v>0</v>
      </c>
      <c r="C1136">
        <v>569.52894530000003</v>
      </c>
      <c r="D1136">
        <v>1.9167043684629858E-2</v>
      </c>
      <c r="E1136">
        <v>1</v>
      </c>
      <c r="F1136">
        <v>564.16539252000007</v>
      </c>
      <c r="G1136">
        <v>13.225780905405015</v>
      </c>
      <c r="H1136">
        <v>590.61695433081013</v>
      </c>
      <c r="I1136">
        <v>537.71383070919001</v>
      </c>
    </row>
    <row r="1137" spans="1:9" x14ac:dyDescent="0.25">
      <c r="A1137" s="1">
        <v>41829</v>
      </c>
      <c r="B1137" t="s">
        <v>0</v>
      </c>
      <c r="C1137">
        <v>574.50528569999994</v>
      </c>
      <c r="D1137">
        <v>-8.7376426449732418E-3</v>
      </c>
      <c r="E1137">
        <v>0</v>
      </c>
      <c r="F1137">
        <v>564.939770415</v>
      </c>
      <c r="G1137">
        <v>13.278471982577209</v>
      </c>
      <c r="H1137">
        <v>591.49671438015446</v>
      </c>
      <c r="I1137">
        <v>538.38282644984554</v>
      </c>
    </row>
    <row r="1138" spans="1:9" x14ac:dyDescent="0.25">
      <c r="A1138" s="1">
        <v>41830</v>
      </c>
      <c r="B1138" t="s">
        <v>0</v>
      </c>
      <c r="C1138">
        <v>569.53889400000003</v>
      </c>
      <c r="D1138">
        <v>8.6446405692310897E-3</v>
      </c>
      <c r="E1138">
        <v>1</v>
      </c>
      <c r="F1138">
        <v>565.55109522499993</v>
      </c>
      <c r="G1138">
        <v>13.398244695186527</v>
      </c>
      <c r="H1138">
        <v>592.34758461537297</v>
      </c>
      <c r="I1138">
        <v>538.75460583462689</v>
      </c>
    </row>
    <row r="1139" spans="1:9" x14ac:dyDescent="0.25">
      <c r="A1139" s="1">
        <v>41831</v>
      </c>
      <c r="B1139" t="s">
        <v>0</v>
      </c>
      <c r="C1139">
        <v>577.59685279999997</v>
      </c>
      <c r="D1139">
        <v>-1.4148215134891099E-2</v>
      </c>
      <c r="E1139">
        <v>0</v>
      </c>
      <c r="F1139">
        <v>566.93879374499988</v>
      </c>
      <c r="G1139">
        <v>13.373106904716025</v>
      </c>
      <c r="H1139">
        <v>593.68500755443188</v>
      </c>
      <c r="I1139">
        <v>540.19257993556789</v>
      </c>
    </row>
    <row r="1140" spans="1:9" x14ac:dyDescent="0.25">
      <c r="A1140" s="1">
        <v>41834</v>
      </c>
      <c r="B1140" t="s">
        <v>0</v>
      </c>
      <c r="C1140">
        <v>583.27125579999995</v>
      </c>
      <c r="D1140">
        <v>-9.8241584463148318E-3</v>
      </c>
      <c r="E1140">
        <v>0</v>
      </c>
      <c r="F1140">
        <v>568.5897685949999</v>
      </c>
      <c r="G1140">
        <v>13.138946234210882</v>
      </c>
      <c r="H1140">
        <v>594.86766106342168</v>
      </c>
      <c r="I1140">
        <v>542.31187612657811</v>
      </c>
    </row>
    <row r="1141" spans="1:9" x14ac:dyDescent="0.25">
      <c r="A1141" s="1">
        <v>41835</v>
      </c>
      <c r="B1141" t="s">
        <v>0</v>
      </c>
      <c r="C1141">
        <v>583.18153410000002</v>
      </c>
      <c r="D1141">
        <v>1.5382499841667545E-4</v>
      </c>
      <c r="E1141">
        <v>1</v>
      </c>
      <c r="F1141">
        <v>570.60923270499984</v>
      </c>
      <c r="G1141">
        <v>13.064199807202705</v>
      </c>
      <c r="H1141">
        <v>596.73763231940529</v>
      </c>
      <c r="I1141">
        <v>544.48083309059439</v>
      </c>
    </row>
    <row r="1142" spans="1:9" x14ac:dyDescent="0.25">
      <c r="A1142" s="1">
        <v>41836</v>
      </c>
      <c r="B1142" t="s">
        <v>0</v>
      </c>
      <c r="C1142">
        <v>581.06732769999996</v>
      </c>
      <c r="D1142">
        <v>3.6252972297259457E-3</v>
      </c>
      <c r="E1142">
        <v>1</v>
      </c>
      <c r="F1142">
        <v>572.58631377999995</v>
      </c>
      <c r="G1142">
        <v>11.99150045835332</v>
      </c>
      <c r="H1142">
        <v>596.56931469670656</v>
      </c>
      <c r="I1142">
        <v>548.60331286329335</v>
      </c>
    </row>
    <row r="1143" spans="1:9" x14ac:dyDescent="0.25">
      <c r="A1143" s="1">
        <v>41837</v>
      </c>
      <c r="B1143" t="s">
        <v>0</v>
      </c>
      <c r="C1143">
        <v>572.16170899999997</v>
      </c>
      <c r="D1143">
        <v>1.5326311212937246E-2</v>
      </c>
      <c r="E1143">
        <v>1</v>
      </c>
      <c r="F1143">
        <v>573.60153139999989</v>
      </c>
      <c r="G1143">
        <v>10.009248860542442</v>
      </c>
      <c r="H1143">
        <v>593.62002912108483</v>
      </c>
      <c r="I1143">
        <v>553.58303367891494</v>
      </c>
    </row>
    <row r="1144" spans="1:9" x14ac:dyDescent="0.25">
      <c r="A1144" s="1">
        <v>41838</v>
      </c>
      <c r="B1144" t="s">
        <v>0</v>
      </c>
      <c r="C1144">
        <v>593.45336980000002</v>
      </c>
      <c r="D1144">
        <v>-3.7212662897719441E-2</v>
      </c>
      <c r="E1144">
        <v>0</v>
      </c>
      <c r="F1144">
        <v>575.60504081499994</v>
      </c>
      <c r="G1144">
        <v>8.9812198652963176</v>
      </c>
      <c r="H1144">
        <v>593.56748054559262</v>
      </c>
      <c r="I1144">
        <v>557.64260108440726</v>
      </c>
    </row>
    <row r="1145" spans="1:9" x14ac:dyDescent="0.25">
      <c r="A1145" s="1">
        <v>41841</v>
      </c>
      <c r="B1145" t="s">
        <v>0</v>
      </c>
      <c r="C1145">
        <v>587.85867900000005</v>
      </c>
      <c r="D1145">
        <v>9.4273469234582592E-3</v>
      </c>
      <c r="E1145">
        <v>1</v>
      </c>
      <c r="F1145">
        <v>577.25601571499988</v>
      </c>
      <c r="G1145">
        <v>8.6386121105348881</v>
      </c>
      <c r="H1145">
        <v>594.53323993606966</v>
      </c>
      <c r="I1145">
        <v>559.97879149393009</v>
      </c>
    </row>
    <row r="1146" spans="1:9" x14ac:dyDescent="0.25">
      <c r="A1146" s="1">
        <v>41842</v>
      </c>
      <c r="B1146" t="s">
        <v>0</v>
      </c>
      <c r="C1146">
        <v>593.11431760000005</v>
      </c>
      <c r="D1146">
        <v>-8.9403096147875321E-3</v>
      </c>
      <c r="E1146">
        <v>0</v>
      </c>
      <c r="F1146">
        <v>578.74144417000002</v>
      </c>
      <c r="G1146">
        <v>7.5714738588981021</v>
      </c>
      <c r="H1146">
        <v>593.88439188779626</v>
      </c>
      <c r="I1146">
        <v>563.59849645220379</v>
      </c>
    </row>
    <row r="1147" spans="1:9" x14ac:dyDescent="0.25">
      <c r="A1147" s="1">
        <v>41843</v>
      </c>
      <c r="B1147" t="s">
        <v>0</v>
      </c>
      <c r="C1147">
        <v>594.35089559999994</v>
      </c>
      <c r="D1147">
        <v>-2.084889815176997E-3</v>
      </c>
      <c r="E1147">
        <v>0</v>
      </c>
      <c r="F1147">
        <v>580.30515669500005</v>
      </c>
      <c r="G1147">
        <v>7.6382072310468558</v>
      </c>
      <c r="H1147">
        <v>595.58157115709378</v>
      </c>
      <c r="I1147">
        <v>565.02874223290632</v>
      </c>
    </row>
    <row r="1148" spans="1:9" x14ac:dyDescent="0.25">
      <c r="A1148" s="1">
        <v>41844</v>
      </c>
      <c r="B1148" t="s">
        <v>0</v>
      </c>
      <c r="C1148">
        <v>591.7280816</v>
      </c>
      <c r="D1148">
        <v>4.4129049344700756E-3</v>
      </c>
      <c r="E1148">
        <v>1</v>
      </c>
      <c r="F1148">
        <v>581.03814647500008</v>
      </c>
      <c r="G1148">
        <v>7.3418350704997319</v>
      </c>
      <c r="H1148">
        <v>595.7218166159995</v>
      </c>
      <c r="I1148">
        <v>566.35447633400065</v>
      </c>
    </row>
    <row r="1149" spans="1:9" x14ac:dyDescent="0.25">
      <c r="A1149" s="1">
        <v>41845</v>
      </c>
      <c r="B1149" t="s">
        <v>0</v>
      </c>
      <c r="C1149">
        <v>587.40994699999999</v>
      </c>
      <c r="D1149">
        <v>7.2974981824827558E-3</v>
      </c>
      <c r="E1149">
        <v>1</v>
      </c>
      <c r="F1149">
        <v>581.68736818499997</v>
      </c>
      <c r="G1149">
        <v>7.6973876783258124</v>
      </c>
      <c r="H1149">
        <v>597.08214354165159</v>
      </c>
      <c r="I1149">
        <v>566.29259282834835</v>
      </c>
    </row>
    <row r="1150" spans="1:9" x14ac:dyDescent="0.25">
      <c r="A1150" s="1">
        <v>41848</v>
      </c>
      <c r="B1150" t="s">
        <v>0</v>
      </c>
      <c r="C1150">
        <v>588.98563690000003</v>
      </c>
      <c r="D1150">
        <v>-2.6824365301393901E-3</v>
      </c>
      <c r="E1150">
        <v>0</v>
      </c>
      <c r="F1150">
        <v>582.35354245000008</v>
      </c>
      <c r="G1150">
        <v>7.6612161864061852</v>
      </c>
      <c r="H1150">
        <v>597.67597482281246</v>
      </c>
      <c r="I1150">
        <v>567.03111007718769</v>
      </c>
    </row>
    <row r="1151" spans="1:9" x14ac:dyDescent="0.25">
      <c r="A1151" s="1">
        <v>41849</v>
      </c>
      <c r="B1151" t="s">
        <v>0</v>
      </c>
      <c r="C1151">
        <v>584.00923560000001</v>
      </c>
      <c r="D1151">
        <v>8.449104677988829E-3</v>
      </c>
      <c r="E1151">
        <v>1</v>
      </c>
      <c r="F1151">
        <v>582.86862962500004</v>
      </c>
      <c r="G1151">
        <v>7.6759394550122941</v>
      </c>
      <c r="H1151">
        <v>598.22050853502458</v>
      </c>
      <c r="I1151">
        <v>567.5167507149755</v>
      </c>
    </row>
    <row r="1152" spans="1:9" x14ac:dyDescent="0.25">
      <c r="A1152" s="1">
        <v>41850</v>
      </c>
      <c r="B1152" t="s">
        <v>0</v>
      </c>
      <c r="C1152">
        <v>585.81429679999997</v>
      </c>
      <c r="D1152">
        <v>-3.0908093399335868E-3</v>
      </c>
      <c r="E1152">
        <v>0</v>
      </c>
      <c r="F1152">
        <v>583.10548064999989</v>
      </c>
      <c r="G1152">
        <v>7.4057323734368081</v>
      </c>
      <c r="H1152">
        <v>597.91694539687353</v>
      </c>
      <c r="I1152">
        <v>568.29401590312625</v>
      </c>
    </row>
    <row r="1153" spans="1:9" x14ac:dyDescent="0.25">
      <c r="A1153" s="1">
        <v>41851</v>
      </c>
      <c r="B1153" t="s">
        <v>0</v>
      </c>
      <c r="C1153">
        <v>570.03755390000003</v>
      </c>
      <c r="D1153">
        <v>2.6931303974962892E-2</v>
      </c>
      <c r="E1153">
        <v>1</v>
      </c>
      <c r="F1153">
        <v>582.57019686999979</v>
      </c>
      <c r="G1153">
        <v>7.4358996977204068</v>
      </c>
      <c r="H1153">
        <v>597.44199626544059</v>
      </c>
      <c r="I1153">
        <v>567.69839747455899</v>
      </c>
    </row>
    <row r="1154" spans="1:9" x14ac:dyDescent="0.25">
      <c r="A1154" s="1">
        <v>41852</v>
      </c>
      <c r="B1154" t="s">
        <v>0</v>
      </c>
      <c r="C1154">
        <v>564.5226361</v>
      </c>
      <c r="D1154">
        <v>9.6746569805250069E-3</v>
      </c>
      <c r="E1154">
        <v>1</v>
      </c>
      <c r="F1154">
        <v>581.639745275</v>
      </c>
      <c r="G1154">
        <v>7.9902947997754454</v>
      </c>
      <c r="H1154">
        <v>597.62033487455085</v>
      </c>
      <c r="I1154">
        <v>565.65915567544914</v>
      </c>
    </row>
    <row r="1155" spans="1:9" x14ac:dyDescent="0.25">
      <c r="A1155" s="1">
        <v>41855</v>
      </c>
      <c r="B1155" t="s">
        <v>0</v>
      </c>
      <c r="C1155">
        <v>571.58333689999995</v>
      </c>
      <c r="D1155">
        <v>-1.2507382961255094E-2</v>
      </c>
      <c r="E1155">
        <v>0</v>
      </c>
      <c r="F1155">
        <v>581.18598955999983</v>
      </c>
      <c r="G1155">
        <v>8.8650541391910682</v>
      </c>
      <c r="H1155">
        <v>598.91609783838192</v>
      </c>
      <c r="I1155">
        <v>563.45588128161774</v>
      </c>
    </row>
    <row r="1156" spans="1:9" x14ac:dyDescent="0.25">
      <c r="A1156" s="1">
        <v>41856</v>
      </c>
      <c r="B1156" t="s">
        <v>0</v>
      </c>
      <c r="C1156">
        <v>563.52537810000001</v>
      </c>
      <c r="D1156">
        <v>1.4097609709377689E-2</v>
      </c>
      <c r="E1156">
        <v>1</v>
      </c>
      <c r="F1156">
        <v>580.88581119999992</v>
      </c>
      <c r="G1156">
        <v>9.1255643117545109</v>
      </c>
      <c r="H1156">
        <v>599.1369398235089</v>
      </c>
      <c r="I1156">
        <v>562.63468257649095</v>
      </c>
    </row>
    <row r="1157" spans="1:9" x14ac:dyDescent="0.25">
      <c r="A1157" s="1">
        <v>41857</v>
      </c>
      <c r="B1157" t="s">
        <v>0</v>
      </c>
      <c r="C1157">
        <v>564.82585959999994</v>
      </c>
      <c r="D1157">
        <v>-2.3077603077694161E-3</v>
      </c>
      <c r="E1157">
        <v>0</v>
      </c>
      <c r="F1157">
        <v>580.40183989499997</v>
      </c>
      <c r="G1157">
        <v>9.5984615407616563</v>
      </c>
      <c r="H1157">
        <v>599.59876297652329</v>
      </c>
      <c r="I1157">
        <v>561.20491681347664</v>
      </c>
    </row>
    <row r="1158" spans="1:9" x14ac:dyDescent="0.25">
      <c r="A1158" s="1">
        <v>41858</v>
      </c>
      <c r="B1158" t="s">
        <v>0</v>
      </c>
      <c r="C1158">
        <v>561.82004810000001</v>
      </c>
      <c r="D1158">
        <v>5.3216605594662413E-3</v>
      </c>
      <c r="E1158">
        <v>1</v>
      </c>
      <c r="F1158">
        <v>580.01589760000002</v>
      </c>
      <c r="G1158">
        <v>10.132694900337883</v>
      </c>
      <c r="H1158">
        <v>600.28128740067575</v>
      </c>
      <c r="I1158">
        <v>559.75050779932428</v>
      </c>
    </row>
    <row r="1159" spans="1:9" x14ac:dyDescent="0.25">
      <c r="A1159" s="1">
        <v>41859</v>
      </c>
      <c r="B1159" t="s">
        <v>0</v>
      </c>
      <c r="C1159">
        <v>567.21527549999996</v>
      </c>
      <c r="D1159">
        <v>-9.6031236661024977E-3</v>
      </c>
      <c r="E1159">
        <v>0</v>
      </c>
      <c r="F1159">
        <v>579.49681873500015</v>
      </c>
      <c r="G1159">
        <v>10.677406779786688</v>
      </c>
      <c r="H1159">
        <v>600.85163229457351</v>
      </c>
      <c r="I1159">
        <v>558.14200517542679</v>
      </c>
    </row>
    <row r="1160" spans="1:9" x14ac:dyDescent="0.25">
      <c r="A1160" s="1">
        <v>41862</v>
      </c>
      <c r="B1160" t="s">
        <v>0</v>
      </c>
      <c r="C1160">
        <v>566.32769829999995</v>
      </c>
      <c r="D1160">
        <v>1.5647977731516678E-3</v>
      </c>
      <c r="E1160">
        <v>1</v>
      </c>
      <c r="F1160">
        <v>578.64964086000009</v>
      </c>
      <c r="G1160">
        <v>11.049255521385819</v>
      </c>
      <c r="H1160">
        <v>600.74815190277172</v>
      </c>
      <c r="I1160">
        <v>556.55112981722846</v>
      </c>
    </row>
    <row r="1161" spans="1:9" x14ac:dyDescent="0.25">
      <c r="A1161" s="1">
        <v>41863</v>
      </c>
      <c r="B1161" t="s">
        <v>0</v>
      </c>
      <c r="C1161">
        <v>561.19180989999995</v>
      </c>
      <c r="D1161">
        <v>9.0687572149779835E-3</v>
      </c>
      <c r="E1161">
        <v>1</v>
      </c>
      <c r="F1161">
        <v>577.55015465000008</v>
      </c>
      <c r="G1161">
        <v>11.393790620016265</v>
      </c>
      <c r="H1161">
        <v>600.3377358900326</v>
      </c>
      <c r="I1161">
        <v>554.76257340996756</v>
      </c>
    </row>
    <row r="1162" spans="1:9" x14ac:dyDescent="0.25">
      <c r="A1162" s="1">
        <v>41864</v>
      </c>
      <c r="B1162" t="s">
        <v>0</v>
      </c>
      <c r="C1162">
        <v>573.20883219999996</v>
      </c>
      <c r="D1162">
        <v>-2.1413395719622759E-2</v>
      </c>
      <c r="E1162">
        <v>0</v>
      </c>
      <c r="F1162">
        <v>577.15722987499998</v>
      </c>
      <c r="G1162">
        <v>11.906595020998999</v>
      </c>
      <c r="H1162">
        <v>600.97041991699803</v>
      </c>
      <c r="I1162">
        <v>553.34403983300194</v>
      </c>
    </row>
    <row r="1163" spans="1:9" x14ac:dyDescent="0.25">
      <c r="A1163" s="1">
        <v>41865</v>
      </c>
      <c r="B1163" t="s">
        <v>0</v>
      </c>
      <c r="C1163">
        <v>573.0791931</v>
      </c>
      <c r="D1163">
        <v>2.2616382148614604E-4</v>
      </c>
      <c r="E1163">
        <v>1</v>
      </c>
      <c r="F1163">
        <v>577.20310408</v>
      </c>
      <c r="G1163">
        <v>11.907315331203183</v>
      </c>
      <c r="H1163">
        <v>601.01773474240633</v>
      </c>
      <c r="I1163">
        <v>553.38847341759367</v>
      </c>
    </row>
    <row r="1164" spans="1:9" x14ac:dyDescent="0.25">
      <c r="A1164" s="1">
        <v>41866</v>
      </c>
      <c r="B1164" t="s">
        <v>0</v>
      </c>
      <c r="C1164">
        <v>571.91244040000004</v>
      </c>
      <c r="D1164">
        <v>2.035936244149013E-3</v>
      </c>
      <c r="E1164">
        <v>1</v>
      </c>
      <c r="F1164">
        <v>576.12605761000009</v>
      </c>
      <c r="G1164">
        <v>11.938330551888793</v>
      </c>
      <c r="H1164">
        <v>600.00271871377765</v>
      </c>
      <c r="I1164">
        <v>552.24939650622252</v>
      </c>
    </row>
    <row r="1165" spans="1:9" x14ac:dyDescent="0.25">
      <c r="A1165" s="1">
        <v>41869</v>
      </c>
      <c r="B1165" t="s">
        <v>0</v>
      </c>
      <c r="C1165">
        <v>580.56866769999999</v>
      </c>
      <c r="D1165">
        <v>-1.5135581408136046E-2</v>
      </c>
      <c r="E1165">
        <v>0</v>
      </c>
      <c r="F1165">
        <v>575.76155704500002</v>
      </c>
      <c r="G1165">
        <v>11.337219153795218</v>
      </c>
      <c r="H1165">
        <v>598.43599535259045</v>
      </c>
      <c r="I1165">
        <v>553.08711873740958</v>
      </c>
    </row>
    <row r="1166" spans="1:9" x14ac:dyDescent="0.25">
      <c r="A1166" s="1">
        <v>41870</v>
      </c>
      <c r="B1166" t="s">
        <v>0</v>
      </c>
      <c r="C1166">
        <v>585.25582310000004</v>
      </c>
      <c r="D1166">
        <v>-8.0733867684745046E-3</v>
      </c>
      <c r="E1166">
        <v>0</v>
      </c>
      <c r="F1166">
        <v>575.36863232000007</v>
      </c>
      <c r="G1166">
        <v>11.06911584741351</v>
      </c>
      <c r="H1166">
        <v>597.5068640148271</v>
      </c>
      <c r="I1166">
        <v>553.23040062517305</v>
      </c>
    </row>
    <row r="1167" spans="1:9" x14ac:dyDescent="0.25">
      <c r="A1167" s="1">
        <v>41871</v>
      </c>
      <c r="B1167" t="s">
        <v>0</v>
      </c>
      <c r="C1167">
        <v>582.89228720000006</v>
      </c>
      <c r="D1167">
        <v>4.0384662684443571E-3</v>
      </c>
      <c r="E1167">
        <v>1</v>
      </c>
      <c r="F1167">
        <v>574.79570190000004</v>
      </c>
      <c r="G1167">
        <v>10.582813174330711</v>
      </c>
      <c r="H1167">
        <v>595.96132824866152</v>
      </c>
      <c r="I1167">
        <v>553.63007555133856</v>
      </c>
    </row>
    <row r="1168" spans="1:9" x14ac:dyDescent="0.25">
      <c r="A1168" s="1">
        <v>41872</v>
      </c>
      <c r="B1168" t="s">
        <v>0</v>
      </c>
      <c r="C1168">
        <v>581.77539960000001</v>
      </c>
      <c r="D1168">
        <v>1.916113190251938E-3</v>
      </c>
      <c r="E1168">
        <v>1</v>
      </c>
      <c r="F1168">
        <v>574.29806780000001</v>
      </c>
      <c r="G1168">
        <v>9.8184025698712034</v>
      </c>
      <c r="H1168">
        <v>593.93487293974238</v>
      </c>
      <c r="I1168">
        <v>554.66126266025765</v>
      </c>
    </row>
    <row r="1169" spans="1:9" x14ac:dyDescent="0.25">
      <c r="A1169" s="1">
        <v>41873</v>
      </c>
      <c r="B1169" t="s">
        <v>0</v>
      </c>
      <c r="C1169">
        <v>580.96759550000002</v>
      </c>
      <c r="D1169">
        <v>1.3885153971023949E-3</v>
      </c>
      <c r="E1169">
        <v>1</v>
      </c>
      <c r="F1169">
        <v>573.97595022499991</v>
      </c>
      <c r="G1169">
        <v>9.1711528307586523</v>
      </c>
      <c r="H1169">
        <v>592.31825588651725</v>
      </c>
      <c r="I1169">
        <v>555.63364456348256</v>
      </c>
    </row>
    <row r="1170" spans="1:9" x14ac:dyDescent="0.25">
      <c r="A1170" s="1">
        <v>41876</v>
      </c>
      <c r="B1170" t="s">
        <v>0</v>
      </c>
      <c r="C1170">
        <v>578.61406910000005</v>
      </c>
      <c r="D1170">
        <v>4.051045907258289E-3</v>
      </c>
      <c r="E1170">
        <v>1</v>
      </c>
      <c r="F1170">
        <v>573.457371835</v>
      </c>
      <c r="G1170">
        <v>8.8204030240541389</v>
      </c>
      <c r="H1170">
        <v>591.09817788310829</v>
      </c>
      <c r="I1170">
        <v>555.81656578689172</v>
      </c>
    </row>
    <row r="1171" spans="1:9" x14ac:dyDescent="0.25">
      <c r="A1171" s="1">
        <v>41877</v>
      </c>
      <c r="B1171" t="s">
        <v>0</v>
      </c>
      <c r="C1171">
        <v>576.280441</v>
      </c>
      <c r="D1171">
        <v>4.0331340432663105E-3</v>
      </c>
      <c r="E1171">
        <v>1</v>
      </c>
      <c r="F1171">
        <v>573.07093210499988</v>
      </c>
      <c r="G1171">
        <v>8.1989066776835493</v>
      </c>
      <c r="H1171">
        <v>589.46874546036702</v>
      </c>
      <c r="I1171">
        <v>556.67311874963275</v>
      </c>
    </row>
    <row r="1172" spans="1:9" x14ac:dyDescent="0.25">
      <c r="A1172" s="1">
        <v>41878</v>
      </c>
      <c r="B1172" t="s">
        <v>0</v>
      </c>
      <c r="C1172">
        <v>569.43916179999997</v>
      </c>
      <c r="D1172">
        <v>1.1871440904932657E-2</v>
      </c>
      <c r="E1172">
        <v>1</v>
      </c>
      <c r="F1172">
        <v>572.25217535499996</v>
      </c>
      <c r="G1172">
        <v>7.9009592154973269</v>
      </c>
      <c r="H1172">
        <v>588.05409378599461</v>
      </c>
      <c r="I1172">
        <v>556.45025692400532</v>
      </c>
    </row>
    <row r="1173" spans="1:9" x14ac:dyDescent="0.25">
      <c r="A1173" s="1">
        <v>41879</v>
      </c>
      <c r="B1173" t="s">
        <v>0</v>
      </c>
      <c r="C1173">
        <v>567.64411010000003</v>
      </c>
      <c r="D1173">
        <v>3.1523151557152546E-3</v>
      </c>
      <c r="E1173">
        <v>1</v>
      </c>
      <c r="F1173">
        <v>572.13250316500012</v>
      </c>
      <c r="G1173">
        <v>7.3238359700771385</v>
      </c>
      <c r="H1173">
        <v>586.7801751051544</v>
      </c>
      <c r="I1173">
        <v>557.48483122484583</v>
      </c>
    </row>
    <row r="1174" spans="1:9" x14ac:dyDescent="0.25">
      <c r="A1174" s="1">
        <v>41880</v>
      </c>
      <c r="B1174" t="s">
        <v>0</v>
      </c>
      <c r="C1174">
        <v>570.03755390000003</v>
      </c>
      <c r="D1174">
        <v>-4.2164513951855409E-3</v>
      </c>
      <c r="E1174">
        <v>0</v>
      </c>
      <c r="F1174">
        <v>572.40824905500006</v>
      </c>
      <c r="G1174">
        <v>7.3825776058635855</v>
      </c>
      <c r="H1174">
        <v>587.17340426672718</v>
      </c>
      <c r="I1174">
        <v>557.64309384327294</v>
      </c>
    </row>
    <row r="1175" spans="1:9" x14ac:dyDescent="0.25">
      <c r="A1175" s="1">
        <v>41884</v>
      </c>
      <c r="B1175" t="s">
        <v>0</v>
      </c>
      <c r="C1175">
        <v>575.75187419999997</v>
      </c>
      <c r="D1175">
        <v>-1.0024462881269023E-2</v>
      </c>
      <c r="E1175">
        <v>0</v>
      </c>
      <c r="F1175">
        <v>572.61667592000003</v>
      </c>
      <c r="G1175">
        <v>7.1915060353688105</v>
      </c>
      <c r="H1175">
        <v>586.9996879907377</v>
      </c>
      <c r="I1175">
        <v>558.23366384926237</v>
      </c>
    </row>
    <row r="1176" spans="1:9" x14ac:dyDescent="0.25">
      <c r="A1176" s="1">
        <v>41885</v>
      </c>
      <c r="B1176" t="s">
        <v>0</v>
      </c>
      <c r="C1176">
        <v>576.36021400000004</v>
      </c>
      <c r="D1176">
        <v>-1.056600642152225E-3</v>
      </c>
      <c r="E1176">
        <v>0</v>
      </c>
      <c r="F1176">
        <v>573.25841771500006</v>
      </c>
      <c r="G1176">
        <v>7.2503569239333947</v>
      </c>
      <c r="H1176">
        <v>587.75913156286686</v>
      </c>
      <c r="I1176">
        <v>558.75770386713327</v>
      </c>
    </row>
    <row r="1177" spans="1:9" x14ac:dyDescent="0.25">
      <c r="A1177" s="1">
        <v>41886</v>
      </c>
      <c r="B1177" t="s">
        <v>0</v>
      </c>
      <c r="C1177">
        <v>580.38916259999996</v>
      </c>
      <c r="D1177">
        <v>-6.9903308766554127E-3</v>
      </c>
      <c r="E1177">
        <v>0</v>
      </c>
      <c r="F1177">
        <v>574.03658286500001</v>
      </c>
      <c r="G1177">
        <v>6.9941168511419249</v>
      </c>
      <c r="H1177">
        <v>588.02481656728389</v>
      </c>
      <c r="I1177">
        <v>560.04834916271614</v>
      </c>
    </row>
    <row r="1178" spans="1:9" x14ac:dyDescent="0.25">
      <c r="A1178" s="1">
        <v>41887</v>
      </c>
      <c r="B1178" t="s">
        <v>0</v>
      </c>
      <c r="C1178">
        <v>584.47798769999997</v>
      </c>
      <c r="D1178">
        <v>-7.0449714837594185E-3</v>
      </c>
      <c r="E1178">
        <v>0</v>
      </c>
      <c r="F1178">
        <v>575.16947984500007</v>
      </c>
      <c r="G1178">
        <v>6.926544478019081</v>
      </c>
      <c r="H1178">
        <v>589.02256880103823</v>
      </c>
      <c r="I1178">
        <v>561.31639088896191</v>
      </c>
    </row>
    <row r="1179" spans="1:9" x14ac:dyDescent="0.25">
      <c r="A1179" s="1">
        <v>41890</v>
      </c>
      <c r="B1179" t="s">
        <v>0</v>
      </c>
      <c r="C1179">
        <v>588.10800849999998</v>
      </c>
      <c r="D1179">
        <v>-6.2107057517848266E-3</v>
      </c>
      <c r="E1179">
        <v>0</v>
      </c>
      <c r="F1179">
        <v>576.21411649499998</v>
      </c>
      <c r="G1179">
        <v>6.6701074702817795</v>
      </c>
      <c r="H1179">
        <v>589.55433143556354</v>
      </c>
      <c r="I1179">
        <v>562.87390155443643</v>
      </c>
    </row>
    <row r="1180" spans="1:9" x14ac:dyDescent="0.25">
      <c r="A1180" s="1">
        <v>41891</v>
      </c>
      <c r="B1180" t="s">
        <v>0</v>
      </c>
      <c r="C1180">
        <v>579.42181240000002</v>
      </c>
      <c r="D1180">
        <v>1.4769729326003492E-2</v>
      </c>
      <c r="E1180">
        <v>1</v>
      </c>
      <c r="F1180">
        <v>576.86882219999995</v>
      </c>
      <c r="G1180">
        <v>6.9241064126668199</v>
      </c>
      <c r="H1180">
        <v>590.71703502533364</v>
      </c>
      <c r="I1180">
        <v>563.02060937466626</v>
      </c>
    </row>
    <row r="1181" spans="1:9" x14ac:dyDescent="0.25">
      <c r="A1181" s="1">
        <v>41892</v>
      </c>
      <c r="B1181" t="s">
        <v>0</v>
      </c>
      <c r="C1181">
        <v>581.50611100000003</v>
      </c>
      <c r="D1181">
        <v>-3.5972042394585057E-3</v>
      </c>
      <c r="E1181">
        <v>0</v>
      </c>
      <c r="F1181">
        <v>577.88453725499994</v>
      </c>
      <c r="G1181">
        <v>6.6140040808268754</v>
      </c>
      <c r="H1181">
        <v>591.11254541665369</v>
      </c>
      <c r="I1181">
        <v>564.65652909334619</v>
      </c>
    </row>
    <row r="1182" spans="1:9" x14ac:dyDescent="0.25">
      <c r="A1182" s="1">
        <v>41893</v>
      </c>
      <c r="B1182" t="s">
        <v>0</v>
      </c>
      <c r="C1182">
        <v>579.76092540000002</v>
      </c>
      <c r="D1182">
        <v>3.0011474806324319E-3</v>
      </c>
      <c r="E1182">
        <v>1</v>
      </c>
      <c r="F1182">
        <v>578.21214191499996</v>
      </c>
      <c r="G1182">
        <v>5.529539518491001</v>
      </c>
      <c r="H1182">
        <v>589.27122095198195</v>
      </c>
      <c r="I1182">
        <v>567.15306287801798</v>
      </c>
    </row>
    <row r="1183" spans="1:9" x14ac:dyDescent="0.25">
      <c r="A1183" s="1">
        <v>41894</v>
      </c>
      <c r="B1183" t="s">
        <v>0</v>
      </c>
      <c r="C1183">
        <v>574.04654419999997</v>
      </c>
      <c r="D1183">
        <v>9.8564441818107529E-3</v>
      </c>
      <c r="E1183">
        <v>1</v>
      </c>
      <c r="F1183">
        <v>578.26050946999999</v>
      </c>
      <c r="G1183">
        <v>5.4264562852648268</v>
      </c>
      <c r="H1183">
        <v>589.1134220405296</v>
      </c>
      <c r="I1183">
        <v>567.40759689947038</v>
      </c>
    </row>
    <row r="1184" spans="1:9" x14ac:dyDescent="0.25">
      <c r="A1184" s="1">
        <v>41897</v>
      </c>
      <c r="B1184" t="s">
        <v>0</v>
      </c>
      <c r="C1184">
        <v>571.5334709</v>
      </c>
      <c r="D1184">
        <v>4.3778214944264334E-3</v>
      </c>
      <c r="E1184">
        <v>1</v>
      </c>
      <c r="F1184">
        <v>578.24156099499999</v>
      </c>
      <c r="G1184">
        <v>5.3844554097078188</v>
      </c>
      <c r="H1184">
        <v>589.01047181441561</v>
      </c>
      <c r="I1184">
        <v>567.47265017558436</v>
      </c>
    </row>
    <row r="1185" spans="1:9" x14ac:dyDescent="0.25">
      <c r="A1185" s="1">
        <v>41898</v>
      </c>
      <c r="B1185" t="s">
        <v>0</v>
      </c>
      <c r="C1185">
        <v>578.36473960000001</v>
      </c>
      <c r="D1185">
        <v>-1.1952526051086276E-2</v>
      </c>
      <c r="E1185">
        <v>0</v>
      </c>
      <c r="F1185">
        <v>578.13136459000009</v>
      </c>
      <c r="G1185">
        <v>5.4084691519538062</v>
      </c>
      <c r="H1185">
        <v>588.94830289390768</v>
      </c>
      <c r="I1185">
        <v>567.3144262860925</v>
      </c>
    </row>
    <row r="1186" spans="1:9" x14ac:dyDescent="0.25">
      <c r="A1186" s="1">
        <v>41899</v>
      </c>
      <c r="B1186" t="s">
        <v>0</v>
      </c>
      <c r="C1186">
        <v>583.1715246</v>
      </c>
      <c r="D1186">
        <v>-8.310992477384406E-3</v>
      </c>
      <c r="E1186">
        <v>0</v>
      </c>
      <c r="F1186">
        <v>578.02714966500002</v>
      </c>
      <c r="G1186">
        <v>5.3822021692326398</v>
      </c>
      <c r="H1186">
        <v>588.79155400346531</v>
      </c>
      <c r="I1186">
        <v>567.26274532653474</v>
      </c>
    </row>
    <row r="1187" spans="1:9" x14ac:dyDescent="0.25">
      <c r="A1187" s="1">
        <v>41900</v>
      </c>
      <c r="B1187" t="s">
        <v>0</v>
      </c>
      <c r="C1187">
        <v>587.65927650000003</v>
      </c>
      <c r="D1187">
        <v>-7.6954235772712055E-3</v>
      </c>
      <c r="E1187">
        <v>0</v>
      </c>
      <c r="F1187">
        <v>578.26549913000019</v>
      </c>
      <c r="G1187">
        <v>5.2664460834662936</v>
      </c>
      <c r="H1187">
        <v>588.79839129693278</v>
      </c>
      <c r="I1187">
        <v>567.73260696306761</v>
      </c>
    </row>
    <row r="1188" spans="1:9" x14ac:dyDescent="0.25">
      <c r="A1188" s="1">
        <v>41901</v>
      </c>
      <c r="B1188" t="s">
        <v>0</v>
      </c>
      <c r="C1188">
        <v>594.45062780000001</v>
      </c>
      <c r="D1188">
        <v>-1.1556613792346003E-2</v>
      </c>
      <c r="E1188">
        <v>0</v>
      </c>
      <c r="F1188">
        <v>578.89926054000011</v>
      </c>
      <c r="G1188">
        <v>5.6106062191606512</v>
      </c>
      <c r="H1188">
        <v>590.12047297832146</v>
      </c>
      <c r="I1188">
        <v>567.67804810167877</v>
      </c>
    </row>
    <row r="1189" spans="1:9" x14ac:dyDescent="0.25">
      <c r="A1189" s="1">
        <v>41904</v>
      </c>
      <c r="B1189" t="s">
        <v>0</v>
      </c>
      <c r="C1189">
        <v>585.76443180000001</v>
      </c>
      <c r="D1189">
        <v>1.461214034233037E-2</v>
      </c>
      <c r="E1189">
        <v>1</v>
      </c>
      <c r="F1189">
        <v>579.13910235499998</v>
      </c>
      <c r="G1189">
        <v>6.5738168997055002</v>
      </c>
      <c r="H1189">
        <v>592.28673615441096</v>
      </c>
      <c r="I1189">
        <v>565.99146855558899</v>
      </c>
    </row>
    <row r="1190" spans="1:9" x14ac:dyDescent="0.25">
      <c r="A1190" s="1">
        <v>41905</v>
      </c>
      <c r="B1190" t="s">
        <v>0</v>
      </c>
      <c r="C1190">
        <v>579.54150279999999</v>
      </c>
      <c r="D1190">
        <v>1.0623603384175334E-2</v>
      </c>
      <c r="E1190">
        <v>1</v>
      </c>
      <c r="F1190">
        <v>579.18547403999992</v>
      </c>
      <c r="G1190">
        <v>6.7264254338910936</v>
      </c>
      <c r="H1190">
        <v>592.63832490778213</v>
      </c>
      <c r="I1190">
        <v>565.7326231722177</v>
      </c>
    </row>
    <row r="1191" spans="1:9" x14ac:dyDescent="0.25">
      <c r="A1191" s="1">
        <v>41906</v>
      </c>
      <c r="B1191" t="s">
        <v>0</v>
      </c>
      <c r="C1191">
        <v>586.38272019999999</v>
      </c>
      <c r="D1191">
        <v>-1.1804534044494329E-2</v>
      </c>
      <c r="E1191">
        <v>0</v>
      </c>
      <c r="F1191">
        <v>579.69058800000005</v>
      </c>
      <c r="G1191">
        <v>6.7446239238306278</v>
      </c>
      <c r="H1191">
        <v>593.17983584766125</v>
      </c>
      <c r="I1191">
        <v>566.20134015233884</v>
      </c>
    </row>
    <row r="1192" spans="1:9" x14ac:dyDescent="0.25">
      <c r="A1192" s="1">
        <v>41907</v>
      </c>
      <c r="B1192" t="s">
        <v>0</v>
      </c>
      <c r="C1192">
        <v>573.48806950000005</v>
      </c>
      <c r="D1192">
        <v>2.1990161469290757E-2</v>
      </c>
      <c r="E1192">
        <v>1</v>
      </c>
      <c r="F1192">
        <v>579.89303338499997</v>
      </c>
      <c r="G1192">
        <v>6.8694040897918924</v>
      </c>
      <c r="H1192">
        <v>593.63184156458374</v>
      </c>
      <c r="I1192">
        <v>566.1542252054162</v>
      </c>
    </row>
    <row r="1193" spans="1:9" x14ac:dyDescent="0.25">
      <c r="A1193" s="1">
        <v>41908</v>
      </c>
      <c r="B1193" t="s">
        <v>0</v>
      </c>
      <c r="C1193">
        <v>575.52250300000003</v>
      </c>
      <c r="D1193">
        <v>-3.5474731004843984E-3</v>
      </c>
      <c r="E1193">
        <v>0</v>
      </c>
      <c r="F1193">
        <v>580.28695302999995</v>
      </c>
      <c r="G1193">
        <v>6.6280383069344584</v>
      </c>
      <c r="H1193">
        <v>593.54302964386886</v>
      </c>
      <c r="I1193">
        <v>567.03087641613104</v>
      </c>
    </row>
    <row r="1194" spans="1:9" x14ac:dyDescent="0.25">
      <c r="A1194" s="1">
        <v>41911</v>
      </c>
      <c r="B1194" t="s">
        <v>0</v>
      </c>
      <c r="C1194">
        <v>574.7845231</v>
      </c>
      <c r="D1194">
        <v>1.282278097125991E-3</v>
      </c>
      <c r="E1194">
        <v>1</v>
      </c>
      <c r="F1194">
        <v>580.52430148999997</v>
      </c>
      <c r="G1194">
        <v>6.0934515199877337</v>
      </c>
      <c r="H1194">
        <v>592.71120452997548</v>
      </c>
      <c r="I1194">
        <v>568.33739845002447</v>
      </c>
    </row>
    <row r="1195" spans="1:9" x14ac:dyDescent="0.25">
      <c r="A1195" s="1">
        <v>41912</v>
      </c>
      <c r="B1195" t="s">
        <v>0</v>
      </c>
      <c r="C1195">
        <v>575.78178109999999</v>
      </c>
      <c r="D1195">
        <v>-1.735011921722337E-3</v>
      </c>
      <c r="E1195">
        <v>0</v>
      </c>
      <c r="F1195">
        <v>580.52579683500005</v>
      </c>
      <c r="G1195">
        <v>5.7687791351372235</v>
      </c>
      <c r="H1195">
        <v>592.06335510527447</v>
      </c>
      <c r="I1195">
        <v>568.98823856472563</v>
      </c>
    </row>
    <row r="1196" spans="1:9" x14ac:dyDescent="0.25">
      <c r="A1196" s="1">
        <v>41913</v>
      </c>
      <c r="B1196" t="s">
        <v>0</v>
      </c>
      <c r="C1196">
        <v>566.71667639999998</v>
      </c>
      <c r="D1196">
        <v>1.5743993640579618E-2</v>
      </c>
      <c r="E1196">
        <v>1</v>
      </c>
      <c r="F1196">
        <v>580.04361995500005</v>
      </c>
      <c r="G1196">
        <v>5.7876657343050786</v>
      </c>
      <c r="H1196">
        <v>591.61895142361016</v>
      </c>
      <c r="I1196">
        <v>568.46828848638995</v>
      </c>
    </row>
    <row r="1197" spans="1:9" x14ac:dyDescent="0.25">
      <c r="A1197" s="1">
        <v>41914</v>
      </c>
      <c r="B1197" t="s">
        <v>0</v>
      </c>
      <c r="C1197">
        <v>568.52167770000005</v>
      </c>
      <c r="D1197">
        <v>-3.1850153262934257E-3</v>
      </c>
      <c r="E1197">
        <v>0</v>
      </c>
      <c r="F1197">
        <v>579.45024570999999</v>
      </c>
      <c r="G1197">
        <v>6.4846869547511625</v>
      </c>
      <c r="H1197">
        <v>592.41961961950233</v>
      </c>
      <c r="I1197">
        <v>566.48087180049765</v>
      </c>
    </row>
    <row r="1198" spans="1:9" x14ac:dyDescent="0.25">
      <c r="A1198" s="1">
        <v>41915</v>
      </c>
      <c r="B1198" t="s">
        <v>0</v>
      </c>
      <c r="C1198">
        <v>573.70749209999997</v>
      </c>
      <c r="D1198">
        <v>-9.1215772474666935E-3</v>
      </c>
      <c r="E1198">
        <v>0</v>
      </c>
      <c r="F1198">
        <v>578.91172093</v>
      </c>
      <c r="G1198">
        <v>6.9475733555636028</v>
      </c>
      <c r="H1198">
        <v>592.80686764112716</v>
      </c>
      <c r="I1198">
        <v>565.01657421887285</v>
      </c>
    </row>
    <row r="1199" spans="1:9" x14ac:dyDescent="0.25">
      <c r="A1199" s="1">
        <v>41918</v>
      </c>
      <c r="B1199" t="s">
        <v>0</v>
      </c>
      <c r="C1199">
        <v>575.77183239999999</v>
      </c>
      <c r="D1199">
        <v>-3.5982453226185195E-3</v>
      </c>
      <c r="E1199">
        <v>0</v>
      </c>
      <c r="F1199">
        <v>578.29491212500011</v>
      </c>
      <c r="G1199">
        <v>6.960909583586945</v>
      </c>
      <c r="H1199">
        <v>592.21673129217402</v>
      </c>
      <c r="I1199">
        <v>564.3730929578262</v>
      </c>
    </row>
    <row r="1200" spans="1:9" x14ac:dyDescent="0.25">
      <c r="A1200" s="1">
        <v>41919</v>
      </c>
      <c r="B1200" t="s">
        <v>0</v>
      </c>
      <c r="C1200">
        <v>562.19901660000005</v>
      </c>
      <c r="D1200">
        <v>2.3573254258417147E-2</v>
      </c>
      <c r="E1200">
        <v>1</v>
      </c>
      <c r="F1200">
        <v>577.43377233500007</v>
      </c>
      <c r="G1200">
        <v>6.6857518283643511</v>
      </c>
      <c r="H1200">
        <v>590.80527599172876</v>
      </c>
      <c r="I1200">
        <v>564.06226867827138</v>
      </c>
    </row>
    <row r="1201" spans="1:9" x14ac:dyDescent="0.25">
      <c r="A1201" s="1">
        <v>41920</v>
      </c>
      <c r="B1201" t="s">
        <v>0</v>
      </c>
      <c r="C1201">
        <v>570.93507969999996</v>
      </c>
      <c r="D1201">
        <v>-1.5539093527471513E-2</v>
      </c>
      <c r="E1201">
        <v>0</v>
      </c>
      <c r="F1201">
        <v>576.90522077000003</v>
      </c>
      <c r="G1201">
        <v>7.5090557474022486</v>
      </c>
      <c r="H1201">
        <v>591.92333226480457</v>
      </c>
      <c r="I1201">
        <v>561.88710927519548</v>
      </c>
    </row>
    <row r="1202" spans="1:9" x14ac:dyDescent="0.25">
      <c r="A1202" s="1">
        <v>41921</v>
      </c>
      <c r="B1202" t="s">
        <v>0</v>
      </c>
      <c r="C1202">
        <v>559.34683129999996</v>
      </c>
      <c r="D1202">
        <v>2.0296963371192901E-2</v>
      </c>
      <c r="E1202">
        <v>1</v>
      </c>
      <c r="F1202">
        <v>575.88451606500007</v>
      </c>
      <c r="G1202">
        <v>7.6257115069194263</v>
      </c>
      <c r="H1202">
        <v>591.13593907883887</v>
      </c>
      <c r="I1202">
        <v>560.63309305116127</v>
      </c>
    </row>
    <row r="1203" spans="1:9" x14ac:dyDescent="0.25">
      <c r="A1203" s="1">
        <v>41922</v>
      </c>
      <c r="B1203" t="s">
        <v>0</v>
      </c>
      <c r="C1203">
        <v>543.00166490000004</v>
      </c>
      <c r="D1203">
        <v>2.9221880746175825E-2</v>
      </c>
      <c r="E1203">
        <v>1</v>
      </c>
      <c r="F1203">
        <v>574.33227210000018</v>
      </c>
      <c r="G1203">
        <v>8.5723019496716173</v>
      </c>
      <c r="H1203">
        <v>591.47687599934341</v>
      </c>
      <c r="I1203">
        <v>557.18766820065696</v>
      </c>
    </row>
    <row r="1204" spans="1:9" x14ac:dyDescent="0.25">
      <c r="A1204" s="1">
        <v>41925</v>
      </c>
      <c r="B1204" t="s">
        <v>0</v>
      </c>
      <c r="C1204">
        <v>531.75246760000005</v>
      </c>
      <c r="D1204">
        <v>2.0716690255584501E-2</v>
      </c>
      <c r="E1204">
        <v>1</v>
      </c>
      <c r="F1204">
        <v>572.34322193500009</v>
      </c>
      <c r="G1204">
        <v>11.247975223551265</v>
      </c>
      <c r="H1204">
        <v>594.83917238210256</v>
      </c>
      <c r="I1204">
        <v>549.84727148789761</v>
      </c>
    </row>
    <row r="1205" spans="1:9" x14ac:dyDescent="0.25">
      <c r="A1205" s="1">
        <v>41926</v>
      </c>
      <c r="B1205" t="s">
        <v>0</v>
      </c>
      <c r="C1205">
        <v>536.4695309</v>
      </c>
      <c r="D1205">
        <v>-8.8707877958514036E-3</v>
      </c>
      <c r="E1205">
        <v>0</v>
      </c>
      <c r="F1205">
        <v>570.24846150000008</v>
      </c>
      <c r="G1205">
        <v>14.603172598683694</v>
      </c>
      <c r="H1205">
        <v>599.45480669736742</v>
      </c>
      <c r="I1205">
        <v>541.04211630263273</v>
      </c>
    </row>
    <row r="1206" spans="1:9" x14ac:dyDescent="0.25">
      <c r="A1206" s="1">
        <v>41927</v>
      </c>
      <c r="B1206" t="s">
        <v>0</v>
      </c>
      <c r="C1206">
        <v>528.58118930000001</v>
      </c>
      <c r="D1206">
        <v>1.4704174506921637E-2</v>
      </c>
      <c r="E1206">
        <v>1</v>
      </c>
      <c r="F1206">
        <v>567.5189447350001</v>
      </c>
      <c r="G1206">
        <v>16.566834967232456</v>
      </c>
      <c r="H1206">
        <v>600.65261466946504</v>
      </c>
      <c r="I1206">
        <v>534.38527480053517</v>
      </c>
    </row>
    <row r="1207" spans="1:9" x14ac:dyDescent="0.25">
      <c r="A1207" s="1">
        <v>41928</v>
      </c>
      <c r="B1207" t="s">
        <v>0</v>
      </c>
      <c r="C1207">
        <v>523.07628109999996</v>
      </c>
      <c r="D1207">
        <v>1.0414498872519839E-2</v>
      </c>
      <c r="E1207">
        <v>1</v>
      </c>
      <c r="F1207">
        <v>564.28979496499994</v>
      </c>
      <c r="G1207">
        <v>18.666673676980896</v>
      </c>
      <c r="H1207">
        <v>601.62314231896175</v>
      </c>
      <c r="I1207">
        <v>526.95644761103813</v>
      </c>
    </row>
    <row r="1208" spans="1:9" x14ac:dyDescent="0.25">
      <c r="A1208" s="1">
        <v>41929</v>
      </c>
      <c r="B1208" t="s">
        <v>0</v>
      </c>
      <c r="C1208">
        <v>509.77272399999998</v>
      </c>
      <c r="D1208">
        <v>2.5433302140986675E-2</v>
      </c>
      <c r="E1208">
        <v>1</v>
      </c>
      <c r="F1208">
        <v>560.05589977499994</v>
      </c>
      <c r="G1208">
        <v>20.591056979598907</v>
      </c>
      <c r="H1208">
        <v>601.23801373419781</v>
      </c>
      <c r="I1208">
        <v>518.87378581580208</v>
      </c>
    </row>
    <row r="1209" spans="1:9" x14ac:dyDescent="0.25">
      <c r="A1209" s="1">
        <v>41932</v>
      </c>
      <c r="B1209" t="s">
        <v>0</v>
      </c>
      <c r="C1209">
        <v>519.41629160000002</v>
      </c>
      <c r="D1209">
        <v>-1.8917386407673001E-2</v>
      </c>
      <c r="E1209">
        <v>0</v>
      </c>
      <c r="F1209">
        <v>556.73849276499993</v>
      </c>
      <c r="G1209">
        <v>22.411310521974777</v>
      </c>
      <c r="H1209">
        <v>601.56111380894947</v>
      </c>
      <c r="I1209">
        <v>511.91587172105039</v>
      </c>
    </row>
    <row r="1210" spans="1:9" x14ac:dyDescent="0.25">
      <c r="A1210" s="1">
        <v>41933</v>
      </c>
      <c r="B1210" t="s">
        <v>0</v>
      </c>
      <c r="C1210">
        <v>525.10070499999995</v>
      </c>
      <c r="D1210">
        <v>-1.0943848877919804E-2</v>
      </c>
      <c r="E1210">
        <v>0</v>
      </c>
      <c r="F1210">
        <v>554.01645287499991</v>
      </c>
      <c r="G1210">
        <v>23.177541254886986</v>
      </c>
      <c r="H1210">
        <v>600.37153538477389</v>
      </c>
      <c r="I1210">
        <v>507.66137036522593</v>
      </c>
    </row>
    <row r="1211" spans="1:9" x14ac:dyDescent="0.25">
      <c r="A1211" s="1">
        <v>41934</v>
      </c>
      <c r="B1211" t="s">
        <v>0</v>
      </c>
      <c r="C1211">
        <v>531.25386949999995</v>
      </c>
      <c r="D1211">
        <v>-1.1718065585152858E-2</v>
      </c>
      <c r="E1211">
        <v>0</v>
      </c>
      <c r="F1211">
        <v>551.26001033999989</v>
      </c>
      <c r="G1211">
        <v>23.537757096749615</v>
      </c>
      <c r="H1211">
        <v>598.3355245334991</v>
      </c>
      <c r="I1211">
        <v>504.18449614650069</v>
      </c>
    </row>
    <row r="1212" spans="1:9" x14ac:dyDescent="0.25">
      <c r="A1212" s="1">
        <v>41935</v>
      </c>
      <c r="B1212" t="s">
        <v>0</v>
      </c>
      <c r="C1212">
        <v>542.49305630000003</v>
      </c>
      <c r="D1212">
        <v>-2.1155962234360882E-2</v>
      </c>
      <c r="E1212">
        <v>0</v>
      </c>
      <c r="F1212">
        <v>549.71025968000004</v>
      </c>
      <c r="G1212">
        <v>22.688318192932794</v>
      </c>
      <c r="H1212">
        <v>595.08689606586563</v>
      </c>
      <c r="I1212">
        <v>504.33362329413444</v>
      </c>
    </row>
    <row r="1213" spans="1:9" x14ac:dyDescent="0.25">
      <c r="A1213" s="1">
        <v>41936</v>
      </c>
      <c r="B1213" t="s">
        <v>0</v>
      </c>
      <c r="C1213">
        <v>538.30449999999996</v>
      </c>
      <c r="D1213">
        <v>7.7209399297523736E-3</v>
      </c>
      <c r="E1213">
        <v>1</v>
      </c>
      <c r="F1213">
        <v>547.8493595299999</v>
      </c>
      <c r="G1213">
        <v>22.193645960761959</v>
      </c>
      <c r="H1213">
        <v>592.23665145152381</v>
      </c>
      <c r="I1213">
        <v>503.46206760847599</v>
      </c>
    </row>
    <row r="1214" spans="1:9" x14ac:dyDescent="0.25">
      <c r="A1214" s="1">
        <v>41939</v>
      </c>
      <c r="B1214" t="s">
        <v>0</v>
      </c>
      <c r="C1214">
        <v>539.29180929999995</v>
      </c>
      <c r="D1214">
        <v>-1.8341093191678551E-3</v>
      </c>
      <c r="E1214">
        <v>0</v>
      </c>
      <c r="F1214">
        <v>546.07472384000005</v>
      </c>
      <c r="G1214">
        <v>21.493541508106059</v>
      </c>
      <c r="H1214">
        <v>589.06180685621212</v>
      </c>
      <c r="I1214">
        <v>503.08764082378792</v>
      </c>
    </row>
    <row r="1215" spans="1:9" x14ac:dyDescent="0.25">
      <c r="A1215" s="1">
        <v>41940</v>
      </c>
      <c r="B1215" t="s">
        <v>0</v>
      </c>
      <c r="C1215">
        <v>547.39957249999998</v>
      </c>
      <c r="D1215">
        <v>-1.5034092971899365E-2</v>
      </c>
      <c r="E1215">
        <v>0</v>
      </c>
      <c r="F1215">
        <v>544.65561341</v>
      </c>
      <c r="G1215">
        <v>20.617322056430737</v>
      </c>
      <c r="H1215">
        <v>585.89025752286148</v>
      </c>
      <c r="I1215">
        <v>503.42096929713853</v>
      </c>
    </row>
    <row r="1216" spans="1:9" x14ac:dyDescent="0.25">
      <c r="A1216" s="1">
        <v>41941</v>
      </c>
      <c r="B1216" t="s">
        <v>0</v>
      </c>
      <c r="C1216">
        <v>547.82840710000005</v>
      </c>
      <c r="D1216">
        <v>-7.8340324242776591E-4</v>
      </c>
      <c r="E1216">
        <v>0</v>
      </c>
      <c r="F1216">
        <v>543.71119994500009</v>
      </c>
      <c r="G1216">
        <v>19.439661401180274</v>
      </c>
      <c r="H1216">
        <v>582.59052274736064</v>
      </c>
      <c r="I1216">
        <v>504.83187714263954</v>
      </c>
    </row>
    <row r="1217" spans="1:9" x14ac:dyDescent="0.25">
      <c r="A1217" s="1">
        <v>41942</v>
      </c>
      <c r="B1217" t="s">
        <v>0</v>
      </c>
      <c r="C1217">
        <v>548.80576780000001</v>
      </c>
      <c r="D1217">
        <v>-1.7840635632126985E-3</v>
      </c>
      <c r="E1217">
        <v>0</v>
      </c>
      <c r="F1217">
        <v>542.72540445000004</v>
      </c>
      <c r="G1217">
        <v>18.795137683514902</v>
      </c>
      <c r="H1217">
        <v>580.31567981702983</v>
      </c>
      <c r="I1217">
        <v>505.13512908297025</v>
      </c>
    </row>
    <row r="1218" spans="1:9" x14ac:dyDescent="0.25">
      <c r="A1218" s="1">
        <v>41943</v>
      </c>
      <c r="B1218" t="s">
        <v>0</v>
      </c>
      <c r="C1218">
        <v>557.55177960000003</v>
      </c>
      <c r="D1218">
        <v>-1.5936442933280736E-2</v>
      </c>
      <c r="E1218">
        <v>0</v>
      </c>
      <c r="F1218">
        <v>541.91761882500009</v>
      </c>
      <c r="G1218">
        <v>17.957891674754201</v>
      </c>
      <c r="H1218">
        <v>577.83340217450848</v>
      </c>
      <c r="I1218">
        <v>506.0018354754917</v>
      </c>
    </row>
    <row r="1219" spans="1:9" x14ac:dyDescent="0.25">
      <c r="A1219" s="1">
        <v>41946</v>
      </c>
      <c r="B1219" t="s">
        <v>0</v>
      </c>
      <c r="C1219">
        <v>553.70233519999999</v>
      </c>
      <c r="D1219">
        <v>6.9041917555383199E-3</v>
      </c>
      <c r="E1219">
        <v>1</v>
      </c>
      <c r="F1219">
        <v>540.81414396500008</v>
      </c>
      <c r="G1219">
        <v>16.89364014011657</v>
      </c>
      <c r="H1219">
        <v>574.60142424523326</v>
      </c>
      <c r="I1219">
        <v>507.02686368476697</v>
      </c>
    </row>
    <row r="1220" spans="1:9" x14ac:dyDescent="0.25">
      <c r="A1220" s="1">
        <v>41947</v>
      </c>
      <c r="B1220" t="s">
        <v>0</v>
      </c>
      <c r="C1220">
        <v>552.59533550000003</v>
      </c>
      <c r="D1220">
        <v>1.9992686135233773E-3</v>
      </c>
      <c r="E1220">
        <v>1</v>
      </c>
      <c r="F1220">
        <v>540.33395991000009</v>
      </c>
      <c r="G1220">
        <v>15.258732861545353</v>
      </c>
      <c r="H1220">
        <v>570.8514256330908</v>
      </c>
      <c r="I1220">
        <v>509.81649418690938</v>
      </c>
    </row>
    <row r="1221" spans="1:9" x14ac:dyDescent="0.25">
      <c r="A1221" s="1">
        <v>41948</v>
      </c>
      <c r="B1221" t="s">
        <v>0</v>
      </c>
      <c r="C1221">
        <v>544.42775759999995</v>
      </c>
      <c r="D1221">
        <v>1.4780396024533729E-2</v>
      </c>
      <c r="E1221">
        <v>1</v>
      </c>
      <c r="F1221">
        <v>539.00859380499992</v>
      </c>
      <c r="G1221">
        <v>14.771545457987592</v>
      </c>
      <c r="H1221">
        <v>568.55168472097512</v>
      </c>
      <c r="I1221">
        <v>509.46550288902472</v>
      </c>
    </row>
    <row r="1222" spans="1:9" x14ac:dyDescent="0.25">
      <c r="A1222" s="1">
        <v>41949</v>
      </c>
      <c r="B1222" t="s">
        <v>0</v>
      </c>
      <c r="C1222">
        <v>540.55835500000001</v>
      </c>
      <c r="D1222">
        <v>7.1072838333178043E-3</v>
      </c>
      <c r="E1222">
        <v>1</v>
      </c>
      <c r="F1222">
        <v>538.06916999000009</v>
      </c>
      <c r="G1222">
        <v>13.022458064945072</v>
      </c>
      <c r="H1222">
        <v>564.1140861198902</v>
      </c>
      <c r="I1222">
        <v>512.02425386010998</v>
      </c>
    </row>
    <row r="1223" spans="1:9" x14ac:dyDescent="0.25">
      <c r="A1223" s="1">
        <v>41950</v>
      </c>
      <c r="B1223" t="s">
        <v>0</v>
      </c>
      <c r="C1223">
        <v>539.5311901</v>
      </c>
      <c r="D1223">
        <v>1.9001924408327802E-3</v>
      </c>
      <c r="E1223">
        <v>1</v>
      </c>
      <c r="F1223">
        <v>537.89564625000014</v>
      </c>
      <c r="G1223">
        <v>12.136201345608255</v>
      </c>
      <c r="H1223">
        <v>562.16804894121663</v>
      </c>
      <c r="I1223">
        <v>513.62324355878366</v>
      </c>
    </row>
    <row r="1224" spans="1:9" x14ac:dyDescent="0.25">
      <c r="A1224" s="1">
        <v>41953</v>
      </c>
      <c r="B1224" t="s">
        <v>0</v>
      </c>
      <c r="C1224">
        <v>545.99343799999997</v>
      </c>
      <c r="D1224">
        <v>-1.1977524225804653E-2</v>
      </c>
      <c r="E1224">
        <v>0</v>
      </c>
      <c r="F1224">
        <v>538.60769477000008</v>
      </c>
      <c r="G1224">
        <v>12.108863491572368</v>
      </c>
      <c r="H1224">
        <v>562.82542175314484</v>
      </c>
      <c r="I1224">
        <v>514.38996778685532</v>
      </c>
    </row>
    <row r="1225" spans="1:9" x14ac:dyDescent="0.25">
      <c r="A1225" s="1">
        <v>41954</v>
      </c>
      <c r="B1225" t="s">
        <v>0</v>
      </c>
      <c r="C1225">
        <v>548.78580959999999</v>
      </c>
      <c r="D1225">
        <v>-5.1142951648441319E-3</v>
      </c>
      <c r="E1225">
        <v>0</v>
      </c>
      <c r="F1225">
        <v>539.22350870500009</v>
      </c>
      <c r="G1225">
        <v>12.140080520137978</v>
      </c>
      <c r="H1225">
        <v>563.50366974527606</v>
      </c>
      <c r="I1225">
        <v>514.94334766472412</v>
      </c>
    </row>
    <row r="1226" spans="1:9" x14ac:dyDescent="0.25">
      <c r="A1226" s="1">
        <v>41955</v>
      </c>
      <c r="B1226" t="s">
        <v>0</v>
      </c>
      <c r="C1226">
        <v>545.81393279999998</v>
      </c>
      <c r="D1226">
        <v>5.4153674311771382E-3</v>
      </c>
      <c r="E1226">
        <v>1</v>
      </c>
      <c r="F1226">
        <v>540.08514588000014</v>
      </c>
      <c r="G1226">
        <v>12.341662525348033</v>
      </c>
      <c r="H1226">
        <v>564.76847093069625</v>
      </c>
      <c r="I1226">
        <v>515.40182082930403</v>
      </c>
    </row>
    <row r="1227" spans="1:9" x14ac:dyDescent="0.25">
      <c r="A1227" s="1">
        <v>41956</v>
      </c>
      <c r="B1227" t="s">
        <v>0</v>
      </c>
      <c r="C1227">
        <v>543.88924210000005</v>
      </c>
      <c r="D1227">
        <v>3.5262762350648596E-3</v>
      </c>
      <c r="E1227">
        <v>1</v>
      </c>
      <c r="F1227">
        <v>541.1257939300001</v>
      </c>
      <c r="G1227">
        <v>12.182917605506518</v>
      </c>
      <c r="H1227">
        <v>565.49162914101316</v>
      </c>
      <c r="I1227">
        <v>516.75995871898704</v>
      </c>
    </row>
    <row r="1228" spans="1:9" x14ac:dyDescent="0.25">
      <c r="A1228" s="1">
        <v>41957</v>
      </c>
      <c r="B1228" t="s">
        <v>0</v>
      </c>
      <c r="C1228">
        <v>542.91188139999997</v>
      </c>
      <c r="D1228">
        <v>1.7969847982769588E-3</v>
      </c>
      <c r="E1228">
        <v>1</v>
      </c>
      <c r="F1228">
        <v>542.78275180000014</v>
      </c>
      <c r="G1228">
        <v>11.630201089616332</v>
      </c>
      <c r="H1228">
        <v>566.04315397923278</v>
      </c>
      <c r="I1228">
        <v>519.5223496207675</v>
      </c>
    </row>
    <row r="1229" spans="1:9" x14ac:dyDescent="0.25">
      <c r="A1229" s="1">
        <v>41960</v>
      </c>
      <c r="B1229" t="s">
        <v>0</v>
      </c>
      <c r="C1229">
        <v>535.04343719999997</v>
      </c>
      <c r="D1229">
        <v>1.4493041080091565E-2</v>
      </c>
      <c r="E1229">
        <v>1</v>
      </c>
      <c r="F1229">
        <v>543.56410908000021</v>
      </c>
      <c r="G1229">
        <v>9.0216314233492643</v>
      </c>
      <c r="H1229">
        <v>561.60737192669876</v>
      </c>
      <c r="I1229">
        <v>525.52084623330165</v>
      </c>
    </row>
    <row r="1230" spans="1:9" x14ac:dyDescent="0.25">
      <c r="A1230" s="1">
        <v>41961</v>
      </c>
      <c r="B1230" t="s">
        <v>0</v>
      </c>
      <c r="C1230">
        <v>533.56753930000002</v>
      </c>
      <c r="D1230">
        <v>2.7584637010476167E-3</v>
      </c>
      <c r="E1230">
        <v>1</v>
      </c>
      <c r="F1230">
        <v>543.98745079500009</v>
      </c>
      <c r="G1230">
        <v>7.4862066334281288</v>
      </c>
      <c r="H1230">
        <v>558.95986406185636</v>
      </c>
      <c r="I1230">
        <v>529.01503752814381</v>
      </c>
    </row>
    <row r="1231" spans="1:9" x14ac:dyDescent="0.25">
      <c r="A1231" s="1">
        <v>41962</v>
      </c>
      <c r="B1231" t="s">
        <v>0</v>
      </c>
      <c r="C1231">
        <v>535.52213900000004</v>
      </c>
      <c r="D1231">
        <v>-3.6632657649382176E-3</v>
      </c>
      <c r="E1231">
        <v>0</v>
      </c>
      <c r="F1231">
        <v>544.20086427000001</v>
      </c>
      <c r="G1231">
        <v>6.6092438683732091</v>
      </c>
      <c r="H1231">
        <v>557.41935200674641</v>
      </c>
      <c r="I1231">
        <v>530.98237653325361</v>
      </c>
    </row>
    <row r="1232" spans="1:9" x14ac:dyDescent="0.25">
      <c r="A1232" s="1">
        <v>41963</v>
      </c>
      <c r="B1232" t="s">
        <v>0</v>
      </c>
      <c r="C1232">
        <v>533.36807590000001</v>
      </c>
      <c r="D1232">
        <v>4.0223605022611962E-3</v>
      </c>
      <c r="E1232">
        <v>1</v>
      </c>
      <c r="F1232">
        <v>543.74461525000004</v>
      </c>
      <c r="G1232">
        <v>6.2669807416942129</v>
      </c>
      <c r="H1232">
        <v>556.27857673338849</v>
      </c>
      <c r="I1232">
        <v>531.21065376661159</v>
      </c>
    </row>
    <row r="1233" spans="1:9" x14ac:dyDescent="0.25">
      <c r="A1233" s="1">
        <v>41964</v>
      </c>
      <c r="B1233" t="s">
        <v>0</v>
      </c>
      <c r="C1233">
        <v>536.03074660000004</v>
      </c>
      <c r="D1233">
        <v>-4.992182360196701E-3</v>
      </c>
      <c r="E1233">
        <v>0</v>
      </c>
      <c r="F1233">
        <v>543.63092758000016</v>
      </c>
      <c r="G1233">
        <v>6.6778200752127814</v>
      </c>
      <c r="H1233">
        <v>556.98656773042569</v>
      </c>
      <c r="I1233">
        <v>530.27528742957463</v>
      </c>
    </row>
    <row r="1234" spans="1:9" x14ac:dyDescent="0.25">
      <c r="A1234" s="1">
        <v>41967</v>
      </c>
      <c r="B1234" t="s">
        <v>0</v>
      </c>
      <c r="C1234">
        <v>537.79595219999999</v>
      </c>
      <c r="D1234">
        <v>-3.2931051272646244E-3</v>
      </c>
      <c r="E1234">
        <v>0</v>
      </c>
      <c r="F1234">
        <v>543.55613472499999</v>
      </c>
      <c r="G1234">
        <v>6.787375850522964</v>
      </c>
      <c r="H1234">
        <v>557.13088642604589</v>
      </c>
      <c r="I1234">
        <v>529.98138302395409</v>
      </c>
    </row>
    <row r="1235" spans="1:9" x14ac:dyDescent="0.25">
      <c r="A1235" s="1">
        <v>41968</v>
      </c>
      <c r="B1235" t="s">
        <v>0</v>
      </c>
      <c r="C1235">
        <v>539.60095360000003</v>
      </c>
      <c r="D1235">
        <v>-3.3562941346363621E-3</v>
      </c>
      <c r="E1235">
        <v>0</v>
      </c>
      <c r="F1235">
        <v>543.16620378000005</v>
      </c>
      <c r="G1235">
        <v>6.8534866052018781</v>
      </c>
      <c r="H1235">
        <v>556.87317699040375</v>
      </c>
      <c r="I1235">
        <v>529.45923056959634</v>
      </c>
    </row>
    <row r="1236" spans="1:9" x14ac:dyDescent="0.25">
      <c r="A1236" s="1">
        <v>41969</v>
      </c>
      <c r="B1236" t="s">
        <v>0</v>
      </c>
      <c r="C1236">
        <v>538.89294240000004</v>
      </c>
      <c r="D1236">
        <v>1.3121014617865701E-3</v>
      </c>
      <c r="E1236">
        <v>1</v>
      </c>
      <c r="F1236">
        <v>542.71943054500002</v>
      </c>
      <c r="G1236">
        <v>6.8490411648288214</v>
      </c>
      <c r="H1236">
        <v>556.41751287465763</v>
      </c>
      <c r="I1236">
        <v>529.02134821534241</v>
      </c>
    </row>
    <row r="1237" spans="1:9" x14ac:dyDescent="0.25">
      <c r="A1237" s="1">
        <v>41971</v>
      </c>
      <c r="B1237" t="s">
        <v>0</v>
      </c>
      <c r="C1237">
        <v>540.34894299999996</v>
      </c>
      <c r="D1237">
        <v>-2.7018364603468683E-3</v>
      </c>
      <c r="E1237">
        <v>0</v>
      </c>
      <c r="F1237">
        <v>542.296589305</v>
      </c>
      <c r="G1237">
        <v>6.8202036696845614</v>
      </c>
      <c r="H1237">
        <v>555.93699664436917</v>
      </c>
      <c r="I1237">
        <v>528.65618196563082</v>
      </c>
    </row>
    <row r="1238" spans="1:9" x14ac:dyDescent="0.25">
      <c r="A1238" s="1">
        <v>41974</v>
      </c>
      <c r="B1238" t="s">
        <v>0</v>
      </c>
      <c r="C1238">
        <v>532.34084919999998</v>
      </c>
      <c r="D1238">
        <v>1.4820226640102789E-2</v>
      </c>
      <c r="E1238">
        <v>1</v>
      </c>
      <c r="F1238">
        <v>541.03604278499995</v>
      </c>
      <c r="G1238">
        <v>6.7952447856970899</v>
      </c>
      <c r="H1238">
        <v>554.62653235639414</v>
      </c>
      <c r="I1238">
        <v>527.44555321360576</v>
      </c>
    </row>
    <row r="1239" spans="1:9" x14ac:dyDescent="0.25">
      <c r="A1239" s="1">
        <v>41975</v>
      </c>
      <c r="B1239" t="s">
        <v>0</v>
      </c>
      <c r="C1239">
        <v>532.29098409999995</v>
      </c>
      <c r="D1239">
        <v>9.3671376290154585E-5</v>
      </c>
      <c r="E1239">
        <v>1</v>
      </c>
      <c r="F1239">
        <v>539.96547523000004</v>
      </c>
      <c r="G1239">
        <v>6.1207277373099895</v>
      </c>
      <c r="H1239">
        <v>552.20693070462005</v>
      </c>
      <c r="I1239">
        <v>527.72401975538003</v>
      </c>
    </row>
    <row r="1240" spans="1:9" x14ac:dyDescent="0.25">
      <c r="A1240" s="1">
        <v>41976</v>
      </c>
      <c r="B1240" t="s">
        <v>0</v>
      </c>
      <c r="C1240">
        <v>529.86763240000005</v>
      </c>
      <c r="D1240">
        <v>4.5526822215433771E-3</v>
      </c>
      <c r="E1240">
        <v>1</v>
      </c>
      <c r="F1240">
        <v>538.82909007500007</v>
      </c>
      <c r="G1240">
        <v>5.6801851966492451</v>
      </c>
      <c r="H1240">
        <v>550.18946046829853</v>
      </c>
      <c r="I1240">
        <v>527.4687196817016</v>
      </c>
    </row>
    <row r="1241" spans="1:9" x14ac:dyDescent="0.25">
      <c r="A1241" s="1">
        <v>41977</v>
      </c>
      <c r="B1241" t="s">
        <v>0</v>
      </c>
      <c r="C1241">
        <v>535.84129270000005</v>
      </c>
      <c r="D1241">
        <v>-1.127387282167569E-2</v>
      </c>
      <c r="E1241">
        <v>0</v>
      </c>
      <c r="F1241">
        <v>538.39976683000009</v>
      </c>
      <c r="G1241">
        <v>5.195068127070587</v>
      </c>
      <c r="H1241">
        <v>548.78990308414132</v>
      </c>
      <c r="I1241">
        <v>528.00963057585886</v>
      </c>
    </row>
    <row r="1242" spans="1:9" x14ac:dyDescent="0.25">
      <c r="A1242" s="1">
        <v>41978</v>
      </c>
      <c r="B1242" t="s">
        <v>0</v>
      </c>
      <c r="C1242">
        <v>523.82420960000002</v>
      </c>
      <c r="D1242">
        <v>2.2426571568324442E-2</v>
      </c>
      <c r="E1242">
        <v>1</v>
      </c>
      <c r="F1242">
        <v>537.56305956000006</v>
      </c>
      <c r="G1242">
        <v>5.1185220286826203</v>
      </c>
      <c r="H1242">
        <v>547.80010361736527</v>
      </c>
      <c r="I1242">
        <v>527.32601550263485</v>
      </c>
    </row>
    <row r="1243" spans="1:9" x14ac:dyDescent="0.25">
      <c r="A1243" s="1">
        <v>41981</v>
      </c>
      <c r="B1243" t="s">
        <v>0</v>
      </c>
      <c r="C1243">
        <v>525.53948830000002</v>
      </c>
      <c r="D1243">
        <v>-3.2745311663044578E-3</v>
      </c>
      <c r="E1243">
        <v>0</v>
      </c>
      <c r="F1243">
        <v>536.86347447000003</v>
      </c>
      <c r="G1243">
        <v>5.9730977916643013</v>
      </c>
      <c r="H1243">
        <v>548.80967005332866</v>
      </c>
      <c r="I1243">
        <v>524.9172788866714</v>
      </c>
    </row>
    <row r="1244" spans="1:9" x14ac:dyDescent="0.25">
      <c r="A1244" s="1">
        <v>41982</v>
      </c>
      <c r="B1244" t="s">
        <v>0</v>
      </c>
      <c r="C1244">
        <v>531.91207540000005</v>
      </c>
      <c r="D1244">
        <v>-1.2125800709312812E-2</v>
      </c>
      <c r="E1244">
        <v>0</v>
      </c>
      <c r="F1244">
        <v>536.15940634000003</v>
      </c>
      <c r="G1244">
        <v>6.4984157273336169</v>
      </c>
      <c r="H1244">
        <v>549.15623779466728</v>
      </c>
      <c r="I1244">
        <v>523.16257488533279</v>
      </c>
    </row>
    <row r="1245" spans="1:9" x14ac:dyDescent="0.25">
      <c r="A1245" s="1">
        <v>41983</v>
      </c>
      <c r="B1245" t="s">
        <v>0</v>
      </c>
      <c r="C1245">
        <v>524.62200329999996</v>
      </c>
      <c r="D1245">
        <v>1.3705408162651552E-2</v>
      </c>
      <c r="E1245">
        <v>1</v>
      </c>
      <c r="F1245">
        <v>534.95121602499989</v>
      </c>
      <c r="G1245">
        <v>6.3052131505379707</v>
      </c>
      <c r="H1245">
        <v>547.5616423260758</v>
      </c>
      <c r="I1245">
        <v>522.34078972392399</v>
      </c>
    </row>
    <row r="1246" spans="1:9" x14ac:dyDescent="0.25">
      <c r="A1246" s="1">
        <v>41984</v>
      </c>
      <c r="B1246" t="s">
        <v>0</v>
      </c>
      <c r="C1246">
        <v>526.89581750000002</v>
      </c>
      <c r="D1246">
        <v>-4.3341952600104774E-3</v>
      </c>
      <c r="E1246">
        <v>0</v>
      </c>
      <c r="F1246">
        <v>534.00531025999999</v>
      </c>
      <c r="G1246">
        <v>6.0345077178358606</v>
      </c>
      <c r="H1246">
        <v>546.07432569567175</v>
      </c>
      <c r="I1246">
        <v>521.93629482432823</v>
      </c>
    </row>
    <row r="1247" spans="1:9" x14ac:dyDescent="0.25">
      <c r="A1247" s="1">
        <v>41985</v>
      </c>
      <c r="B1247" t="s">
        <v>0</v>
      </c>
      <c r="C1247">
        <v>517.24227029999997</v>
      </c>
      <c r="D1247">
        <v>1.8321548358087029E-2</v>
      </c>
      <c r="E1247">
        <v>1</v>
      </c>
      <c r="F1247">
        <v>532.67296167000006</v>
      </c>
      <c r="G1247">
        <v>5.8090878985009535</v>
      </c>
      <c r="H1247">
        <v>544.29113746700193</v>
      </c>
      <c r="I1247">
        <v>521.0547858729982</v>
      </c>
    </row>
    <row r="1248" spans="1:9" x14ac:dyDescent="0.25">
      <c r="A1248" s="1">
        <v>41988</v>
      </c>
      <c r="B1248" t="s">
        <v>0</v>
      </c>
      <c r="C1248">
        <v>512.39556900000002</v>
      </c>
      <c r="D1248">
        <v>9.3702730389549713E-3</v>
      </c>
      <c r="E1248">
        <v>1</v>
      </c>
      <c r="F1248">
        <v>531.14714604999995</v>
      </c>
      <c r="G1248">
        <v>6.4566771633972948</v>
      </c>
      <c r="H1248">
        <v>544.06050037679449</v>
      </c>
      <c r="I1248">
        <v>518.2337917232054</v>
      </c>
    </row>
    <row r="1249" spans="1:9" x14ac:dyDescent="0.25">
      <c r="A1249" s="1">
        <v>41989</v>
      </c>
      <c r="B1249" t="s">
        <v>0</v>
      </c>
      <c r="C1249">
        <v>494.0358665</v>
      </c>
      <c r="D1249">
        <v>3.5831110982928946E-2</v>
      </c>
      <c r="E1249">
        <v>1</v>
      </c>
      <c r="F1249">
        <v>529.0967675149999</v>
      </c>
      <c r="G1249">
        <v>7.5201970937903289</v>
      </c>
      <c r="H1249">
        <v>544.13716170258056</v>
      </c>
      <c r="I1249">
        <v>514.05637332741924</v>
      </c>
    </row>
    <row r="1250" spans="1:9" x14ac:dyDescent="0.25">
      <c r="A1250" s="1">
        <v>41990</v>
      </c>
      <c r="B1250" t="s">
        <v>0</v>
      </c>
      <c r="C1250">
        <v>503.50990849999999</v>
      </c>
      <c r="D1250">
        <v>-1.917683035266023E-2</v>
      </c>
      <c r="E1250">
        <v>0</v>
      </c>
      <c r="F1250">
        <v>527.59388597500003</v>
      </c>
      <c r="G1250">
        <v>10.886101792413173</v>
      </c>
      <c r="H1250">
        <v>549.36608955982638</v>
      </c>
      <c r="I1250">
        <v>505.82168239017369</v>
      </c>
    </row>
    <row r="1251" spans="1:9" x14ac:dyDescent="0.25">
      <c r="A1251" s="1">
        <v>41991</v>
      </c>
      <c r="B1251" t="s">
        <v>0</v>
      </c>
      <c r="C1251">
        <v>509.7029296</v>
      </c>
      <c r="D1251">
        <v>-1.2299700552963418E-2</v>
      </c>
      <c r="E1251">
        <v>0</v>
      </c>
      <c r="F1251">
        <v>526.30292550499996</v>
      </c>
      <c r="G1251">
        <v>12.140488582356783</v>
      </c>
      <c r="H1251">
        <v>550.58390266971355</v>
      </c>
      <c r="I1251">
        <v>502.02194834028637</v>
      </c>
    </row>
    <row r="1252" spans="1:9" x14ac:dyDescent="0.25">
      <c r="A1252" s="1">
        <v>41992</v>
      </c>
      <c r="B1252" t="s">
        <v>0</v>
      </c>
      <c r="C1252">
        <v>514.93854920000001</v>
      </c>
      <c r="D1252">
        <v>-1.027190407578934E-2</v>
      </c>
      <c r="E1252">
        <v>0</v>
      </c>
      <c r="F1252">
        <v>525.38144916999988</v>
      </c>
      <c r="G1252">
        <v>12.560608264860496</v>
      </c>
      <c r="H1252">
        <v>550.50266569972086</v>
      </c>
      <c r="I1252">
        <v>500.2602326402789</v>
      </c>
    </row>
    <row r="1253" spans="1:9" x14ac:dyDescent="0.25">
      <c r="A1253" s="1">
        <v>41995</v>
      </c>
      <c r="B1253" t="s">
        <v>0</v>
      </c>
      <c r="C1253">
        <v>523.43529139999998</v>
      </c>
      <c r="D1253">
        <v>-1.6500497415080632E-2</v>
      </c>
      <c r="E1253">
        <v>0</v>
      </c>
      <c r="F1253">
        <v>524.75167640999996</v>
      </c>
      <c r="G1253">
        <v>12.666052714854516</v>
      </c>
      <c r="H1253">
        <v>550.08378183970899</v>
      </c>
      <c r="I1253">
        <v>499.41957098029093</v>
      </c>
    </row>
    <row r="1254" spans="1:9" x14ac:dyDescent="0.25">
      <c r="A1254" s="1">
        <v>41996</v>
      </c>
      <c r="B1254" t="s">
        <v>0</v>
      </c>
      <c r="C1254">
        <v>529.13966310000001</v>
      </c>
      <c r="D1254">
        <v>-1.0897950126257048E-2</v>
      </c>
      <c r="E1254">
        <v>0</v>
      </c>
      <c r="F1254">
        <v>524.31886195499987</v>
      </c>
      <c r="G1254">
        <v>12.423445254240496</v>
      </c>
      <c r="H1254">
        <v>549.16575246348089</v>
      </c>
      <c r="I1254">
        <v>499.47197144651886</v>
      </c>
    </row>
    <row r="1255" spans="1:9" x14ac:dyDescent="0.25">
      <c r="A1255" s="1">
        <v>41997</v>
      </c>
      <c r="B1255" t="s">
        <v>0</v>
      </c>
      <c r="C1255">
        <v>527.32465219999995</v>
      </c>
      <c r="D1255">
        <v>3.4301168983755606E-3</v>
      </c>
      <c r="E1255">
        <v>1</v>
      </c>
      <c r="F1255">
        <v>523.705046885</v>
      </c>
      <c r="G1255">
        <v>12.116070692912686</v>
      </c>
      <c r="H1255">
        <v>547.93718827082535</v>
      </c>
      <c r="I1255">
        <v>499.47290549917466</v>
      </c>
    </row>
    <row r="1256" spans="1:9" x14ac:dyDescent="0.25">
      <c r="A1256" s="1">
        <v>41999</v>
      </c>
      <c r="B1256" t="s">
        <v>0</v>
      </c>
      <c r="C1256">
        <v>532.5702205</v>
      </c>
      <c r="D1256">
        <v>-9.9475119892755495E-3</v>
      </c>
      <c r="E1256">
        <v>0</v>
      </c>
      <c r="F1256">
        <v>523.38891079000007</v>
      </c>
      <c r="G1256">
        <v>11.615515299952866</v>
      </c>
      <c r="H1256">
        <v>546.61994138990576</v>
      </c>
      <c r="I1256">
        <v>500.15788019009432</v>
      </c>
    </row>
    <row r="1257" spans="1:9" x14ac:dyDescent="0.25">
      <c r="A1257" s="1">
        <v>42002</v>
      </c>
      <c r="B1257" t="s">
        <v>0</v>
      </c>
      <c r="C1257">
        <v>528.88038489999997</v>
      </c>
      <c r="D1257">
        <v>6.9283550937862433E-3</v>
      </c>
      <c r="E1257">
        <v>1</v>
      </c>
      <c r="F1257">
        <v>522.81548288500016</v>
      </c>
      <c r="G1257">
        <v>11.289157977326063</v>
      </c>
      <c r="H1257">
        <v>545.39379883965228</v>
      </c>
      <c r="I1257">
        <v>500.23716693034805</v>
      </c>
    </row>
    <row r="1258" spans="1:9" x14ac:dyDescent="0.25">
      <c r="A1258" s="1">
        <v>42003</v>
      </c>
      <c r="B1258" t="s">
        <v>0</v>
      </c>
      <c r="C1258">
        <v>528.97010660000001</v>
      </c>
      <c r="D1258">
        <v>-1.6964459745846965E-4</v>
      </c>
      <c r="E1258">
        <v>0</v>
      </c>
      <c r="F1258">
        <v>522.64694575500016</v>
      </c>
      <c r="G1258">
        <v>10.674339944164053</v>
      </c>
      <c r="H1258">
        <v>543.99562564332825</v>
      </c>
      <c r="I1258">
        <v>501.29826586667207</v>
      </c>
    </row>
    <row r="1259" spans="1:9" x14ac:dyDescent="0.25">
      <c r="A1259" s="1">
        <v>42004</v>
      </c>
      <c r="B1259" t="s">
        <v>0</v>
      </c>
      <c r="C1259">
        <v>524.96111629999996</v>
      </c>
      <c r="D1259">
        <v>7.5788598447805939E-3</v>
      </c>
      <c r="E1259">
        <v>1</v>
      </c>
      <c r="F1259">
        <v>522.28045236500009</v>
      </c>
      <c r="G1259">
        <v>10.553500869475869</v>
      </c>
      <c r="H1259">
        <v>543.38745410395177</v>
      </c>
      <c r="I1259">
        <v>501.17345062604835</v>
      </c>
    </row>
    <row r="1260" spans="1:9" x14ac:dyDescent="0.25">
      <c r="A1260" s="1">
        <v>42006</v>
      </c>
      <c r="B1260" t="s">
        <v>0</v>
      </c>
      <c r="C1260">
        <v>523.37547659999996</v>
      </c>
      <c r="D1260">
        <v>3.0204898053703749E-3</v>
      </c>
      <c r="E1260">
        <v>1</v>
      </c>
      <c r="F1260">
        <v>521.95584457500013</v>
      </c>
      <c r="G1260">
        <v>10.335884649854844</v>
      </c>
      <c r="H1260">
        <v>542.62761387470982</v>
      </c>
      <c r="I1260">
        <v>501.28407527529043</v>
      </c>
    </row>
    <row r="1261" spans="1:9" x14ac:dyDescent="0.25">
      <c r="A1261" s="1">
        <v>42009</v>
      </c>
      <c r="B1261" t="s">
        <v>0</v>
      </c>
      <c r="C1261">
        <v>512.46533239999997</v>
      </c>
      <c r="D1261">
        <v>2.0845730623214286E-2</v>
      </c>
      <c r="E1261">
        <v>1</v>
      </c>
      <c r="F1261">
        <v>520.78704656000014</v>
      </c>
      <c r="G1261">
        <v>10.255123047526148</v>
      </c>
      <c r="H1261">
        <v>541.29729265505239</v>
      </c>
      <c r="I1261">
        <v>500.27680046494783</v>
      </c>
    </row>
    <row r="1262" spans="1:9" x14ac:dyDescent="0.25">
      <c r="A1262" s="1">
        <v>42010</v>
      </c>
      <c r="B1262" t="s">
        <v>0</v>
      </c>
      <c r="C1262">
        <v>500.58789789999997</v>
      </c>
      <c r="D1262">
        <v>2.3177049741833412E-2</v>
      </c>
      <c r="E1262">
        <v>1</v>
      </c>
      <c r="F1262">
        <v>519.62523097500014</v>
      </c>
      <c r="G1262">
        <v>9.9321897967821169</v>
      </c>
      <c r="H1262">
        <v>539.48961056856433</v>
      </c>
      <c r="I1262">
        <v>499.76085138143588</v>
      </c>
    </row>
    <row r="1263" spans="1:9" x14ac:dyDescent="0.25">
      <c r="A1263" s="1">
        <v>42011</v>
      </c>
      <c r="B1263" t="s">
        <v>0</v>
      </c>
      <c r="C1263">
        <v>499.73025860000001</v>
      </c>
      <c r="D1263">
        <v>1.7132641512066405E-3</v>
      </c>
      <c r="E1263">
        <v>1</v>
      </c>
      <c r="F1263">
        <v>518.33476948999999</v>
      </c>
      <c r="G1263">
        <v>10.842191497079162</v>
      </c>
      <c r="H1263">
        <v>540.01915248415833</v>
      </c>
      <c r="I1263">
        <v>496.65038649584164</v>
      </c>
    </row>
    <row r="1264" spans="1:9" x14ac:dyDescent="0.25">
      <c r="A1264" s="1">
        <v>42012</v>
      </c>
      <c r="B1264" t="s">
        <v>0</v>
      </c>
      <c r="C1264">
        <v>501.3059495</v>
      </c>
      <c r="D1264">
        <v>-3.1530828339558616E-3</v>
      </c>
      <c r="E1264">
        <v>0</v>
      </c>
      <c r="F1264">
        <v>516.80446319499993</v>
      </c>
      <c r="G1264">
        <v>11.601980280628842</v>
      </c>
      <c r="H1264">
        <v>540.00842375625757</v>
      </c>
      <c r="I1264">
        <v>493.60050263374222</v>
      </c>
    </row>
    <row r="1265" spans="1:9" x14ac:dyDescent="0.25">
      <c r="A1265" s="1">
        <v>42013</v>
      </c>
      <c r="B1265" t="s">
        <v>0</v>
      </c>
      <c r="C1265">
        <v>494.81373289999999</v>
      </c>
      <c r="D1265">
        <v>1.2950607521166085E-2</v>
      </c>
      <c r="E1265">
        <v>1</v>
      </c>
      <c r="F1265">
        <v>515.31404967499998</v>
      </c>
      <c r="G1265">
        <v>11.722861336020779</v>
      </c>
      <c r="H1265">
        <v>538.75977234704158</v>
      </c>
      <c r="I1265">
        <v>491.86832700295844</v>
      </c>
    </row>
    <row r="1266" spans="1:9" x14ac:dyDescent="0.25">
      <c r="A1266" s="1">
        <v>42016</v>
      </c>
      <c r="B1266" t="s">
        <v>0</v>
      </c>
      <c r="C1266">
        <v>491.20363939999999</v>
      </c>
      <c r="D1266">
        <v>7.2958635946540947E-3</v>
      </c>
      <c r="E1266">
        <v>1</v>
      </c>
      <c r="F1266">
        <v>513.52944076999995</v>
      </c>
      <c r="G1266">
        <v>12.541593049006417</v>
      </c>
      <c r="H1266">
        <v>538.61262686801274</v>
      </c>
      <c r="I1266">
        <v>488.44625467198711</v>
      </c>
    </row>
    <row r="1267" spans="1:9" x14ac:dyDescent="0.25">
      <c r="A1267" s="1">
        <v>42017</v>
      </c>
      <c r="B1267" t="s">
        <v>0</v>
      </c>
      <c r="C1267">
        <v>494.8237125</v>
      </c>
      <c r="D1267">
        <v>-7.3698010552647655E-3</v>
      </c>
      <c r="E1267">
        <v>0</v>
      </c>
      <c r="F1267">
        <v>512.40851287999999</v>
      </c>
      <c r="G1267">
        <v>13.211249166437145</v>
      </c>
      <c r="H1267">
        <v>538.83101121287427</v>
      </c>
      <c r="I1267">
        <v>485.98601454712571</v>
      </c>
    </row>
    <row r="1268" spans="1:9" x14ac:dyDescent="0.25">
      <c r="A1268" s="1">
        <v>42018</v>
      </c>
      <c r="B1268" t="s">
        <v>0</v>
      </c>
      <c r="C1268">
        <v>499.50088729999999</v>
      </c>
      <c r="D1268">
        <v>-9.4522042534491285E-3</v>
      </c>
      <c r="E1268">
        <v>0</v>
      </c>
      <c r="F1268">
        <v>511.76377879499995</v>
      </c>
      <c r="G1268">
        <v>13.756663340305279</v>
      </c>
      <c r="H1268">
        <v>539.27710547561048</v>
      </c>
      <c r="I1268">
        <v>484.25045211438942</v>
      </c>
    </row>
    <row r="1269" spans="1:9" x14ac:dyDescent="0.25">
      <c r="A1269" s="1">
        <v>42019</v>
      </c>
      <c r="B1269" t="s">
        <v>0</v>
      </c>
      <c r="C1269">
        <v>500.41837240000001</v>
      </c>
      <c r="D1269">
        <v>-1.8368037441522714E-3</v>
      </c>
      <c r="E1269">
        <v>0</v>
      </c>
      <c r="F1269">
        <v>512.08290408999994</v>
      </c>
      <c r="G1269">
        <v>14.030202944368211</v>
      </c>
      <c r="H1269">
        <v>540.1433099787364</v>
      </c>
      <c r="I1269">
        <v>484.02249820126355</v>
      </c>
    </row>
    <row r="1270" spans="1:9" x14ac:dyDescent="0.25">
      <c r="A1270" s="1">
        <v>42020</v>
      </c>
      <c r="B1270" t="s">
        <v>0</v>
      </c>
      <c r="C1270">
        <v>506.69116739999998</v>
      </c>
      <c r="D1270">
        <v>-1.2535101319153672E-2</v>
      </c>
      <c r="E1270">
        <v>0</v>
      </c>
      <c r="F1270">
        <v>512.24196703500002</v>
      </c>
      <c r="G1270">
        <v>13.689053377397487</v>
      </c>
      <c r="H1270">
        <v>539.62007378979501</v>
      </c>
      <c r="I1270">
        <v>484.86386028020502</v>
      </c>
    </row>
    <row r="1271" spans="1:9" x14ac:dyDescent="0.25">
      <c r="A1271" s="1">
        <v>42024</v>
      </c>
      <c r="B1271" t="s">
        <v>0</v>
      </c>
      <c r="C1271">
        <v>505.5144042</v>
      </c>
      <c r="D1271">
        <v>2.3224466414884307E-3</v>
      </c>
      <c r="E1271">
        <v>1</v>
      </c>
      <c r="F1271">
        <v>512.03254076500002</v>
      </c>
      <c r="G1271">
        <v>13.607430626252192</v>
      </c>
      <c r="H1271">
        <v>539.24740201750444</v>
      </c>
      <c r="I1271">
        <v>484.81767951249566</v>
      </c>
    </row>
    <row r="1272" spans="1:9" x14ac:dyDescent="0.25">
      <c r="A1272" s="1">
        <v>42025</v>
      </c>
      <c r="B1272" t="s">
        <v>0</v>
      </c>
      <c r="C1272">
        <v>516.62398189999999</v>
      </c>
      <c r="D1272">
        <v>-2.1976777729175515E-2</v>
      </c>
      <c r="E1272">
        <v>0</v>
      </c>
      <c r="F1272">
        <v>512.11681239999996</v>
      </c>
      <c r="G1272">
        <v>13.675606778557453</v>
      </c>
      <c r="H1272">
        <v>539.46802595711483</v>
      </c>
      <c r="I1272">
        <v>484.76559884288503</v>
      </c>
    </row>
    <row r="1273" spans="1:9" x14ac:dyDescent="0.25">
      <c r="A1273" s="1">
        <v>42026</v>
      </c>
      <c r="B1273" t="s">
        <v>0</v>
      </c>
      <c r="C1273">
        <v>532.92923080000003</v>
      </c>
      <c r="D1273">
        <v>-3.1561153704157997E-2</v>
      </c>
      <c r="E1273">
        <v>0</v>
      </c>
      <c r="F1273">
        <v>512.59150937000004</v>
      </c>
      <c r="G1273">
        <v>13.706391826141431</v>
      </c>
      <c r="H1273">
        <v>540.00429302228292</v>
      </c>
      <c r="I1273">
        <v>485.17872571771716</v>
      </c>
    </row>
    <row r="1274" spans="1:9" x14ac:dyDescent="0.25">
      <c r="A1274" s="1">
        <v>42027</v>
      </c>
      <c r="B1274" t="s">
        <v>0</v>
      </c>
      <c r="C1274">
        <v>538.47405649999996</v>
      </c>
      <c r="D1274">
        <v>-1.0404431544646908E-2</v>
      </c>
      <c r="E1274">
        <v>0</v>
      </c>
      <c r="F1274">
        <v>513.05822904000001</v>
      </c>
      <c r="G1274">
        <v>14.243762471853708</v>
      </c>
      <c r="H1274">
        <v>541.54575398370741</v>
      </c>
      <c r="I1274">
        <v>484.57070409629262</v>
      </c>
    </row>
    <row r="1275" spans="1:9" x14ac:dyDescent="0.25">
      <c r="A1275" s="1">
        <v>42030</v>
      </c>
      <c r="B1275" t="s">
        <v>0</v>
      </c>
      <c r="C1275">
        <v>533.74704550000001</v>
      </c>
      <c r="D1275">
        <v>8.7785306328865779E-3</v>
      </c>
      <c r="E1275">
        <v>1</v>
      </c>
      <c r="F1275">
        <v>513.37934870499998</v>
      </c>
      <c r="G1275">
        <v>14.911588627519059</v>
      </c>
      <c r="H1275">
        <v>543.20252596003809</v>
      </c>
      <c r="I1275">
        <v>483.55617144996188</v>
      </c>
    </row>
    <row r="1276" spans="1:9" x14ac:dyDescent="0.25">
      <c r="A1276" s="1">
        <v>42031</v>
      </c>
      <c r="B1276" t="s">
        <v>0</v>
      </c>
      <c r="C1276">
        <v>517.21236350000004</v>
      </c>
      <c r="D1276">
        <v>3.097849840931808E-2</v>
      </c>
      <c r="E1276">
        <v>1</v>
      </c>
      <c r="F1276">
        <v>512.61145585499992</v>
      </c>
      <c r="G1276">
        <v>15.295872449249398</v>
      </c>
      <c r="H1276">
        <v>543.20320075349866</v>
      </c>
      <c r="I1276">
        <v>482.01971095650111</v>
      </c>
    </row>
    <row r="1277" spans="1:9" x14ac:dyDescent="0.25">
      <c r="A1277" s="1">
        <v>42032</v>
      </c>
      <c r="B1277" t="s">
        <v>0</v>
      </c>
      <c r="C1277">
        <v>508.60594040000001</v>
      </c>
      <c r="D1277">
        <v>1.6640018118979145E-2</v>
      </c>
      <c r="E1277">
        <v>1</v>
      </c>
      <c r="F1277">
        <v>511.59773362999994</v>
      </c>
      <c r="G1277">
        <v>14.701433602997076</v>
      </c>
      <c r="H1277">
        <v>541.00060083599408</v>
      </c>
      <c r="I1277">
        <v>482.1948664240058</v>
      </c>
    </row>
    <row r="1278" spans="1:9" x14ac:dyDescent="0.25">
      <c r="A1278" s="1">
        <v>42033</v>
      </c>
      <c r="B1278" t="s">
        <v>0</v>
      </c>
      <c r="C1278">
        <v>509.26411539999998</v>
      </c>
      <c r="D1278">
        <v>-1.2940765093745088E-3</v>
      </c>
      <c r="E1278">
        <v>0</v>
      </c>
      <c r="F1278">
        <v>510.61243407000001</v>
      </c>
      <c r="G1278">
        <v>14.234324880260385</v>
      </c>
      <c r="H1278">
        <v>539.08108383052081</v>
      </c>
      <c r="I1278">
        <v>482.14378430947926</v>
      </c>
    </row>
    <row r="1279" spans="1:9" x14ac:dyDescent="0.25">
      <c r="A1279" s="1">
        <v>42034</v>
      </c>
      <c r="B1279" t="s">
        <v>0</v>
      </c>
      <c r="C1279">
        <v>533.05893170000002</v>
      </c>
      <c r="D1279">
        <v>-4.672392100768865E-2</v>
      </c>
      <c r="E1279">
        <v>0</v>
      </c>
      <c r="F1279">
        <v>511.01732484000001</v>
      </c>
      <c r="G1279">
        <v>13.638938098631019</v>
      </c>
      <c r="H1279">
        <v>538.29520103726202</v>
      </c>
      <c r="I1279">
        <v>483.73944864273795</v>
      </c>
    </row>
    <row r="1280" spans="1:9" x14ac:dyDescent="0.25">
      <c r="A1280" s="1">
        <v>42037</v>
      </c>
      <c r="B1280" t="s">
        <v>0</v>
      </c>
      <c r="C1280">
        <v>527.03540529999998</v>
      </c>
      <c r="D1280">
        <v>1.1299925846454093E-2</v>
      </c>
      <c r="E1280">
        <v>1</v>
      </c>
      <c r="F1280">
        <v>511.20032127500008</v>
      </c>
      <c r="G1280">
        <v>14.164189909347201</v>
      </c>
      <c r="H1280">
        <v>539.52870109369451</v>
      </c>
      <c r="I1280">
        <v>482.87194145630565</v>
      </c>
    </row>
    <row r="1281" spans="1:9" x14ac:dyDescent="0.25">
      <c r="A1281" s="1">
        <v>42038</v>
      </c>
      <c r="B1281" t="s">
        <v>0</v>
      </c>
      <c r="C1281">
        <v>527.79334340000003</v>
      </c>
      <c r="D1281">
        <v>-1.4381160969036072E-3</v>
      </c>
      <c r="E1281">
        <v>0</v>
      </c>
      <c r="F1281">
        <v>511.96672182500015</v>
      </c>
      <c r="G1281">
        <v>14.364449851478486</v>
      </c>
      <c r="H1281">
        <v>540.69562152795709</v>
      </c>
      <c r="I1281">
        <v>483.23782212204316</v>
      </c>
    </row>
    <row r="1282" spans="1:9" x14ac:dyDescent="0.25">
      <c r="A1282" s="1">
        <v>42039</v>
      </c>
      <c r="B1282" t="s">
        <v>0</v>
      </c>
      <c r="C1282">
        <v>521.33103459999995</v>
      </c>
      <c r="D1282">
        <v>1.2244013458696594E-2</v>
      </c>
      <c r="E1282">
        <v>1</v>
      </c>
      <c r="F1282">
        <v>513.00387866000005</v>
      </c>
      <c r="G1282">
        <v>14.829861116499545</v>
      </c>
      <c r="H1282">
        <v>542.66360089299917</v>
      </c>
      <c r="I1282">
        <v>483.34415642700094</v>
      </c>
    </row>
    <row r="1283" spans="1:9" x14ac:dyDescent="0.25">
      <c r="A1283" s="1">
        <v>42040</v>
      </c>
      <c r="B1283" t="s">
        <v>0</v>
      </c>
      <c r="C1283">
        <v>526.13787950000005</v>
      </c>
      <c r="D1283">
        <v>-9.2203313844306887E-3</v>
      </c>
      <c r="E1283">
        <v>0</v>
      </c>
      <c r="F1283">
        <v>514.32425970500003</v>
      </c>
      <c r="G1283">
        <v>14.745420788484799</v>
      </c>
      <c r="H1283">
        <v>543.81510128196965</v>
      </c>
      <c r="I1283">
        <v>484.83341812803042</v>
      </c>
    </row>
    <row r="1284" spans="1:9" x14ac:dyDescent="0.25">
      <c r="A1284" s="1">
        <v>42041</v>
      </c>
      <c r="B1284" t="s">
        <v>0</v>
      </c>
      <c r="C1284">
        <v>529.54853949999995</v>
      </c>
      <c r="D1284">
        <v>-6.4824452541624939E-3</v>
      </c>
      <c r="E1284">
        <v>0</v>
      </c>
      <c r="F1284">
        <v>515.73638920500002</v>
      </c>
      <c r="G1284">
        <v>14.688443796898763</v>
      </c>
      <c r="H1284">
        <v>545.11327679879753</v>
      </c>
      <c r="I1284">
        <v>486.35950161120252</v>
      </c>
    </row>
    <row r="1285" spans="1:9" x14ac:dyDescent="0.25">
      <c r="A1285" s="1">
        <v>42044</v>
      </c>
      <c r="B1285" t="s">
        <v>0</v>
      </c>
      <c r="C1285">
        <v>526.38720990000002</v>
      </c>
      <c r="D1285">
        <v>5.969858028472442E-3</v>
      </c>
      <c r="E1285">
        <v>1</v>
      </c>
      <c r="F1285">
        <v>517.31506305500011</v>
      </c>
      <c r="G1285">
        <v>14.743455754467103</v>
      </c>
      <c r="H1285">
        <v>546.80197456393432</v>
      </c>
      <c r="I1285">
        <v>487.8281515460659</v>
      </c>
    </row>
    <row r="1286" spans="1:9" x14ac:dyDescent="0.25">
      <c r="A1286" s="1">
        <v>42045</v>
      </c>
      <c r="B1286" t="s">
        <v>0</v>
      </c>
      <c r="C1286">
        <v>535.47227290000001</v>
      </c>
      <c r="D1286">
        <v>-1.725927763656324E-2</v>
      </c>
      <c r="E1286">
        <v>0</v>
      </c>
      <c r="F1286">
        <v>519.52849473000003</v>
      </c>
      <c r="G1286">
        <v>14.179861312631687</v>
      </c>
      <c r="H1286">
        <v>547.88821735526335</v>
      </c>
      <c r="I1286">
        <v>491.16877210473666</v>
      </c>
    </row>
    <row r="1287" spans="1:9" x14ac:dyDescent="0.25">
      <c r="A1287" s="1">
        <v>42046</v>
      </c>
      <c r="B1287" t="s">
        <v>0</v>
      </c>
      <c r="C1287">
        <v>534.50492169999995</v>
      </c>
      <c r="D1287">
        <v>1.8065383568062106E-3</v>
      </c>
      <c r="E1287">
        <v>1</v>
      </c>
      <c r="F1287">
        <v>521.51255519000006</v>
      </c>
      <c r="G1287">
        <v>13.326676044604715</v>
      </c>
      <c r="H1287">
        <v>548.16590727920948</v>
      </c>
      <c r="I1287">
        <v>494.85920310079064</v>
      </c>
    </row>
    <row r="1288" spans="1:9" x14ac:dyDescent="0.25">
      <c r="A1288" s="1">
        <v>42047</v>
      </c>
      <c r="B1288" t="s">
        <v>0</v>
      </c>
      <c r="C1288">
        <v>541.44593220000002</v>
      </c>
      <c r="D1288">
        <v>-1.2985868264644011E-2</v>
      </c>
      <c r="E1288">
        <v>0</v>
      </c>
      <c r="F1288">
        <v>523.60980743499999</v>
      </c>
      <c r="G1288">
        <v>12.442834265026946</v>
      </c>
      <c r="H1288">
        <v>548.49547596505386</v>
      </c>
      <c r="I1288">
        <v>498.72413890494613</v>
      </c>
    </row>
    <row r="1289" spans="1:9" x14ac:dyDescent="0.25">
      <c r="A1289" s="1">
        <v>42048</v>
      </c>
      <c r="B1289" t="s">
        <v>0</v>
      </c>
      <c r="C1289">
        <v>547.50931419999995</v>
      </c>
      <c r="D1289">
        <v>-1.119849949811837E-2</v>
      </c>
      <c r="E1289">
        <v>0</v>
      </c>
      <c r="F1289">
        <v>525.96435452499998</v>
      </c>
      <c r="G1289">
        <v>12.133110993220077</v>
      </c>
      <c r="H1289">
        <v>550.23057651144018</v>
      </c>
      <c r="I1289">
        <v>501.69813253855983</v>
      </c>
    </row>
    <row r="1290" spans="1:9" x14ac:dyDescent="0.25">
      <c r="A1290" s="1">
        <v>42052</v>
      </c>
      <c r="B1290" t="s">
        <v>0</v>
      </c>
      <c r="C1290">
        <v>541.35614969999995</v>
      </c>
      <c r="D1290">
        <v>1.1238465429562191E-2</v>
      </c>
      <c r="E1290">
        <v>1</v>
      </c>
      <c r="F1290">
        <v>527.6976036399999</v>
      </c>
      <c r="G1290">
        <v>11.865746462055125</v>
      </c>
      <c r="H1290">
        <v>551.42909656411018</v>
      </c>
      <c r="I1290">
        <v>503.96611071588967</v>
      </c>
    </row>
    <row r="1291" spans="1:9" x14ac:dyDescent="0.25">
      <c r="A1291" s="1">
        <v>42053</v>
      </c>
      <c r="B1291" t="s">
        <v>0</v>
      </c>
      <c r="C1291">
        <v>538.22472600000003</v>
      </c>
      <c r="D1291">
        <v>5.7844058883144414E-3</v>
      </c>
      <c r="E1291">
        <v>1</v>
      </c>
      <c r="F1291">
        <v>529.33311973000002</v>
      </c>
      <c r="G1291">
        <v>11.433946292983046</v>
      </c>
      <c r="H1291">
        <v>552.20101231596607</v>
      </c>
      <c r="I1291">
        <v>506.46522714403392</v>
      </c>
    </row>
    <row r="1292" spans="1:9" x14ac:dyDescent="0.25">
      <c r="A1292" s="1">
        <v>42054</v>
      </c>
      <c r="B1292" t="s">
        <v>0</v>
      </c>
      <c r="C1292">
        <v>541.38605659999996</v>
      </c>
      <c r="D1292">
        <v>-5.8736257315683566E-3</v>
      </c>
      <c r="E1292">
        <v>0</v>
      </c>
      <c r="F1292">
        <v>530.571223465</v>
      </c>
      <c r="G1292">
        <v>10.38530217747773</v>
      </c>
      <c r="H1292">
        <v>551.34182781995548</v>
      </c>
      <c r="I1292">
        <v>509.80061911004452</v>
      </c>
    </row>
    <row r="1293" spans="1:9" x14ac:dyDescent="0.25">
      <c r="A1293" s="1">
        <v>42055</v>
      </c>
      <c r="B1293" t="s">
        <v>0</v>
      </c>
      <c r="C1293">
        <v>537.47679849999997</v>
      </c>
      <c r="D1293">
        <v>7.2208326245984597E-3</v>
      </c>
      <c r="E1293">
        <v>1</v>
      </c>
      <c r="F1293">
        <v>530.79860185000007</v>
      </c>
      <c r="G1293">
        <v>10.199409574615599</v>
      </c>
      <c r="H1293">
        <v>551.19742099923121</v>
      </c>
      <c r="I1293">
        <v>510.39978270076887</v>
      </c>
    </row>
    <row r="1294" spans="1:9" x14ac:dyDescent="0.25">
      <c r="A1294" s="1">
        <v>42058</v>
      </c>
      <c r="B1294" t="s">
        <v>0</v>
      </c>
      <c r="C1294">
        <v>530.45601399999998</v>
      </c>
      <c r="D1294">
        <v>1.3062488501073393E-2</v>
      </c>
      <c r="E1294">
        <v>1</v>
      </c>
      <c r="F1294">
        <v>530.39769972499994</v>
      </c>
      <c r="G1294">
        <v>10.304931572954015</v>
      </c>
      <c r="H1294">
        <v>551.00756287090792</v>
      </c>
      <c r="I1294">
        <v>509.7878365790919</v>
      </c>
    </row>
    <row r="1295" spans="1:9" x14ac:dyDescent="0.25">
      <c r="A1295" s="1">
        <v>42059</v>
      </c>
      <c r="B1295" t="s">
        <v>0</v>
      </c>
      <c r="C1295">
        <v>534.62461210000004</v>
      </c>
      <c r="D1295">
        <v>-7.858517935475897E-3</v>
      </c>
      <c r="E1295">
        <v>0</v>
      </c>
      <c r="F1295">
        <v>530.44157805500004</v>
      </c>
      <c r="G1295">
        <v>10.145557309531455</v>
      </c>
      <c r="H1295">
        <v>550.73269267406295</v>
      </c>
      <c r="I1295">
        <v>510.15046343593713</v>
      </c>
    </row>
    <row r="1296" spans="1:9" x14ac:dyDescent="0.25">
      <c r="A1296" s="1">
        <v>42060</v>
      </c>
      <c r="B1296" t="s">
        <v>0</v>
      </c>
      <c r="C1296">
        <v>542.38337539999998</v>
      </c>
      <c r="D1296">
        <v>-1.4512544174731497E-2</v>
      </c>
      <c r="E1296">
        <v>0</v>
      </c>
      <c r="F1296">
        <v>531.7001286499999</v>
      </c>
      <c r="G1296">
        <v>10.239378187211637</v>
      </c>
      <c r="H1296">
        <v>552.17888502442315</v>
      </c>
      <c r="I1296">
        <v>511.22137227557664</v>
      </c>
    </row>
    <row r="1297" spans="1:9" x14ac:dyDescent="0.25">
      <c r="A1297" s="1">
        <v>42061</v>
      </c>
      <c r="B1297" t="s">
        <v>0</v>
      </c>
      <c r="C1297">
        <v>553.96161440000003</v>
      </c>
      <c r="D1297">
        <v>-2.134696512676346E-2</v>
      </c>
      <c r="E1297">
        <v>0</v>
      </c>
      <c r="F1297">
        <v>533.96791234999978</v>
      </c>
      <c r="G1297">
        <v>10.256682196242702</v>
      </c>
      <c r="H1297">
        <v>554.48127674248519</v>
      </c>
      <c r="I1297">
        <v>513.45454795751436</v>
      </c>
    </row>
    <row r="1298" spans="1:9" x14ac:dyDescent="0.25">
      <c r="A1298" s="1">
        <v>42062</v>
      </c>
      <c r="B1298" t="s">
        <v>0</v>
      </c>
      <c r="C1298">
        <v>556.87361450000003</v>
      </c>
      <c r="D1298">
        <v>-5.2566820954805856E-3</v>
      </c>
      <c r="E1298">
        <v>0</v>
      </c>
      <c r="F1298">
        <v>536.34838730499985</v>
      </c>
      <c r="G1298">
        <v>9.9343905555239793</v>
      </c>
      <c r="H1298">
        <v>556.2171684160478</v>
      </c>
      <c r="I1298">
        <v>516.47960619395189</v>
      </c>
    </row>
    <row r="1299" spans="1:9" x14ac:dyDescent="0.25">
      <c r="A1299" s="1">
        <v>42065</v>
      </c>
      <c r="B1299" t="s">
        <v>0</v>
      </c>
      <c r="C1299">
        <v>569.7782747</v>
      </c>
      <c r="D1299">
        <v>-2.3173409305065874E-2</v>
      </c>
      <c r="E1299">
        <v>0</v>
      </c>
      <c r="F1299">
        <v>538.18435445499995</v>
      </c>
      <c r="G1299">
        <v>9.2978088507284067</v>
      </c>
      <c r="H1299">
        <v>556.77997215645678</v>
      </c>
      <c r="I1299">
        <v>519.58873675354312</v>
      </c>
    </row>
    <row r="1300" spans="1:9" x14ac:dyDescent="0.25">
      <c r="A1300" s="1">
        <v>42066</v>
      </c>
      <c r="B1300" t="s">
        <v>0</v>
      </c>
      <c r="C1300">
        <v>572.07198640000001</v>
      </c>
      <c r="D1300">
        <v>-4.0256215476234215E-3</v>
      </c>
      <c r="E1300">
        <v>0</v>
      </c>
      <c r="F1300">
        <v>540.43618350999998</v>
      </c>
      <c r="G1300">
        <v>11.837029839411713</v>
      </c>
      <c r="H1300">
        <v>564.11024318882346</v>
      </c>
      <c r="I1300">
        <v>516.7621238311765</v>
      </c>
    </row>
    <row r="1301" spans="1:9" x14ac:dyDescent="0.25">
      <c r="A1301" s="1">
        <v>42067</v>
      </c>
      <c r="B1301" t="s">
        <v>0</v>
      </c>
      <c r="C1301">
        <v>571.80269869999995</v>
      </c>
      <c r="D1301">
        <v>4.7072345159683126E-4</v>
      </c>
      <c r="E1301">
        <v>1</v>
      </c>
      <c r="F1301">
        <v>542.63665127499996</v>
      </c>
      <c r="G1301">
        <v>13.638896296878036</v>
      </c>
      <c r="H1301">
        <v>569.91444386875605</v>
      </c>
      <c r="I1301">
        <v>515.35885868124387</v>
      </c>
    </row>
    <row r="1302" spans="1:9" x14ac:dyDescent="0.25">
      <c r="A1302" s="1">
        <v>42068</v>
      </c>
      <c r="B1302" t="s">
        <v>0</v>
      </c>
      <c r="C1302">
        <v>573.7573582</v>
      </c>
      <c r="D1302">
        <v>-3.4184160103546014E-3</v>
      </c>
      <c r="E1302">
        <v>0</v>
      </c>
      <c r="F1302">
        <v>545.25796745499997</v>
      </c>
      <c r="G1302">
        <v>14.980237561493768</v>
      </c>
      <c r="H1302">
        <v>575.2184425779875</v>
      </c>
      <c r="I1302">
        <v>515.29749233201244</v>
      </c>
    </row>
    <row r="1303" spans="1:9" x14ac:dyDescent="0.25">
      <c r="A1303" s="1">
        <v>42069</v>
      </c>
      <c r="B1303" t="s">
        <v>0</v>
      </c>
      <c r="C1303">
        <v>566.13323920000005</v>
      </c>
      <c r="D1303">
        <v>1.3288054420632528E-2</v>
      </c>
      <c r="E1303">
        <v>1</v>
      </c>
      <c r="F1303">
        <v>547.25773544000003</v>
      </c>
      <c r="G1303">
        <v>15.504594391406878</v>
      </c>
      <c r="H1303">
        <v>578.26692422281383</v>
      </c>
      <c r="I1303">
        <v>516.24854665718624</v>
      </c>
    </row>
    <row r="1304" spans="1:9" x14ac:dyDescent="0.25">
      <c r="A1304" s="1">
        <v>42072</v>
      </c>
      <c r="B1304" t="s">
        <v>0</v>
      </c>
      <c r="C1304">
        <v>567.29504840000004</v>
      </c>
      <c r="D1304">
        <v>-2.0521833369857244E-3</v>
      </c>
      <c r="E1304">
        <v>0</v>
      </c>
      <c r="F1304">
        <v>549.14506088500013</v>
      </c>
      <c r="G1304">
        <v>15.474697442624255</v>
      </c>
      <c r="H1304">
        <v>580.0944557702486</v>
      </c>
      <c r="I1304">
        <v>518.19566599975167</v>
      </c>
    </row>
    <row r="1305" spans="1:9" x14ac:dyDescent="0.25">
      <c r="A1305" s="1">
        <v>42073</v>
      </c>
      <c r="B1305" t="s">
        <v>0</v>
      </c>
      <c r="C1305">
        <v>553.49292319999995</v>
      </c>
      <c r="D1305">
        <v>2.4329712094134488E-2</v>
      </c>
      <c r="E1305">
        <v>1</v>
      </c>
      <c r="F1305">
        <v>550.50034655000013</v>
      </c>
      <c r="G1305">
        <v>15.445807845321999</v>
      </c>
      <c r="H1305">
        <v>581.39196224064415</v>
      </c>
      <c r="I1305">
        <v>519.60873085935611</v>
      </c>
    </row>
    <row r="1306" spans="1:9" x14ac:dyDescent="0.25">
      <c r="A1306" s="1">
        <v>42074</v>
      </c>
      <c r="B1306" t="s">
        <v>0</v>
      </c>
      <c r="C1306">
        <v>549.67338670000004</v>
      </c>
      <c r="D1306">
        <v>6.9007865139763605E-3</v>
      </c>
      <c r="E1306">
        <v>1</v>
      </c>
      <c r="F1306">
        <v>551.21040224000001</v>
      </c>
      <c r="G1306">
        <v>14.506990276164775</v>
      </c>
      <c r="H1306">
        <v>580.22438279232961</v>
      </c>
      <c r="I1306">
        <v>522.19642168767041</v>
      </c>
    </row>
    <row r="1307" spans="1:9" x14ac:dyDescent="0.25">
      <c r="A1307" s="1">
        <v>42075</v>
      </c>
      <c r="B1307" t="s">
        <v>0</v>
      </c>
      <c r="C1307">
        <v>553.99152130000004</v>
      </c>
      <c r="D1307">
        <v>-7.8558189362672431E-3</v>
      </c>
      <c r="E1307">
        <v>0</v>
      </c>
      <c r="F1307">
        <v>552.18473222000011</v>
      </c>
      <c r="G1307">
        <v>14.111547429855024</v>
      </c>
      <c r="H1307">
        <v>580.40782707971016</v>
      </c>
      <c r="I1307">
        <v>523.96163736029007</v>
      </c>
    </row>
    <row r="1308" spans="1:9" x14ac:dyDescent="0.25">
      <c r="A1308" s="1">
        <v>42076</v>
      </c>
      <c r="B1308" t="s">
        <v>0</v>
      </c>
      <c r="C1308">
        <v>545.82394339999996</v>
      </c>
      <c r="D1308">
        <v>1.4743146033776822E-2</v>
      </c>
      <c r="E1308">
        <v>1</v>
      </c>
      <c r="F1308">
        <v>552.40363278000007</v>
      </c>
      <c r="G1308">
        <v>13.554266031697964</v>
      </c>
      <c r="H1308">
        <v>579.51216484339602</v>
      </c>
      <c r="I1308">
        <v>525.29510071660411</v>
      </c>
    </row>
    <row r="1309" spans="1:9" x14ac:dyDescent="0.25">
      <c r="A1309" s="1">
        <v>42079</v>
      </c>
      <c r="B1309" t="s">
        <v>0</v>
      </c>
      <c r="C1309">
        <v>552.99426329999994</v>
      </c>
      <c r="D1309">
        <v>-1.3136689928505583E-2</v>
      </c>
      <c r="E1309">
        <v>0</v>
      </c>
      <c r="F1309">
        <v>552.67788023499998</v>
      </c>
      <c r="G1309">
        <v>13.414708153419992</v>
      </c>
      <c r="H1309">
        <v>579.50729654183999</v>
      </c>
      <c r="I1309">
        <v>525.84846392815996</v>
      </c>
    </row>
    <row r="1310" spans="1:9" x14ac:dyDescent="0.25">
      <c r="A1310" s="1">
        <v>42080</v>
      </c>
      <c r="B1310" t="s">
        <v>0</v>
      </c>
      <c r="C1310">
        <v>549.33427380000001</v>
      </c>
      <c r="D1310">
        <v>6.618494517753053E-3</v>
      </c>
      <c r="E1310">
        <v>1</v>
      </c>
      <c r="F1310">
        <v>553.07678644000009</v>
      </c>
      <c r="G1310">
        <v>13.370969380381649</v>
      </c>
      <c r="H1310">
        <v>579.81872520076342</v>
      </c>
      <c r="I1310">
        <v>526.33484767923676</v>
      </c>
    </row>
    <row r="1311" spans="1:9" x14ac:dyDescent="0.25">
      <c r="A1311" s="1">
        <v>42081</v>
      </c>
      <c r="B1311" t="s">
        <v>0</v>
      </c>
      <c r="C1311">
        <v>557.97060469999997</v>
      </c>
      <c r="D1311">
        <v>-1.5721449237562503E-2</v>
      </c>
      <c r="E1311">
        <v>0</v>
      </c>
      <c r="F1311">
        <v>554.064080375</v>
      </c>
      <c r="G1311">
        <v>13.175326381105984</v>
      </c>
      <c r="H1311">
        <v>580.41473313721201</v>
      </c>
      <c r="I1311">
        <v>527.713427612788</v>
      </c>
    </row>
    <row r="1312" spans="1:9" x14ac:dyDescent="0.25">
      <c r="A1312" s="1">
        <v>42082</v>
      </c>
      <c r="B1312" t="s">
        <v>0</v>
      </c>
      <c r="C1312">
        <v>556.46473809999998</v>
      </c>
      <c r="D1312">
        <v>2.6988278366557299E-3</v>
      </c>
      <c r="E1312">
        <v>1</v>
      </c>
      <c r="F1312">
        <v>554.81801444999996</v>
      </c>
      <c r="G1312">
        <v>12.742701091305669</v>
      </c>
      <c r="H1312">
        <v>580.30341663261129</v>
      </c>
      <c r="I1312">
        <v>529.33261226738864</v>
      </c>
    </row>
    <row r="1313" spans="1:9" x14ac:dyDescent="0.25">
      <c r="A1313" s="1">
        <v>42083</v>
      </c>
      <c r="B1313" t="s">
        <v>0</v>
      </c>
      <c r="C1313">
        <v>558.82827399999996</v>
      </c>
      <c r="D1313">
        <v>-4.2474136062422823E-3</v>
      </c>
      <c r="E1313">
        <v>0</v>
      </c>
      <c r="F1313">
        <v>555.88558822499999</v>
      </c>
      <c r="G1313">
        <v>12.435065549573714</v>
      </c>
      <c r="H1313">
        <v>580.75571932414744</v>
      </c>
      <c r="I1313">
        <v>531.01545712585255</v>
      </c>
    </row>
    <row r="1314" spans="1:9" x14ac:dyDescent="0.25">
      <c r="A1314" s="1">
        <v>42086</v>
      </c>
      <c r="B1314" t="s">
        <v>0</v>
      </c>
      <c r="C1314">
        <v>557.28249089999997</v>
      </c>
      <c r="D1314">
        <v>2.7661146937600985E-3</v>
      </c>
      <c r="E1314">
        <v>1</v>
      </c>
      <c r="F1314">
        <v>557.22691207000003</v>
      </c>
      <c r="G1314">
        <v>11.828727653510192</v>
      </c>
      <c r="H1314">
        <v>580.88436737702045</v>
      </c>
      <c r="I1314">
        <v>533.5694567629796</v>
      </c>
    </row>
    <row r="1315" spans="1:9" x14ac:dyDescent="0.25">
      <c r="A1315" s="1">
        <v>42087</v>
      </c>
      <c r="B1315" t="s">
        <v>0</v>
      </c>
      <c r="C1315">
        <v>568.63141940000003</v>
      </c>
      <c r="D1315">
        <v>-2.0364767753014754E-2</v>
      </c>
      <c r="E1315">
        <v>0</v>
      </c>
      <c r="F1315">
        <v>558.92725243500001</v>
      </c>
      <c r="G1315">
        <v>10.342923210309827</v>
      </c>
      <c r="H1315">
        <v>579.61309885561968</v>
      </c>
      <c r="I1315">
        <v>538.24140601438035</v>
      </c>
    </row>
    <row r="1316" spans="1:9" x14ac:dyDescent="0.25">
      <c r="A1316" s="1">
        <v>42088</v>
      </c>
      <c r="B1316" t="s">
        <v>0</v>
      </c>
      <c r="C1316">
        <v>557.25758829999995</v>
      </c>
      <c r="D1316">
        <v>2.0002115099445866E-2</v>
      </c>
      <c r="E1316">
        <v>1</v>
      </c>
      <c r="F1316">
        <v>559.67096307999998</v>
      </c>
      <c r="G1316">
        <v>9.0943274913246608</v>
      </c>
      <c r="H1316">
        <v>577.85961806264925</v>
      </c>
      <c r="I1316">
        <v>541.48230809735071</v>
      </c>
    </row>
    <row r="1317" spans="1:9" x14ac:dyDescent="0.25">
      <c r="A1317" s="1">
        <v>42089</v>
      </c>
      <c r="B1317" t="s">
        <v>0</v>
      </c>
      <c r="C1317">
        <v>553.65246909999996</v>
      </c>
      <c r="D1317">
        <v>6.4693945415762949E-3</v>
      </c>
      <c r="E1317">
        <v>1</v>
      </c>
      <c r="F1317">
        <v>559.65550581499997</v>
      </c>
      <c r="G1317">
        <v>8.2495585305067944</v>
      </c>
      <c r="H1317">
        <v>576.1546228760136</v>
      </c>
      <c r="I1317">
        <v>543.15638875398633</v>
      </c>
    </row>
    <row r="1318" spans="1:9" x14ac:dyDescent="0.25">
      <c r="A1318" s="1">
        <v>42090</v>
      </c>
      <c r="B1318" t="s">
        <v>0</v>
      </c>
      <c r="C1318">
        <v>546.84115959999997</v>
      </c>
      <c r="D1318">
        <v>1.2302499998008216E-2</v>
      </c>
      <c r="E1318">
        <v>1</v>
      </c>
      <c r="F1318">
        <v>559.15388307000001</v>
      </c>
      <c r="G1318">
        <v>8.2757261822966424</v>
      </c>
      <c r="H1318">
        <v>575.70533543459328</v>
      </c>
      <c r="I1318">
        <v>542.60243070540673</v>
      </c>
    </row>
    <row r="1319" spans="1:9" x14ac:dyDescent="0.25">
      <c r="A1319" s="1">
        <v>42093</v>
      </c>
      <c r="B1319" t="s">
        <v>0</v>
      </c>
      <c r="C1319">
        <v>550.52104650000001</v>
      </c>
      <c r="D1319">
        <v>-6.729352455275648E-3</v>
      </c>
      <c r="E1319">
        <v>0</v>
      </c>
      <c r="F1319">
        <v>558.19102166000005</v>
      </c>
      <c r="G1319">
        <v>8.7598471826901871</v>
      </c>
      <c r="H1319">
        <v>575.71071602538041</v>
      </c>
      <c r="I1319">
        <v>540.67132729461969</v>
      </c>
    </row>
    <row r="1320" spans="1:9" x14ac:dyDescent="0.25">
      <c r="A1320" s="1">
        <v>42094</v>
      </c>
      <c r="B1320" t="s">
        <v>0</v>
      </c>
      <c r="C1320">
        <v>546.50204659999997</v>
      </c>
      <c r="D1320">
        <v>7.3003564996311906E-3</v>
      </c>
      <c r="E1320">
        <v>1</v>
      </c>
      <c r="F1320">
        <v>556.91252466999993</v>
      </c>
      <c r="G1320">
        <v>8.6369949354289837</v>
      </c>
      <c r="H1320">
        <v>574.18651454085784</v>
      </c>
      <c r="I1320">
        <v>539.63853479914201</v>
      </c>
    </row>
    <row r="1321" spans="1:9" x14ac:dyDescent="0.25">
      <c r="A1321" s="1">
        <v>42095</v>
      </c>
      <c r="B1321" t="s">
        <v>0</v>
      </c>
      <c r="C1321">
        <v>541.0769123</v>
      </c>
      <c r="D1321">
        <v>9.9270155230924036E-3</v>
      </c>
      <c r="E1321">
        <v>1</v>
      </c>
      <c r="F1321">
        <v>555.37623534999989</v>
      </c>
      <c r="G1321">
        <v>8.4194005175251583</v>
      </c>
      <c r="H1321">
        <v>572.21503638505021</v>
      </c>
      <c r="I1321">
        <v>538.53743431494956</v>
      </c>
    </row>
    <row r="1322" spans="1:9" x14ac:dyDescent="0.25">
      <c r="A1322" s="1">
        <v>42096</v>
      </c>
      <c r="B1322" t="s">
        <v>0</v>
      </c>
      <c r="C1322">
        <v>534.0661384</v>
      </c>
      <c r="D1322">
        <v>1.2957074568564998E-2</v>
      </c>
      <c r="E1322">
        <v>1</v>
      </c>
      <c r="F1322">
        <v>553.39167436000002</v>
      </c>
      <c r="G1322">
        <v>8.4591302432638233</v>
      </c>
      <c r="H1322">
        <v>570.30993484652765</v>
      </c>
      <c r="I1322">
        <v>536.4734138734724</v>
      </c>
    </row>
    <row r="1323" spans="1:9" x14ac:dyDescent="0.25">
      <c r="A1323" s="1">
        <v>42100</v>
      </c>
      <c r="B1323" t="s">
        <v>0</v>
      </c>
      <c r="C1323">
        <v>535.29777200000001</v>
      </c>
      <c r="D1323">
        <v>-2.306144335774292E-3</v>
      </c>
      <c r="E1323">
        <v>0</v>
      </c>
      <c r="F1323">
        <v>551.84990099999993</v>
      </c>
      <c r="G1323">
        <v>8.4776006428486284</v>
      </c>
      <c r="H1323">
        <v>568.80510228569722</v>
      </c>
      <c r="I1323">
        <v>534.89469971430265</v>
      </c>
    </row>
    <row r="1324" spans="1:9" x14ac:dyDescent="0.25">
      <c r="A1324" s="1">
        <v>42101</v>
      </c>
      <c r="B1324" t="s">
        <v>0</v>
      </c>
      <c r="C1324">
        <v>535.55204590000005</v>
      </c>
      <c r="D1324">
        <v>-4.7501393299287598E-4</v>
      </c>
      <c r="E1324">
        <v>0</v>
      </c>
      <c r="F1324">
        <v>550.26275087499994</v>
      </c>
      <c r="G1324">
        <v>8.8253452846768496</v>
      </c>
      <c r="H1324">
        <v>567.91344144435368</v>
      </c>
      <c r="I1324">
        <v>532.6120603056462</v>
      </c>
    </row>
    <row r="1325" spans="1:9" x14ac:dyDescent="0.25">
      <c r="A1325" s="1">
        <v>42102</v>
      </c>
      <c r="B1325" t="s">
        <v>0</v>
      </c>
      <c r="C1325">
        <v>540.12952040000005</v>
      </c>
      <c r="D1325">
        <v>-8.5472075684213042E-3</v>
      </c>
      <c r="E1325">
        <v>0</v>
      </c>
      <c r="F1325">
        <v>549.59458073500002</v>
      </c>
      <c r="G1325">
        <v>8.6399337279763664</v>
      </c>
      <c r="H1325">
        <v>566.87444819095276</v>
      </c>
      <c r="I1325">
        <v>532.31471327904728</v>
      </c>
    </row>
    <row r="1326" spans="1:9" x14ac:dyDescent="0.25">
      <c r="A1326" s="1">
        <v>42103</v>
      </c>
      <c r="B1326" t="s">
        <v>0</v>
      </c>
      <c r="C1326">
        <v>539.30181889999994</v>
      </c>
      <c r="D1326">
        <v>1.532413002324216E-3</v>
      </c>
      <c r="E1326">
        <v>1</v>
      </c>
      <c r="F1326">
        <v>549.07600234500001</v>
      </c>
      <c r="G1326">
        <v>8.8677445288493164</v>
      </c>
      <c r="H1326">
        <v>566.81149140269861</v>
      </c>
      <c r="I1326">
        <v>531.34051328730141</v>
      </c>
    </row>
    <row r="1327" spans="1:9" x14ac:dyDescent="0.25">
      <c r="A1327" s="1">
        <v>42104</v>
      </c>
      <c r="B1327" t="s">
        <v>0</v>
      </c>
      <c r="C1327">
        <v>538.53387129999999</v>
      </c>
      <c r="D1327">
        <v>1.4239662709951909E-3</v>
      </c>
      <c r="E1327">
        <v>1</v>
      </c>
      <c r="F1327">
        <v>548.30311984499997</v>
      </c>
      <c r="G1327">
        <v>9.164776597669416</v>
      </c>
      <c r="H1327">
        <v>566.63267304033877</v>
      </c>
      <c r="I1327">
        <v>529.97356664966117</v>
      </c>
    </row>
    <row r="1328" spans="1:9" x14ac:dyDescent="0.25">
      <c r="A1328" s="1">
        <v>42107</v>
      </c>
      <c r="B1328" t="s">
        <v>0</v>
      </c>
      <c r="C1328">
        <v>537.69622100000004</v>
      </c>
      <c r="D1328">
        <v>1.555427327120381E-3</v>
      </c>
      <c r="E1328">
        <v>1</v>
      </c>
      <c r="F1328">
        <v>547.89673372499988</v>
      </c>
      <c r="G1328">
        <v>9.3441048295037117</v>
      </c>
      <c r="H1328">
        <v>566.58494338400726</v>
      </c>
      <c r="I1328">
        <v>529.20852406599249</v>
      </c>
    </row>
    <row r="1329" spans="1:9" x14ac:dyDescent="0.25">
      <c r="A1329" s="1">
        <v>42108</v>
      </c>
      <c r="B1329" t="s">
        <v>0</v>
      </c>
      <c r="C1329">
        <v>528.94019969999999</v>
      </c>
      <c r="D1329">
        <v>1.6284327391618478E-2</v>
      </c>
      <c r="E1329">
        <v>1</v>
      </c>
      <c r="F1329">
        <v>546.6940305449998</v>
      </c>
      <c r="G1329">
        <v>9.6822771087183135</v>
      </c>
      <c r="H1329">
        <v>566.05858476243645</v>
      </c>
      <c r="I1329">
        <v>527.32947632756316</v>
      </c>
    </row>
    <row r="1330" spans="1:9" x14ac:dyDescent="0.25">
      <c r="A1330" s="1">
        <v>42109</v>
      </c>
      <c r="B1330" t="s">
        <v>0</v>
      </c>
      <c r="C1330">
        <v>531.07436429999996</v>
      </c>
      <c r="D1330">
        <v>-4.0347937275525686E-3</v>
      </c>
      <c r="E1330">
        <v>0</v>
      </c>
      <c r="F1330">
        <v>545.78103506999992</v>
      </c>
      <c r="G1330">
        <v>10.409386609818361</v>
      </c>
      <c r="H1330">
        <v>566.5998082896366</v>
      </c>
      <c r="I1330">
        <v>524.96226185036323</v>
      </c>
    </row>
    <row r="1331" spans="1:9" x14ac:dyDescent="0.25">
      <c r="A1331" s="1">
        <v>42110</v>
      </c>
      <c r="B1331" t="s">
        <v>0</v>
      </c>
      <c r="C1331">
        <v>532.34084919999998</v>
      </c>
      <c r="D1331">
        <v>-2.3847599981018765E-3</v>
      </c>
      <c r="E1331">
        <v>0</v>
      </c>
      <c r="F1331">
        <v>544.49954729499996</v>
      </c>
      <c r="G1331">
        <v>10.962690066465452</v>
      </c>
      <c r="H1331">
        <v>566.42492742793081</v>
      </c>
      <c r="I1331">
        <v>522.5741671620691</v>
      </c>
    </row>
    <row r="1332" spans="1:9" x14ac:dyDescent="0.25">
      <c r="A1332" s="1">
        <v>42111</v>
      </c>
      <c r="B1332" t="s">
        <v>0</v>
      </c>
      <c r="C1332">
        <v>522.61753950000002</v>
      </c>
      <c r="D1332">
        <v>1.8265195531419608E-2</v>
      </c>
      <c r="E1332">
        <v>1</v>
      </c>
      <c r="F1332">
        <v>542.80718736499989</v>
      </c>
      <c r="G1332">
        <v>11.016482343011209</v>
      </c>
      <c r="H1332">
        <v>564.8401520510223</v>
      </c>
      <c r="I1332">
        <v>520.77422267897748</v>
      </c>
    </row>
    <row r="1333" spans="1:9" x14ac:dyDescent="0.25">
      <c r="A1333" s="1">
        <v>42114</v>
      </c>
      <c r="B1333" t="s">
        <v>0</v>
      </c>
      <c r="C1333">
        <v>533.91654010000002</v>
      </c>
      <c r="D1333">
        <v>-2.162001797874983E-2</v>
      </c>
      <c r="E1333">
        <v>0</v>
      </c>
      <c r="F1333">
        <v>541.56160066999996</v>
      </c>
      <c r="G1333">
        <v>11.574499076431708</v>
      </c>
      <c r="H1333">
        <v>564.7105988228634</v>
      </c>
      <c r="I1333">
        <v>518.41260251713652</v>
      </c>
    </row>
    <row r="1334" spans="1:9" x14ac:dyDescent="0.25">
      <c r="A1334" s="1">
        <v>42115</v>
      </c>
      <c r="B1334" t="s">
        <v>0</v>
      </c>
      <c r="C1334">
        <v>532.51040569999998</v>
      </c>
      <c r="D1334">
        <v>2.6336221008187526E-3</v>
      </c>
      <c r="E1334">
        <v>1</v>
      </c>
      <c r="F1334">
        <v>540.32299640999986</v>
      </c>
      <c r="G1334">
        <v>11.113892951837832</v>
      </c>
      <c r="H1334">
        <v>562.55078231367554</v>
      </c>
      <c r="I1334">
        <v>518.09521050632418</v>
      </c>
    </row>
    <row r="1335" spans="1:9" x14ac:dyDescent="0.25">
      <c r="A1335" s="1">
        <v>42116</v>
      </c>
      <c r="B1335" t="s">
        <v>0</v>
      </c>
      <c r="C1335">
        <v>537.89067910000006</v>
      </c>
      <c r="D1335">
        <v>-1.0103602375483267E-2</v>
      </c>
      <c r="E1335">
        <v>0</v>
      </c>
      <c r="F1335">
        <v>538.78595939499996</v>
      </c>
      <c r="G1335">
        <v>10.702883038820543</v>
      </c>
      <c r="H1335">
        <v>560.191725472641</v>
      </c>
      <c r="I1335">
        <v>517.38019331735893</v>
      </c>
    </row>
    <row r="1336" spans="1:9" x14ac:dyDescent="0.25">
      <c r="A1336" s="1">
        <v>42117</v>
      </c>
      <c r="B1336" t="s">
        <v>0</v>
      </c>
      <c r="C1336">
        <v>545.50478859999998</v>
      </c>
      <c r="D1336">
        <v>-1.4155496266899201E-2</v>
      </c>
      <c r="E1336">
        <v>0</v>
      </c>
      <c r="F1336">
        <v>538.19831941000007</v>
      </c>
      <c r="G1336">
        <v>8.390442675417729</v>
      </c>
      <c r="H1336">
        <v>554.9792047608355</v>
      </c>
      <c r="I1336">
        <v>521.41743405916463</v>
      </c>
    </row>
    <row r="1337" spans="1:9" x14ac:dyDescent="0.25">
      <c r="A1337" s="1">
        <v>42118</v>
      </c>
      <c r="B1337" t="s">
        <v>0</v>
      </c>
      <c r="C1337">
        <v>563.51542940000002</v>
      </c>
      <c r="D1337">
        <v>-3.3016466906226595E-2</v>
      </c>
      <c r="E1337">
        <v>0</v>
      </c>
      <c r="F1337">
        <v>538.69146742499993</v>
      </c>
      <c r="G1337">
        <v>7.4262481324235612</v>
      </c>
      <c r="H1337">
        <v>553.54396368984703</v>
      </c>
      <c r="I1337">
        <v>523.83897116015282</v>
      </c>
    </row>
    <row r="1338" spans="1:9" x14ac:dyDescent="0.25">
      <c r="A1338" s="1">
        <v>42121</v>
      </c>
      <c r="B1338" t="s">
        <v>0</v>
      </c>
      <c r="C1338">
        <v>555.36999500000002</v>
      </c>
      <c r="D1338">
        <v>1.4454678567848277E-2</v>
      </c>
      <c r="E1338">
        <v>1</v>
      </c>
      <c r="F1338">
        <v>539.11790919500004</v>
      </c>
      <c r="G1338">
        <v>8.6574181924156814</v>
      </c>
      <c r="H1338">
        <v>556.43274557983136</v>
      </c>
      <c r="I1338">
        <v>521.80307281016871</v>
      </c>
    </row>
    <row r="1339" spans="1:9" x14ac:dyDescent="0.25">
      <c r="A1339" s="1">
        <v>42122</v>
      </c>
      <c r="B1339" t="s">
        <v>0</v>
      </c>
      <c r="C1339">
        <v>553.67999299999997</v>
      </c>
      <c r="D1339">
        <v>3.0430199960659551E-3</v>
      </c>
      <c r="E1339">
        <v>1</v>
      </c>
      <c r="F1339">
        <v>539.27585651999993</v>
      </c>
      <c r="G1339">
        <v>9.2303803781633054</v>
      </c>
      <c r="H1339">
        <v>557.73661727632657</v>
      </c>
      <c r="I1339">
        <v>520.8150957636733</v>
      </c>
    </row>
    <row r="1340" spans="1:9" x14ac:dyDescent="0.25">
      <c r="A1340" s="1">
        <v>42123</v>
      </c>
      <c r="B1340" t="s">
        <v>0</v>
      </c>
      <c r="C1340">
        <v>549.080017</v>
      </c>
      <c r="D1340">
        <v>8.3080047286447096E-3</v>
      </c>
      <c r="E1340">
        <v>1</v>
      </c>
      <c r="F1340">
        <v>539.40475503999983</v>
      </c>
      <c r="G1340">
        <v>9.4481627450234473</v>
      </c>
      <c r="H1340">
        <v>558.30108053004676</v>
      </c>
      <c r="I1340">
        <v>520.50842954995289</v>
      </c>
    </row>
    <row r="1341" spans="1:9" x14ac:dyDescent="0.25">
      <c r="A1341" s="1">
        <v>42124</v>
      </c>
      <c r="B1341" t="s">
        <v>0</v>
      </c>
      <c r="C1341">
        <v>537.34002699999996</v>
      </c>
      <c r="D1341">
        <v>2.1381200620163954E-2</v>
      </c>
      <c r="E1341">
        <v>1</v>
      </c>
      <c r="F1341">
        <v>539.21791077499995</v>
      </c>
      <c r="G1341">
        <v>9.5637151442920576</v>
      </c>
      <c r="H1341">
        <v>558.3453410635841</v>
      </c>
      <c r="I1341">
        <v>520.0904804864158</v>
      </c>
    </row>
    <row r="1342" spans="1:9" x14ac:dyDescent="0.25">
      <c r="A1342" s="1">
        <v>42125</v>
      </c>
      <c r="B1342" t="s">
        <v>0</v>
      </c>
      <c r="C1342">
        <v>537.90002400000003</v>
      </c>
      <c r="D1342">
        <v>-1.0421650572479439E-3</v>
      </c>
      <c r="E1342">
        <v>0</v>
      </c>
      <c r="F1342">
        <v>539.40960505499993</v>
      </c>
      <c r="G1342">
        <v>9.5658205135925858</v>
      </c>
      <c r="H1342">
        <v>558.54124608218513</v>
      </c>
      <c r="I1342">
        <v>520.27796402781473</v>
      </c>
    </row>
    <row r="1343" spans="1:9" x14ac:dyDescent="0.25">
      <c r="A1343" s="1">
        <v>42128</v>
      </c>
      <c r="B1343" t="s">
        <v>0</v>
      </c>
      <c r="C1343">
        <v>540.78002900000001</v>
      </c>
      <c r="D1343">
        <v>-5.3541641039227443E-3</v>
      </c>
      <c r="E1343">
        <v>0</v>
      </c>
      <c r="F1343">
        <v>539.68371790499998</v>
      </c>
      <c r="G1343">
        <v>9.5008615349466989</v>
      </c>
      <c r="H1343">
        <v>558.68544097489337</v>
      </c>
      <c r="I1343">
        <v>520.68199483510659</v>
      </c>
    </row>
    <row r="1344" spans="1:9" x14ac:dyDescent="0.25">
      <c r="A1344" s="1">
        <v>42129</v>
      </c>
      <c r="B1344" t="s">
        <v>0</v>
      </c>
      <c r="C1344">
        <v>530.79998799999998</v>
      </c>
      <c r="D1344">
        <v>1.845489933948731E-2</v>
      </c>
      <c r="E1344">
        <v>1</v>
      </c>
      <c r="F1344">
        <v>539.44611500999997</v>
      </c>
      <c r="G1344">
        <v>9.4562727260117594</v>
      </c>
      <c r="H1344">
        <v>558.35866046202352</v>
      </c>
      <c r="I1344">
        <v>520.53356955797642</v>
      </c>
    </row>
    <row r="1345" spans="1:9" x14ac:dyDescent="0.25">
      <c r="A1345" s="1">
        <v>42130</v>
      </c>
      <c r="B1345" t="s">
        <v>0</v>
      </c>
      <c r="C1345">
        <v>524.21997099999999</v>
      </c>
      <c r="D1345">
        <v>1.239641512576673E-2</v>
      </c>
      <c r="E1345">
        <v>1</v>
      </c>
      <c r="F1345">
        <v>538.65063754000005</v>
      </c>
      <c r="G1345">
        <v>9.6453856934790938</v>
      </c>
      <c r="H1345">
        <v>557.94140892695827</v>
      </c>
      <c r="I1345">
        <v>519.35986615304182</v>
      </c>
    </row>
    <row r="1346" spans="1:9" x14ac:dyDescent="0.25">
      <c r="A1346" s="1">
        <v>42131</v>
      </c>
      <c r="B1346" t="s">
        <v>0</v>
      </c>
      <c r="C1346">
        <v>530.70001200000002</v>
      </c>
      <c r="D1346">
        <v>-1.2361301282815929E-2</v>
      </c>
      <c r="E1346">
        <v>0</v>
      </c>
      <c r="F1346">
        <v>538.22054719500011</v>
      </c>
      <c r="G1346">
        <v>10.174541512745774</v>
      </c>
      <c r="H1346">
        <v>558.5696302204916</v>
      </c>
      <c r="I1346">
        <v>517.87146416950861</v>
      </c>
    </row>
    <row r="1347" spans="1:9" x14ac:dyDescent="0.25">
      <c r="A1347" s="1">
        <v>42132</v>
      </c>
      <c r="B1347" t="s">
        <v>0</v>
      </c>
      <c r="C1347">
        <v>538.21997099999999</v>
      </c>
      <c r="D1347">
        <v>-1.4169886621370514E-2</v>
      </c>
      <c r="E1347">
        <v>0</v>
      </c>
      <c r="F1347">
        <v>538.2048521800001</v>
      </c>
      <c r="G1347">
        <v>10.309752973958348</v>
      </c>
      <c r="H1347">
        <v>558.82435812791675</v>
      </c>
      <c r="I1347">
        <v>517.58534623208345</v>
      </c>
    </row>
    <row r="1348" spans="1:9" x14ac:dyDescent="0.25">
      <c r="A1348" s="1">
        <v>42135</v>
      </c>
      <c r="B1348" t="s">
        <v>0</v>
      </c>
      <c r="C1348">
        <v>535.70001200000002</v>
      </c>
      <c r="D1348">
        <v>4.682024331646311E-3</v>
      </c>
      <c r="E1348">
        <v>1</v>
      </c>
      <c r="F1348">
        <v>538.10504173000004</v>
      </c>
      <c r="G1348">
        <v>10.309974163878485</v>
      </c>
      <c r="H1348">
        <v>558.72499005775705</v>
      </c>
      <c r="I1348">
        <v>517.48509340224302</v>
      </c>
    </row>
    <row r="1349" spans="1:9" x14ac:dyDescent="0.25">
      <c r="A1349" s="1">
        <v>42136</v>
      </c>
      <c r="B1349" t="s">
        <v>0</v>
      </c>
      <c r="C1349">
        <v>529.03997800000002</v>
      </c>
      <c r="D1349">
        <v>1.2432394718706849E-2</v>
      </c>
      <c r="E1349">
        <v>1</v>
      </c>
      <c r="F1349">
        <v>538.11003064500005</v>
      </c>
      <c r="G1349">
        <v>10.323586771551836</v>
      </c>
      <c r="H1349">
        <v>558.75720418810374</v>
      </c>
      <c r="I1349">
        <v>517.46285710189636</v>
      </c>
    </row>
    <row r="1350" spans="1:9" x14ac:dyDescent="0.25">
      <c r="A1350" s="1">
        <v>42137</v>
      </c>
      <c r="B1350" t="s">
        <v>0</v>
      </c>
      <c r="C1350">
        <v>529.61999500000002</v>
      </c>
      <c r="D1350">
        <v>-1.0963575988958587E-3</v>
      </c>
      <c r="E1350">
        <v>0</v>
      </c>
      <c r="F1350">
        <v>538.03731218000007</v>
      </c>
      <c r="G1350">
        <v>10.319434799254829</v>
      </c>
      <c r="H1350">
        <v>558.67618177850977</v>
      </c>
      <c r="I1350">
        <v>517.39844258149037</v>
      </c>
    </row>
    <row r="1351" spans="1:9" x14ac:dyDescent="0.25">
      <c r="A1351" s="1">
        <v>42138</v>
      </c>
      <c r="B1351" t="s">
        <v>0</v>
      </c>
      <c r="C1351">
        <v>538.40002400000003</v>
      </c>
      <c r="D1351">
        <v>-1.6577978707167228E-2</v>
      </c>
      <c r="E1351">
        <v>0</v>
      </c>
      <c r="F1351">
        <v>538.34027092000019</v>
      </c>
      <c r="G1351">
        <v>10.377906717670493</v>
      </c>
      <c r="H1351">
        <v>559.09608435534119</v>
      </c>
      <c r="I1351">
        <v>517.5844574846592</v>
      </c>
    </row>
    <row r="1352" spans="1:9" x14ac:dyDescent="0.25">
      <c r="A1352" s="1">
        <v>42139</v>
      </c>
      <c r="B1352" t="s">
        <v>0</v>
      </c>
      <c r="C1352">
        <v>533.84997599999997</v>
      </c>
      <c r="D1352">
        <v>8.45105460099322E-3</v>
      </c>
      <c r="E1352">
        <v>1</v>
      </c>
      <c r="F1352">
        <v>538.90189274500005</v>
      </c>
      <c r="G1352">
        <v>10.306157983836396</v>
      </c>
      <c r="H1352">
        <v>559.51420871267283</v>
      </c>
      <c r="I1352">
        <v>518.28957677732728</v>
      </c>
    </row>
    <row r="1353" spans="1:9" x14ac:dyDescent="0.25">
      <c r="A1353" s="1">
        <v>42142</v>
      </c>
      <c r="B1353" t="s">
        <v>0</v>
      </c>
      <c r="C1353">
        <v>532.29998799999998</v>
      </c>
      <c r="D1353">
        <v>2.9034149474233282E-3</v>
      </c>
      <c r="E1353">
        <v>1</v>
      </c>
      <c r="F1353">
        <v>538.82106514000009</v>
      </c>
      <c r="G1353">
        <v>9.7077551781577274</v>
      </c>
      <c r="H1353">
        <v>558.2365754963156</v>
      </c>
      <c r="I1353">
        <v>519.40555478368458</v>
      </c>
    </row>
    <row r="1354" spans="1:9" x14ac:dyDescent="0.25">
      <c r="A1354" s="1">
        <v>42143</v>
      </c>
      <c r="B1354" t="s">
        <v>0</v>
      </c>
      <c r="C1354">
        <v>537.35998500000005</v>
      </c>
      <c r="D1354">
        <v>-9.5059122939526852E-3</v>
      </c>
      <c r="E1354">
        <v>0</v>
      </c>
      <c r="F1354">
        <v>539.06354410500001</v>
      </c>
      <c r="G1354">
        <v>9.7582175988962181</v>
      </c>
      <c r="H1354">
        <v>558.57997930279248</v>
      </c>
      <c r="I1354">
        <v>519.54710890720753</v>
      </c>
    </row>
    <row r="1355" spans="1:9" x14ac:dyDescent="0.25">
      <c r="A1355" s="1">
        <v>42144</v>
      </c>
      <c r="B1355" t="s">
        <v>0</v>
      </c>
      <c r="C1355">
        <v>539.27002000000005</v>
      </c>
      <c r="D1355">
        <v>-3.5544794054585089E-3</v>
      </c>
      <c r="E1355">
        <v>0</v>
      </c>
      <c r="F1355">
        <v>539.13251115000014</v>
      </c>
      <c r="G1355">
        <v>9.6553348825486633</v>
      </c>
      <c r="H1355">
        <v>558.44318091509751</v>
      </c>
      <c r="I1355">
        <v>519.82184138490277</v>
      </c>
    </row>
    <row r="1356" spans="1:9" x14ac:dyDescent="0.25">
      <c r="A1356" s="1">
        <v>42145</v>
      </c>
      <c r="B1356" t="s">
        <v>0</v>
      </c>
      <c r="C1356">
        <v>542.51000999999997</v>
      </c>
      <c r="D1356">
        <v>-6.0081033245644186E-3</v>
      </c>
      <c r="E1356">
        <v>0</v>
      </c>
      <c r="F1356">
        <v>538.98277222000002</v>
      </c>
      <c r="G1356">
        <v>9.6525515555986328</v>
      </c>
      <c r="H1356">
        <v>558.28787533119726</v>
      </c>
      <c r="I1356">
        <v>519.67766910880277</v>
      </c>
    </row>
    <row r="1357" spans="1:9" x14ac:dyDescent="0.25">
      <c r="A1357" s="1">
        <v>42146</v>
      </c>
      <c r="B1357" t="s">
        <v>0</v>
      </c>
      <c r="C1357">
        <v>540.10998500000005</v>
      </c>
      <c r="D1357">
        <v>4.4239275879903381E-3</v>
      </c>
      <c r="E1357">
        <v>1</v>
      </c>
      <c r="F1357">
        <v>537.8125</v>
      </c>
      <c r="G1357">
        <v>9.6455442582146134</v>
      </c>
      <c r="H1357">
        <v>557.10358851642923</v>
      </c>
      <c r="I1357">
        <v>518.52141148357077</v>
      </c>
    </row>
    <row r="1358" spans="1:9" x14ac:dyDescent="0.25">
      <c r="A1358" s="1">
        <v>42150</v>
      </c>
      <c r="B1358" t="s">
        <v>0</v>
      </c>
      <c r="C1358">
        <v>532.32000700000003</v>
      </c>
      <c r="D1358">
        <v>1.4422947577982693E-2</v>
      </c>
      <c r="E1358">
        <v>1</v>
      </c>
      <c r="F1358">
        <v>536.6600006000001</v>
      </c>
      <c r="G1358">
        <v>7.8483547182431188</v>
      </c>
      <c r="H1358">
        <v>552.35671003648633</v>
      </c>
      <c r="I1358">
        <v>520.96329116351387</v>
      </c>
    </row>
    <row r="1359" spans="1:9" x14ac:dyDescent="0.25">
      <c r="A1359" s="1">
        <v>42151</v>
      </c>
      <c r="B1359" t="s">
        <v>0</v>
      </c>
      <c r="C1359">
        <v>539.78997800000002</v>
      </c>
      <c r="D1359">
        <v>-1.4032857870773184E-2</v>
      </c>
      <c r="E1359">
        <v>0</v>
      </c>
      <c r="F1359">
        <v>535.96549985000001</v>
      </c>
      <c r="G1359">
        <v>6.7466722000642845</v>
      </c>
      <c r="H1359">
        <v>549.45884425012855</v>
      </c>
      <c r="I1359">
        <v>522.47215544987148</v>
      </c>
    </row>
    <row r="1360" spans="1:9" x14ac:dyDescent="0.25">
      <c r="A1360" s="1">
        <v>42152</v>
      </c>
      <c r="B1360" t="s">
        <v>0</v>
      </c>
      <c r="C1360">
        <v>539.78002900000001</v>
      </c>
      <c r="D1360">
        <v>1.8431242530416117E-5</v>
      </c>
      <c r="E1360">
        <v>1</v>
      </c>
      <c r="F1360">
        <v>535.50050045000012</v>
      </c>
      <c r="G1360">
        <v>5.5475200310627191</v>
      </c>
      <c r="H1360">
        <v>546.59554051212558</v>
      </c>
      <c r="I1360">
        <v>524.40546038787465</v>
      </c>
    </row>
    <row r="1361" spans="1:9" x14ac:dyDescent="0.25">
      <c r="A1361" s="1">
        <v>42153</v>
      </c>
      <c r="B1361" t="s">
        <v>0</v>
      </c>
      <c r="C1361">
        <v>532.10998500000005</v>
      </c>
      <c r="D1361">
        <v>1.4209573507581476E-2</v>
      </c>
      <c r="E1361">
        <v>1</v>
      </c>
      <c r="F1361">
        <v>535.23899834999997</v>
      </c>
      <c r="G1361">
        <v>4.7475168864653572</v>
      </c>
      <c r="H1361">
        <v>544.73403212293067</v>
      </c>
      <c r="I1361">
        <v>525.74396457706928</v>
      </c>
    </row>
    <row r="1362" spans="1:9" x14ac:dyDescent="0.25">
      <c r="A1362" s="1">
        <v>42156</v>
      </c>
      <c r="B1362" t="s">
        <v>0</v>
      </c>
      <c r="C1362">
        <v>533.98999000000003</v>
      </c>
      <c r="D1362">
        <v>-3.5331135535823155E-3</v>
      </c>
      <c r="E1362">
        <v>0</v>
      </c>
      <c r="F1362">
        <v>535.04349664999995</v>
      </c>
      <c r="G1362">
        <v>4.7797445182556029</v>
      </c>
      <c r="H1362">
        <v>544.60298568651115</v>
      </c>
      <c r="I1362">
        <v>525.48400761348876</v>
      </c>
    </row>
    <row r="1363" spans="1:9" x14ac:dyDescent="0.25">
      <c r="A1363" s="1">
        <v>42157</v>
      </c>
      <c r="B1363" t="s">
        <v>0</v>
      </c>
      <c r="C1363">
        <v>539.17999299999997</v>
      </c>
      <c r="D1363">
        <v>-9.7192889327381085E-3</v>
      </c>
      <c r="E1363">
        <v>0</v>
      </c>
      <c r="F1363">
        <v>534.96349484999996</v>
      </c>
      <c r="G1363">
        <v>4.743402189970034</v>
      </c>
      <c r="H1363">
        <v>544.45029922994001</v>
      </c>
      <c r="I1363">
        <v>525.47669047005991</v>
      </c>
    </row>
    <row r="1364" spans="1:9" x14ac:dyDescent="0.25">
      <c r="A1364" s="1">
        <v>42158</v>
      </c>
      <c r="B1364" t="s">
        <v>0</v>
      </c>
      <c r="C1364">
        <v>540.30999799999995</v>
      </c>
      <c r="D1364">
        <v>-2.0957843663905809E-3</v>
      </c>
      <c r="E1364">
        <v>0</v>
      </c>
      <c r="F1364">
        <v>535.43899535000003</v>
      </c>
      <c r="G1364">
        <v>4.6822328453265341</v>
      </c>
      <c r="H1364">
        <v>544.80346104065313</v>
      </c>
      <c r="I1364">
        <v>526.07452965934692</v>
      </c>
    </row>
    <row r="1365" spans="1:9" x14ac:dyDescent="0.25">
      <c r="A1365" s="1">
        <v>42159</v>
      </c>
      <c r="B1365" t="s">
        <v>0</v>
      </c>
      <c r="C1365">
        <v>536.70001200000002</v>
      </c>
      <c r="D1365">
        <v>6.6813237092827882E-3</v>
      </c>
      <c r="E1365">
        <v>1</v>
      </c>
      <c r="F1365">
        <v>536.06299740000009</v>
      </c>
      <c r="G1365">
        <v>4.7352926897295902</v>
      </c>
      <c r="H1365">
        <v>545.53358277945927</v>
      </c>
      <c r="I1365">
        <v>526.59241202054091</v>
      </c>
    </row>
    <row r="1366" spans="1:9" x14ac:dyDescent="0.25">
      <c r="A1366" s="1">
        <v>42160</v>
      </c>
      <c r="B1366" t="s">
        <v>0</v>
      </c>
      <c r="C1366">
        <v>533.330017</v>
      </c>
      <c r="D1366">
        <v>6.2791036419802002E-3</v>
      </c>
      <c r="E1366">
        <v>1</v>
      </c>
      <c r="F1366">
        <v>536.19449765000013</v>
      </c>
      <c r="G1366">
        <v>3.9303581055207015</v>
      </c>
      <c r="H1366">
        <v>544.05521386104158</v>
      </c>
      <c r="I1366">
        <v>528.33378143895868</v>
      </c>
    </row>
    <row r="1367" spans="1:9" x14ac:dyDescent="0.25">
      <c r="A1367" s="1">
        <v>42163</v>
      </c>
      <c r="B1367" t="s">
        <v>0</v>
      </c>
      <c r="C1367">
        <v>526.830017</v>
      </c>
      <c r="D1367">
        <v>1.2187575783869671E-2</v>
      </c>
      <c r="E1367">
        <v>1</v>
      </c>
      <c r="F1367">
        <v>535.62499995000007</v>
      </c>
      <c r="G1367">
        <v>3.8305138440874869</v>
      </c>
      <c r="H1367">
        <v>543.28602763817503</v>
      </c>
      <c r="I1367">
        <v>527.96397226182512</v>
      </c>
    </row>
    <row r="1368" spans="1:9" x14ac:dyDescent="0.25">
      <c r="A1368" s="1">
        <v>42164</v>
      </c>
      <c r="B1368" t="s">
        <v>0</v>
      </c>
      <c r="C1368">
        <v>526.69000200000005</v>
      </c>
      <c r="D1368">
        <v>2.6576883526351628E-4</v>
      </c>
      <c r="E1368">
        <v>1</v>
      </c>
      <c r="F1368">
        <v>535.1744994500001</v>
      </c>
      <c r="G1368">
        <v>4.2903006336699514</v>
      </c>
      <c r="H1368">
        <v>543.75510071734004</v>
      </c>
      <c r="I1368">
        <v>526.59389818266015</v>
      </c>
    </row>
    <row r="1369" spans="1:9" x14ac:dyDescent="0.25">
      <c r="A1369" s="1">
        <v>42165</v>
      </c>
      <c r="B1369" t="s">
        <v>0</v>
      </c>
      <c r="C1369">
        <v>536.69000200000005</v>
      </c>
      <c r="D1369">
        <v>-1.8986500525977328E-2</v>
      </c>
      <c r="E1369">
        <v>0</v>
      </c>
      <c r="F1369">
        <v>535.55700064999996</v>
      </c>
      <c r="G1369">
        <v>4.7051581665458055</v>
      </c>
      <c r="H1369">
        <v>544.96731698309156</v>
      </c>
      <c r="I1369">
        <v>526.14668431690836</v>
      </c>
    </row>
    <row r="1370" spans="1:9" x14ac:dyDescent="0.25">
      <c r="A1370" s="1">
        <v>42166</v>
      </c>
      <c r="B1370" t="s">
        <v>0</v>
      </c>
      <c r="C1370">
        <v>534.60998500000005</v>
      </c>
      <c r="D1370">
        <v>3.8756395540232138E-3</v>
      </c>
      <c r="E1370">
        <v>1</v>
      </c>
      <c r="F1370">
        <v>535.80650015000003</v>
      </c>
      <c r="G1370">
        <v>4.4879136315929067</v>
      </c>
      <c r="H1370">
        <v>544.78232741318584</v>
      </c>
      <c r="I1370">
        <v>526.83067288681423</v>
      </c>
    </row>
    <row r="1371" spans="1:9" x14ac:dyDescent="0.25">
      <c r="A1371" s="1">
        <v>42167</v>
      </c>
      <c r="B1371" t="s">
        <v>0</v>
      </c>
      <c r="C1371">
        <v>532.330017</v>
      </c>
      <c r="D1371">
        <v>4.2647314191111736E-3</v>
      </c>
      <c r="E1371">
        <v>1</v>
      </c>
      <c r="F1371">
        <v>535.5029998</v>
      </c>
      <c r="G1371">
        <v>4.288522047716171</v>
      </c>
      <c r="H1371">
        <v>544.08004389543237</v>
      </c>
      <c r="I1371">
        <v>526.92595570456763</v>
      </c>
    </row>
    <row r="1372" spans="1:9" x14ac:dyDescent="0.25">
      <c r="A1372" s="1">
        <v>42170</v>
      </c>
      <c r="B1372" t="s">
        <v>0</v>
      </c>
      <c r="C1372">
        <v>527.20001200000002</v>
      </c>
      <c r="D1372">
        <v>9.6368884642475134E-3</v>
      </c>
      <c r="E1372">
        <v>1</v>
      </c>
      <c r="F1372">
        <v>535.17050160000008</v>
      </c>
      <c r="G1372">
        <v>4.3111170174835669</v>
      </c>
      <c r="H1372">
        <v>543.79273563496724</v>
      </c>
      <c r="I1372">
        <v>526.54826756503292</v>
      </c>
    </row>
    <row r="1373" spans="1:9" x14ac:dyDescent="0.25">
      <c r="A1373" s="1">
        <v>42171</v>
      </c>
      <c r="B1373" t="s">
        <v>0</v>
      </c>
      <c r="C1373">
        <v>528.15002400000003</v>
      </c>
      <c r="D1373">
        <v>-1.8019954066313929E-3</v>
      </c>
      <c r="E1373">
        <v>0</v>
      </c>
      <c r="F1373">
        <v>534.96300339999993</v>
      </c>
      <c r="G1373">
        <v>4.6602608587516166</v>
      </c>
      <c r="H1373">
        <v>544.28352511750313</v>
      </c>
      <c r="I1373">
        <v>525.64248168249674</v>
      </c>
    </row>
    <row r="1374" spans="1:9" x14ac:dyDescent="0.25">
      <c r="A1374" s="1">
        <v>42172</v>
      </c>
      <c r="B1374" t="s">
        <v>0</v>
      </c>
      <c r="C1374">
        <v>529.26000999999997</v>
      </c>
      <c r="D1374">
        <v>-2.1016490572003366E-3</v>
      </c>
      <c r="E1374">
        <v>0</v>
      </c>
      <c r="F1374">
        <v>534.55800465000004</v>
      </c>
      <c r="G1374">
        <v>4.8834728547748885</v>
      </c>
      <c r="H1374">
        <v>544.3249503595498</v>
      </c>
      <c r="I1374">
        <v>524.79105894045028</v>
      </c>
    </row>
    <row r="1375" spans="1:9" x14ac:dyDescent="0.25">
      <c r="A1375" s="1">
        <v>42173</v>
      </c>
      <c r="B1375" t="s">
        <v>0</v>
      </c>
      <c r="C1375">
        <v>536.72997999999995</v>
      </c>
      <c r="D1375">
        <v>-1.4113989076937799E-2</v>
      </c>
      <c r="E1375">
        <v>0</v>
      </c>
      <c r="F1375">
        <v>534.43100264999998</v>
      </c>
      <c r="G1375">
        <v>4.9875163461195164</v>
      </c>
      <c r="H1375">
        <v>544.40603534223897</v>
      </c>
      <c r="I1375">
        <v>524.455969957761</v>
      </c>
    </row>
    <row r="1376" spans="1:9" x14ac:dyDescent="0.25">
      <c r="A1376" s="1">
        <v>42174</v>
      </c>
      <c r="B1376" t="s">
        <v>0</v>
      </c>
      <c r="C1376">
        <v>536.69000200000005</v>
      </c>
      <c r="D1376">
        <v>7.4484380395344198E-5</v>
      </c>
      <c r="E1376">
        <v>1</v>
      </c>
      <c r="F1376">
        <v>534.14000224999995</v>
      </c>
      <c r="G1376">
        <v>4.9044327839945092</v>
      </c>
      <c r="H1376">
        <v>543.94886781798903</v>
      </c>
      <c r="I1376">
        <v>524.33113668201088</v>
      </c>
    </row>
    <row r="1377" spans="1:9" x14ac:dyDescent="0.25">
      <c r="A1377" s="1">
        <v>42177</v>
      </c>
      <c r="B1377" t="s">
        <v>0</v>
      </c>
      <c r="C1377">
        <v>538.19000200000005</v>
      </c>
      <c r="D1377">
        <v>-2.7949095276792579E-3</v>
      </c>
      <c r="E1377">
        <v>0</v>
      </c>
      <c r="F1377">
        <v>534.04400310000005</v>
      </c>
      <c r="G1377">
        <v>4.5700054944187825</v>
      </c>
      <c r="H1377">
        <v>543.18401408883767</v>
      </c>
      <c r="I1377">
        <v>524.90399211116244</v>
      </c>
    </row>
    <row r="1378" spans="1:9" x14ac:dyDescent="0.25">
      <c r="A1378" s="1">
        <v>42178</v>
      </c>
      <c r="B1378" t="s">
        <v>0</v>
      </c>
      <c r="C1378">
        <v>540.47997999999995</v>
      </c>
      <c r="D1378">
        <v>-4.2549619864545628E-3</v>
      </c>
      <c r="E1378">
        <v>0</v>
      </c>
      <c r="F1378">
        <v>534.45200175000002</v>
      </c>
      <c r="G1378">
        <v>4.4800749592839821</v>
      </c>
      <c r="H1378">
        <v>543.41215166856796</v>
      </c>
      <c r="I1378">
        <v>525.49185183143209</v>
      </c>
    </row>
    <row r="1379" spans="1:9" x14ac:dyDescent="0.25">
      <c r="A1379" s="1">
        <v>42179</v>
      </c>
      <c r="B1379" t="s">
        <v>0</v>
      </c>
      <c r="C1379">
        <v>537.84002699999996</v>
      </c>
      <c r="D1379">
        <v>4.8844602902775262E-3</v>
      </c>
      <c r="E1379">
        <v>1</v>
      </c>
      <c r="F1379">
        <v>534.35450420000006</v>
      </c>
      <c r="G1379">
        <v>4.6551190555647013</v>
      </c>
      <c r="H1379">
        <v>543.66474231112943</v>
      </c>
      <c r="I1379">
        <v>525.0442660888707</v>
      </c>
    </row>
    <row r="1380" spans="1:9" x14ac:dyDescent="0.25">
      <c r="A1380" s="1">
        <v>42180</v>
      </c>
      <c r="B1380" t="s">
        <v>0</v>
      </c>
      <c r="C1380">
        <v>535.22997999999995</v>
      </c>
      <c r="D1380">
        <v>4.8528314535429863E-3</v>
      </c>
      <c r="E1380">
        <v>1</v>
      </c>
      <c r="F1380">
        <v>534.12700175000009</v>
      </c>
      <c r="G1380">
        <v>4.5664116628025591</v>
      </c>
      <c r="H1380">
        <v>543.25982507560525</v>
      </c>
      <c r="I1380">
        <v>524.99417842439493</v>
      </c>
    </row>
    <row r="1381" spans="1:9" x14ac:dyDescent="0.25">
      <c r="A1381" s="1">
        <v>42181</v>
      </c>
      <c r="B1381" t="s">
        <v>0</v>
      </c>
      <c r="C1381">
        <v>531.69000200000005</v>
      </c>
      <c r="D1381">
        <v>6.6139381803685697E-3</v>
      </c>
      <c r="E1381">
        <v>1</v>
      </c>
      <c r="F1381">
        <v>534.10600260000012</v>
      </c>
      <c r="G1381">
        <v>4.394945805697323</v>
      </c>
      <c r="H1381">
        <v>542.89589421139476</v>
      </c>
      <c r="I1381">
        <v>525.31611098860549</v>
      </c>
    </row>
    <row r="1382" spans="1:9" x14ac:dyDescent="0.25">
      <c r="A1382" s="1">
        <v>42184</v>
      </c>
      <c r="B1382" t="s">
        <v>0</v>
      </c>
      <c r="C1382">
        <v>521.52002000000005</v>
      </c>
      <c r="D1382">
        <v>1.9127653259878308E-2</v>
      </c>
      <c r="E1382">
        <v>1</v>
      </c>
      <c r="F1382">
        <v>533.48250410000014</v>
      </c>
      <c r="G1382">
        <v>4.4493760963199218</v>
      </c>
      <c r="H1382">
        <v>542.38125629263993</v>
      </c>
      <c r="I1382">
        <v>524.58375190736035</v>
      </c>
    </row>
    <row r="1383" spans="1:9" x14ac:dyDescent="0.25">
      <c r="A1383" s="1">
        <v>42185</v>
      </c>
      <c r="B1383" t="s">
        <v>0</v>
      </c>
      <c r="C1383">
        <v>520.51000999999997</v>
      </c>
      <c r="D1383">
        <v>1.9366658254079665E-3</v>
      </c>
      <c r="E1383">
        <v>1</v>
      </c>
      <c r="F1383">
        <v>532.54900495000015</v>
      </c>
      <c r="G1383">
        <v>5.2735701858187474</v>
      </c>
      <c r="H1383">
        <v>543.09614532163766</v>
      </c>
      <c r="I1383">
        <v>522.00186457836264</v>
      </c>
    </row>
    <row r="1384" spans="1:9" x14ac:dyDescent="0.25">
      <c r="A1384" s="1">
        <v>42186</v>
      </c>
      <c r="B1384" t="s">
        <v>0</v>
      </c>
      <c r="C1384">
        <v>521.84002699999996</v>
      </c>
      <c r="D1384">
        <v>-2.5552188708147959E-3</v>
      </c>
      <c r="E1384">
        <v>0</v>
      </c>
      <c r="F1384">
        <v>531.62550639999995</v>
      </c>
      <c r="G1384">
        <v>5.8061830767685123</v>
      </c>
      <c r="H1384">
        <v>543.23787255353693</v>
      </c>
      <c r="I1384">
        <v>520.01314024646297</v>
      </c>
    </row>
    <row r="1385" spans="1:9" x14ac:dyDescent="0.25">
      <c r="A1385" s="1">
        <v>42187</v>
      </c>
      <c r="B1385" t="s">
        <v>0</v>
      </c>
      <c r="C1385">
        <v>523.40002400000003</v>
      </c>
      <c r="D1385">
        <v>-2.9894161415104838E-3</v>
      </c>
      <c r="E1385">
        <v>0</v>
      </c>
      <c r="F1385">
        <v>530.96050700000001</v>
      </c>
      <c r="G1385">
        <v>5.9304929609452453</v>
      </c>
      <c r="H1385">
        <v>542.82149292189047</v>
      </c>
      <c r="I1385">
        <v>519.09952107810955</v>
      </c>
    </row>
    <row r="1386" spans="1:9" x14ac:dyDescent="0.25">
      <c r="A1386" s="1">
        <v>42191</v>
      </c>
      <c r="B1386" t="s">
        <v>0</v>
      </c>
      <c r="C1386">
        <v>522.85998500000005</v>
      </c>
      <c r="D1386">
        <v>1.0317901704948696E-3</v>
      </c>
      <c r="E1386">
        <v>1</v>
      </c>
      <c r="F1386">
        <v>530.43700539999986</v>
      </c>
      <c r="G1386">
        <v>6.054399223906282</v>
      </c>
      <c r="H1386">
        <v>542.54580384781241</v>
      </c>
      <c r="I1386">
        <v>518.32820695218732</v>
      </c>
    </row>
    <row r="1387" spans="1:9" x14ac:dyDescent="0.25">
      <c r="A1387" s="1">
        <v>42192</v>
      </c>
      <c r="B1387" t="s">
        <v>0</v>
      </c>
      <c r="C1387">
        <v>525.02002000000005</v>
      </c>
      <c r="D1387">
        <v>-4.1311920245723013E-3</v>
      </c>
      <c r="E1387">
        <v>0</v>
      </c>
      <c r="F1387">
        <v>530.34650554999985</v>
      </c>
      <c r="G1387">
        <v>6.2542806370118162</v>
      </c>
      <c r="H1387">
        <v>542.85506682402342</v>
      </c>
      <c r="I1387">
        <v>517.83794427597627</v>
      </c>
    </row>
    <row r="1388" spans="1:9" x14ac:dyDescent="0.25">
      <c r="A1388" s="1">
        <v>42193</v>
      </c>
      <c r="B1388" t="s">
        <v>0</v>
      </c>
      <c r="C1388">
        <v>516.830017</v>
      </c>
      <c r="D1388">
        <v>1.5599410856751799E-2</v>
      </c>
      <c r="E1388">
        <v>1</v>
      </c>
      <c r="F1388">
        <v>529.85350629999994</v>
      </c>
      <c r="G1388">
        <v>6.337141498862513</v>
      </c>
      <c r="H1388">
        <v>542.52778929772501</v>
      </c>
      <c r="I1388">
        <v>517.17922330227486</v>
      </c>
    </row>
    <row r="1389" spans="1:9" x14ac:dyDescent="0.25">
      <c r="A1389" s="1">
        <v>42194</v>
      </c>
      <c r="B1389" t="s">
        <v>0</v>
      </c>
      <c r="C1389">
        <v>520.67999299999997</v>
      </c>
      <c r="D1389">
        <v>-7.4492112945521308E-3</v>
      </c>
      <c r="E1389">
        <v>0</v>
      </c>
      <c r="F1389">
        <v>529.05300585000009</v>
      </c>
      <c r="G1389">
        <v>6.9842923085743074</v>
      </c>
      <c r="H1389">
        <v>543.02159046714871</v>
      </c>
      <c r="I1389">
        <v>515.08442123285147</v>
      </c>
    </row>
    <row r="1390" spans="1:9" x14ac:dyDescent="0.25">
      <c r="A1390" s="1">
        <v>42195</v>
      </c>
      <c r="B1390" t="s">
        <v>0</v>
      </c>
      <c r="C1390">
        <v>530.13000499999998</v>
      </c>
      <c r="D1390">
        <v>-1.8149366457412577E-2</v>
      </c>
      <c r="E1390">
        <v>0</v>
      </c>
      <c r="F1390">
        <v>528.82900685000004</v>
      </c>
      <c r="G1390">
        <v>7.0299143880397903</v>
      </c>
      <c r="H1390">
        <v>542.88883562607964</v>
      </c>
      <c r="I1390">
        <v>514.76917807392044</v>
      </c>
    </row>
    <row r="1391" spans="1:9" x14ac:dyDescent="0.25">
      <c r="A1391" s="1">
        <v>42198</v>
      </c>
      <c r="B1391" t="s">
        <v>0</v>
      </c>
      <c r="C1391">
        <v>546.54998799999998</v>
      </c>
      <c r="D1391">
        <v>-3.0973502433615321E-2</v>
      </c>
      <c r="E1391">
        <v>0</v>
      </c>
      <c r="F1391">
        <v>529.54000539999993</v>
      </c>
      <c r="G1391">
        <v>6.9526153087918754</v>
      </c>
      <c r="H1391">
        <v>543.44523601758362</v>
      </c>
      <c r="I1391">
        <v>515.63477478241623</v>
      </c>
    </row>
    <row r="1392" spans="1:9" x14ac:dyDescent="0.25">
      <c r="A1392" s="1">
        <v>42199</v>
      </c>
      <c r="B1392" t="s">
        <v>0</v>
      </c>
      <c r="C1392">
        <v>561.09997599999997</v>
      </c>
      <c r="D1392">
        <v>-2.6621513712301068E-2</v>
      </c>
      <c r="E1392">
        <v>0</v>
      </c>
      <c r="F1392">
        <v>531.23500360000003</v>
      </c>
      <c r="G1392">
        <v>8.080200845044569</v>
      </c>
      <c r="H1392">
        <v>547.39540529008912</v>
      </c>
      <c r="I1392">
        <v>515.07460190991094</v>
      </c>
    </row>
    <row r="1393" spans="1:9" x14ac:dyDescent="0.25">
      <c r="A1393" s="1">
        <v>42200</v>
      </c>
      <c r="B1393" t="s">
        <v>0</v>
      </c>
      <c r="C1393">
        <v>560.21997099999999</v>
      </c>
      <c r="D1393">
        <v>1.56835686622803E-3</v>
      </c>
      <c r="E1393">
        <v>1</v>
      </c>
      <c r="F1393">
        <v>532.83850094999991</v>
      </c>
      <c r="G1393">
        <v>10.566107154943589</v>
      </c>
      <c r="H1393">
        <v>553.97071525988713</v>
      </c>
      <c r="I1393">
        <v>511.70628664011275</v>
      </c>
    </row>
    <row r="1394" spans="1:9" x14ac:dyDescent="0.25">
      <c r="A1394" s="1">
        <v>42201</v>
      </c>
      <c r="B1394" t="s">
        <v>0</v>
      </c>
      <c r="C1394">
        <v>579.84997599999997</v>
      </c>
      <c r="D1394">
        <v>-3.503981652949674E-2</v>
      </c>
      <c r="E1394">
        <v>0</v>
      </c>
      <c r="F1394">
        <v>535.36799924999991</v>
      </c>
      <c r="G1394">
        <v>12.426952014024645</v>
      </c>
      <c r="H1394">
        <v>560.22190327804924</v>
      </c>
      <c r="I1394">
        <v>510.51409522195064</v>
      </c>
    </row>
    <row r="1395" spans="1:9" x14ac:dyDescent="0.25">
      <c r="A1395" s="1">
        <v>42202</v>
      </c>
      <c r="B1395" t="s">
        <v>0</v>
      </c>
      <c r="C1395">
        <v>672.92999299999997</v>
      </c>
      <c r="D1395">
        <v>-0.16052430948104413</v>
      </c>
      <c r="E1395">
        <v>0</v>
      </c>
      <c r="F1395">
        <v>542.17799989999992</v>
      </c>
      <c r="G1395">
        <v>17.258973936979626</v>
      </c>
      <c r="H1395">
        <v>576.69594777395912</v>
      </c>
      <c r="I1395">
        <v>507.66005202604066</v>
      </c>
    </row>
    <row r="1396" spans="1:9" x14ac:dyDescent="0.25">
      <c r="A1396" s="1">
        <v>42205</v>
      </c>
      <c r="B1396" t="s">
        <v>0</v>
      </c>
      <c r="C1396">
        <v>663.02002000000005</v>
      </c>
      <c r="D1396">
        <v>1.472660321740173E-2</v>
      </c>
      <c r="E1396">
        <v>1</v>
      </c>
      <c r="F1396">
        <v>548.49450079999997</v>
      </c>
      <c r="G1396">
        <v>34.512179066477763</v>
      </c>
      <c r="H1396">
        <v>617.51885893295548</v>
      </c>
      <c r="I1396">
        <v>479.47014266704446</v>
      </c>
    </row>
    <row r="1397" spans="1:9" x14ac:dyDescent="0.25">
      <c r="A1397" s="1">
        <v>42206</v>
      </c>
      <c r="B1397" t="s">
        <v>0</v>
      </c>
      <c r="C1397">
        <v>662.29998799999998</v>
      </c>
      <c r="D1397">
        <v>1.0859883235502603E-3</v>
      </c>
      <c r="E1397">
        <v>1</v>
      </c>
      <c r="F1397">
        <v>554.7000000999999</v>
      </c>
      <c r="G1397">
        <v>43.340929192674729</v>
      </c>
      <c r="H1397">
        <v>641.38185848534931</v>
      </c>
      <c r="I1397">
        <v>468.01814171465043</v>
      </c>
    </row>
    <row r="1398" spans="1:9" x14ac:dyDescent="0.25">
      <c r="A1398" s="1">
        <v>42207</v>
      </c>
      <c r="B1398" t="s">
        <v>0</v>
      </c>
      <c r="C1398">
        <v>662.09997599999997</v>
      </c>
      <c r="D1398">
        <v>3.0199607975836952E-4</v>
      </c>
      <c r="E1398">
        <v>1</v>
      </c>
      <c r="F1398">
        <v>560.78099989999987</v>
      </c>
      <c r="G1398">
        <v>49.806360736284979</v>
      </c>
      <c r="H1398">
        <v>660.39372137256987</v>
      </c>
      <c r="I1398">
        <v>461.16827842742993</v>
      </c>
    </row>
    <row r="1399" spans="1:9" x14ac:dyDescent="0.25">
      <c r="A1399" s="1">
        <v>42208</v>
      </c>
      <c r="B1399" t="s">
        <v>0</v>
      </c>
      <c r="C1399">
        <v>644.28002900000001</v>
      </c>
      <c r="D1399">
        <v>2.6914284316482073E-2</v>
      </c>
      <c r="E1399">
        <v>1</v>
      </c>
      <c r="F1399">
        <v>566.10299999999995</v>
      </c>
      <c r="G1399">
        <v>54.787475122567571</v>
      </c>
      <c r="H1399">
        <v>675.67795024513509</v>
      </c>
      <c r="I1399">
        <v>456.52804975486481</v>
      </c>
    </row>
    <row r="1400" spans="1:9" x14ac:dyDescent="0.25">
      <c r="A1400" s="1">
        <v>42209</v>
      </c>
      <c r="B1400" t="s">
        <v>0</v>
      </c>
      <c r="C1400">
        <v>623.55999799999995</v>
      </c>
      <c r="D1400">
        <v>3.2159977133173041E-2</v>
      </c>
      <c r="E1400">
        <v>1</v>
      </c>
      <c r="F1400">
        <v>570.51950090000003</v>
      </c>
      <c r="G1400">
        <v>57.330755459256487</v>
      </c>
      <c r="H1400">
        <v>685.18101181851296</v>
      </c>
      <c r="I1400">
        <v>455.85798998148704</v>
      </c>
    </row>
    <row r="1401" spans="1:9" x14ac:dyDescent="0.25">
      <c r="A1401" s="1">
        <v>42212</v>
      </c>
      <c r="B1401" t="s">
        <v>0</v>
      </c>
      <c r="C1401">
        <v>627.26000999999997</v>
      </c>
      <c r="D1401">
        <v>-5.9336904417656624E-3</v>
      </c>
      <c r="E1401">
        <v>0</v>
      </c>
      <c r="F1401">
        <v>575.2980012999999</v>
      </c>
      <c r="G1401">
        <v>58.206930772589658</v>
      </c>
      <c r="H1401">
        <v>691.71186284517921</v>
      </c>
      <c r="I1401">
        <v>458.88413975482058</v>
      </c>
    </row>
    <row r="1402" spans="1:9" x14ac:dyDescent="0.25">
      <c r="A1402" s="1">
        <v>42213</v>
      </c>
      <c r="B1402" t="s">
        <v>0</v>
      </c>
      <c r="C1402">
        <v>628</v>
      </c>
      <c r="D1402">
        <v>-1.1797181204011944E-3</v>
      </c>
      <c r="E1402">
        <v>0</v>
      </c>
      <c r="F1402">
        <v>580.62200029999997</v>
      </c>
      <c r="G1402">
        <v>58.79040221478801</v>
      </c>
      <c r="H1402">
        <v>698.20280472957597</v>
      </c>
      <c r="I1402">
        <v>463.04119587042396</v>
      </c>
    </row>
    <row r="1403" spans="1:9" x14ac:dyDescent="0.25">
      <c r="A1403" s="1">
        <v>42214</v>
      </c>
      <c r="B1403" t="s">
        <v>0</v>
      </c>
      <c r="C1403">
        <v>631.92999299999997</v>
      </c>
      <c r="D1403">
        <v>-6.2579506369426236E-3</v>
      </c>
      <c r="E1403">
        <v>0</v>
      </c>
      <c r="F1403">
        <v>586.19299945</v>
      </c>
      <c r="G1403">
        <v>58.522892641388054</v>
      </c>
      <c r="H1403">
        <v>703.23878473277614</v>
      </c>
      <c r="I1403">
        <v>469.14721416722386</v>
      </c>
    </row>
    <row r="1404" spans="1:9" x14ac:dyDescent="0.25">
      <c r="A1404" s="1">
        <v>42215</v>
      </c>
      <c r="B1404" t="s">
        <v>0</v>
      </c>
      <c r="C1404">
        <v>632.59002699999996</v>
      </c>
      <c r="D1404">
        <v>-1.0444732918381927E-3</v>
      </c>
      <c r="E1404">
        <v>0</v>
      </c>
      <c r="F1404">
        <v>591.73049945000014</v>
      </c>
      <c r="G1404">
        <v>57.831425221592376</v>
      </c>
      <c r="H1404">
        <v>707.3933498931849</v>
      </c>
      <c r="I1404">
        <v>476.06764900681537</v>
      </c>
    </row>
    <row r="1405" spans="1:9" x14ac:dyDescent="0.25">
      <c r="A1405" s="1">
        <v>42216</v>
      </c>
      <c r="B1405" t="s">
        <v>0</v>
      </c>
      <c r="C1405">
        <v>625.60998500000005</v>
      </c>
      <c r="D1405">
        <v>1.1034068989519356E-2</v>
      </c>
      <c r="E1405">
        <v>1</v>
      </c>
      <c r="F1405">
        <v>596.84099750000007</v>
      </c>
      <c r="G1405">
        <v>56.655379939560312</v>
      </c>
      <c r="H1405">
        <v>710.15175737912068</v>
      </c>
      <c r="I1405">
        <v>483.53023762087946</v>
      </c>
    </row>
    <row r="1406" spans="1:9" x14ac:dyDescent="0.25">
      <c r="A1406" s="1">
        <v>42219</v>
      </c>
      <c r="B1406" t="s">
        <v>0</v>
      </c>
      <c r="C1406">
        <v>631.21002199999998</v>
      </c>
      <c r="D1406">
        <v>-8.9513229236581459E-3</v>
      </c>
      <c r="E1406">
        <v>0</v>
      </c>
      <c r="F1406">
        <v>602.25849934999997</v>
      </c>
      <c r="G1406">
        <v>54.871534560717897</v>
      </c>
      <c r="H1406">
        <v>712.0015684714358</v>
      </c>
      <c r="I1406">
        <v>492.51543022856418</v>
      </c>
    </row>
    <row r="1407" spans="1:9" x14ac:dyDescent="0.25">
      <c r="A1407" s="1">
        <v>42220</v>
      </c>
      <c r="B1407" t="s">
        <v>0</v>
      </c>
      <c r="C1407">
        <v>629.25</v>
      </c>
      <c r="D1407">
        <v>3.1051820023224866E-3</v>
      </c>
      <c r="E1407">
        <v>1</v>
      </c>
      <c r="F1407">
        <v>607.46999834999997</v>
      </c>
      <c r="G1407">
        <v>52.580874431806244</v>
      </c>
      <c r="H1407">
        <v>712.63174721361247</v>
      </c>
      <c r="I1407">
        <v>502.30824948638747</v>
      </c>
    </row>
    <row r="1408" spans="1:9" x14ac:dyDescent="0.25">
      <c r="A1408" s="1">
        <v>42221</v>
      </c>
      <c r="B1408" t="s">
        <v>0</v>
      </c>
      <c r="C1408">
        <v>643.78002900000001</v>
      </c>
      <c r="D1408">
        <v>-2.3091027413587626E-2</v>
      </c>
      <c r="E1408">
        <v>0</v>
      </c>
      <c r="F1408">
        <v>613.81749895000007</v>
      </c>
      <c r="G1408">
        <v>49.888451539191955</v>
      </c>
      <c r="H1408">
        <v>713.59440202838402</v>
      </c>
      <c r="I1408">
        <v>514.04059587161612</v>
      </c>
    </row>
    <row r="1409" spans="1:9" x14ac:dyDescent="0.25">
      <c r="A1409" s="1">
        <v>42222</v>
      </c>
      <c r="B1409" t="s">
        <v>0</v>
      </c>
      <c r="C1409">
        <v>642.67999299999997</v>
      </c>
      <c r="D1409">
        <v>1.7087140800387355E-3</v>
      </c>
      <c r="E1409">
        <v>1</v>
      </c>
      <c r="F1409">
        <v>619.91749894999998</v>
      </c>
      <c r="G1409">
        <v>45.832594019737549</v>
      </c>
      <c r="H1409">
        <v>711.58268698947506</v>
      </c>
      <c r="I1409">
        <v>528.2523109105249</v>
      </c>
    </row>
    <row r="1410" spans="1:9" x14ac:dyDescent="0.25">
      <c r="A1410" s="1">
        <v>42223</v>
      </c>
      <c r="B1410" t="s">
        <v>0</v>
      </c>
      <c r="C1410">
        <v>635.29998799999998</v>
      </c>
      <c r="D1410">
        <v>1.1483172154699366E-2</v>
      </c>
      <c r="E1410">
        <v>1</v>
      </c>
      <c r="F1410">
        <v>625.17599810000002</v>
      </c>
      <c r="G1410">
        <v>40.764947139652136</v>
      </c>
      <c r="H1410">
        <v>706.70589237930426</v>
      </c>
      <c r="I1410">
        <v>543.64610382069577</v>
      </c>
    </row>
    <row r="1411" spans="1:9" x14ac:dyDescent="0.25">
      <c r="A1411" s="1">
        <v>42226</v>
      </c>
      <c r="B1411" t="s">
        <v>0</v>
      </c>
      <c r="C1411">
        <v>633.72997999999995</v>
      </c>
      <c r="D1411">
        <v>2.4712860532905122E-3</v>
      </c>
      <c r="E1411">
        <v>1</v>
      </c>
      <c r="F1411">
        <v>629.53499769999996</v>
      </c>
      <c r="G1411">
        <v>35.131460418945515</v>
      </c>
      <c r="H1411">
        <v>699.79791853789095</v>
      </c>
      <c r="I1411">
        <v>559.27207686210897</v>
      </c>
    </row>
    <row r="1412" spans="1:9" x14ac:dyDescent="0.25">
      <c r="A1412" s="1">
        <v>42227</v>
      </c>
      <c r="B1412" t="s">
        <v>0</v>
      </c>
      <c r="C1412">
        <v>660.78002900000001</v>
      </c>
      <c r="D1412">
        <v>-4.2683871449477676E-2</v>
      </c>
      <c r="E1412">
        <v>0</v>
      </c>
      <c r="F1412">
        <v>634.51900034999994</v>
      </c>
      <c r="G1412">
        <v>30.259115910127861</v>
      </c>
      <c r="H1412">
        <v>695.03723217025572</v>
      </c>
      <c r="I1412">
        <v>574.00076852974416</v>
      </c>
    </row>
    <row r="1413" spans="1:9" x14ac:dyDescent="0.25">
      <c r="A1413" s="1">
        <v>42228</v>
      </c>
      <c r="B1413" t="s">
        <v>0</v>
      </c>
      <c r="C1413">
        <v>659.55999799999995</v>
      </c>
      <c r="D1413">
        <v>1.846349687423835E-3</v>
      </c>
      <c r="E1413">
        <v>1</v>
      </c>
      <c r="F1413">
        <v>639.48600169999997</v>
      </c>
      <c r="G1413">
        <v>26.556536342979037</v>
      </c>
      <c r="H1413">
        <v>692.59907438595803</v>
      </c>
      <c r="I1413">
        <v>586.37292901404192</v>
      </c>
    </row>
    <row r="1414" spans="1:9" x14ac:dyDescent="0.25">
      <c r="A1414" s="1">
        <v>42229</v>
      </c>
      <c r="B1414" t="s">
        <v>0</v>
      </c>
      <c r="C1414">
        <v>656.45001200000002</v>
      </c>
      <c r="D1414">
        <v>4.7152435099618271E-3</v>
      </c>
      <c r="E1414">
        <v>1</v>
      </c>
      <c r="F1414">
        <v>643.31600349999997</v>
      </c>
      <c r="G1414">
        <v>20.637626354547734</v>
      </c>
      <c r="H1414">
        <v>684.59125620909549</v>
      </c>
      <c r="I1414">
        <v>602.04075079090444</v>
      </c>
    </row>
    <row r="1415" spans="1:9" x14ac:dyDescent="0.25">
      <c r="A1415" s="1">
        <v>42230</v>
      </c>
      <c r="B1415" t="s">
        <v>0</v>
      </c>
      <c r="C1415">
        <v>657.11999500000002</v>
      </c>
      <c r="D1415">
        <v>-1.0206154128305537E-3</v>
      </c>
      <c r="E1415">
        <v>0</v>
      </c>
      <c r="F1415">
        <v>642.52550360000009</v>
      </c>
      <c r="G1415">
        <v>15.289368472052365</v>
      </c>
      <c r="H1415">
        <v>673.10424054410487</v>
      </c>
      <c r="I1415">
        <v>611.94676665589532</v>
      </c>
    </row>
    <row r="1416" spans="1:9" x14ac:dyDescent="0.25">
      <c r="A1416" s="1">
        <v>42233</v>
      </c>
      <c r="B1416" t="s">
        <v>0</v>
      </c>
      <c r="C1416">
        <v>660.86999500000002</v>
      </c>
      <c r="D1416">
        <v>-5.706720277169469E-3</v>
      </c>
      <c r="E1416">
        <v>0</v>
      </c>
      <c r="F1416">
        <v>642.41800235000005</v>
      </c>
      <c r="G1416">
        <v>14.07851749902804</v>
      </c>
      <c r="H1416">
        <v>670.57503734805618</v>
      </c>
      <c r="I1416">
        <v>614.26096735194392</v>
      </c>
    </row>
    <row r="1417" spans="1:9" x14ac:dyDescent="0.25">
      <c r="A1417" s="1">
        <v>42234</v>
      </c>
      <c r="B1417" t="s">
        <v>0</v>
      </c>
      <c r="C1417">
        <v>656.13000499999998</v>
      </c>
      <c r="D1417">
        <v>7.1723486250878047E-3</v>
      </c>
      <c r="E1417">
        <v>1</v>
      </c>
      <c r="F1417">
        <v>642.10950319999995</v>
      </c>
      <c r="G1417">
        <v>13.932030425290728</v>
      </c>
      <c r="H1417">
        <v>669.97356405058144</v>
      </c>
      <c r="I1417">
        <v>614.24544234941845</v>
      </c>
    </row>
    <row r="1418" spans="1:9" x14ac:dyDescent="0.25">
      <c r="A1418" s="1">
        <v>42235</v>
      </c>
      <c r="B1418" t="s">
        <v>0</v>
      </c>
      <c r="C1418">
        <v>660.90002400000003</v>
      </c>
      <c r="D1418">
        <v>-7.269929684133326E-3</v>
      </c>
      <c r="E1418">
        <v>0</v>
      </c>
      <c r="F1418">
        <v>642.04950559999997</v>
      </c>
      <c r="G1418">
        <v>13.548099910927396</v>
      </c>
      <c r="H1418">
        <v>669.14570542185481</v>
      </c>
      <c r="I1418">
        <v>614.95330577814514</v>
      </c>
    </row>
    <row r="1419" spans="1:9" x14ac:dyDescent="0.25">
      <c r="A1419" s="1">
        <v>42236</v>
      </c>
      <c r="B1419" t="s">
        <v>0</v>
      </c>
      <c r="C1419">
        <v>646.830017</v>
      </c>
      <c r="D1419">
        <v>2.1289160976032936E-2</v>
      </c>
      <c r="E1419">
        <v>1</v>
      </c>
      <c r="F1419">
        <v>642.17700500000001</v>
      </c>
      <c r="G1419">
        <v>13.462291830436769</v>
      </c>
      <c r="H1419">
        <v>669.10158866087352</v>
      </c>
      <c r="I1419">
        <v>615.2524213391265</v>
      </c>
    </row>
    <row r="1420" spans="1:9" x14ac:dyDescent="0.25">
      <c r="A1420" s="1">
        <v>42237</v>
      </c>
      <c r="B1420" t="s">
        <v>0</v>
      </c>
      <c r="C1420">
        <v>612.47997999999995</v>
      </c>
      <c r="D1420">
        <v>5.3105199352552687E-2</v>
      </c>
      <c r="E1420">
        <v>1</v>
      </c>
      <c r="F1420">
        <v>641.6230041</v>
      </c>
      <c r="G1420">
        <v>13.505613975729638</v>
      </c>
      <c r="H1420">
        <v>668.63423205145932</v>
      </c>
      <c r="I1420">
        <v>614.61177614854068</v>
      </c>
    </row>
    <row r="1421" spans="1:9" x14ac:dyDescent="0.25">
      <c r="A1421" s="1">
        <v>42240</v>
      </c>
      <c r="B1421" t="s">
        <v>0</v>
      </c>
      <c r="C1421">
        <v>589.60998500000005</v>
      </c>
      <c r="D1421">
        <v>3.7339987831112302E-2</v>
      </c>
      <c r="E1421">
        <v>1</v>
      </c>
      <c r="F1421">
        <v>639.74050284999998</v>
      </c>
      <c r="G1421">
        <v>14.563571094820889</v>
      </c>
      <c r="H1421">
        <v>668.86764503964173</v>
      </c>
      <c r="I1421">
        <v>610.61336066035824</v>
      </c>
    </row>
    <row r="1422" spans="1:9" x14ac:dyDescent="0.25">
      <c r="A1422" s="1">
        <v>42241</v>
      </c>
      <c r="B1422" t="s">
        <v>0</v>
      </c>
      <c r="C1422">
        <v>582.05999799999995</v>
      </c>
      <c r="D1422">
        <v>1.2805052818093134E-2</v>
      </c>
      <c r="E1422">
        <v>1</v>
      </c>
      <c r="F1422">
        <v>637.44350274999999</v>
      </c>
      <c r="G1422">
        <v>18.309536269382019</v>
      </c>
      <c r="H1422">
        <v>674.06257528876404</v>
      </c>
      <c r="I1422">
        <v>600.82443021123595</v>
      </c>
    </row>
    <row r="1423" spans="1:9" x14ac:dyDescent="0.25">
      <c r="A1423" s="1">
        <v>42242</v>
      </c>
      <c r="B1423" t="s">
        <v>0</v>
      </c>
      <c r="C1423">
        <v>628.61999500000002</v>
      </c>
      <c r="D1423">
        <v>-7.9991748548231392E-2</v>
      </c>
      <c r="E1423">
        <v>0</v>
      </c>
      <c r="F1423">
        <v>637.27800285000001</v>
      </c>
      <c r="G1423">
        <v>22.003957628729356</v>
      </c>
      <c r="H1423">
        <v>681.28591810745877</v>
      </c>
      <c r="I1423">
        <v>593.27008759254124</v>
      </c>
    </row>
    <row r="1424" spans="1:9" x14ac:dyDescent="0.25">
      <c r="A1424" s="1">
        <v>42243</v>
      </c>
      <c r="B1424" t="s">
        <v>0</v>
      </c>
      <c r="C1424">
        <v>637.60998500000005</v>
      </c>
      <c r="D1424">
        <v>-1.4301151842934991E-2</v>
      </c>
      <c r="E1424">
        <v>0</v>
      </c>
      <c r="F1424">
        <v>637.52900075000002</v>
      </c>
      <c r="G1424">
        <v>22.057995053981429</v>
      </c>
      <c r="H1424">
        <v>681.64499085796285</v>
      </c>
      <c r="I1424">
        <v>593.41301064203719</v>
      </c>
    </row>
    <row r="1425" spans="1:9" x14ac:dyDescent="0.25">
      <c r="A1425" s="1">
        <v>42244</v>
      </c>
      <c r="B1425" t="s">
        <v>0</v>
      </c>
      <c r="C1425">
        <v>630.38000499999998</v>
      </c>
      <c r="D1425">
        <v>1.133918879893336E-2</v>
      </c>
      <c r="E1425">
        <v>1</v>
      </c>
      <c r="F1425">
        <v>637.76750174999995</v>
      </c>
      <c r="G1425">
        <v>22.031629158229492</v>
      </c>
      <c r="H1425">
        <v>681.83076006645888</v>
      </c>
      <c r="I1425">
        <v>593.70424343354102</v>
      </c>
    </row>
    <row r="1426" spans="1:9" x14ac:dyDescent="0.25">
      <c r="A1426" s="1">
        <v>42247</v>
      </c>
      <c r="B1426" t="s">
        <v>0</v>
      </c>
      <c r="C1426">
        <v>618.25</v>
      </c>
      <c r="D1426">
        <v>1.924236952915406E-2</v>
      </c>
      <c r="E1426">
        <v>1</v>
      </c>
      <c r="F1426">
        <v>637.11950064999996</v>
      </c>
      <c r="G1426">
        <v>21.93515633695338</v>
      </c>
      <c r="H1426">
        <v>680.98981332390667</v>
      </c>
      <c r="I1426">
        <v>593.24918797609325</v>
      </c>
    </row>
    <row r="1427" spans="1:9" x14ac:dyDescent="0.25">
      <c r="A1427" s="1">
        <v>42248</v>
      </c>
      <c r="B1427" t="s">
        <v>0</v>
      </c>
      <c r="C1427">
        <v>597.78997800000002</v>
      </c>
      <c r="D1427">
        <v>3.3093444399514726E-2</v>
      </c>
      <c r="E1427">
        <v>1</v>
      </c>
      <c r="F1427">
        <v>635.54649955000002</v>
      </c>
      <c r="G1427">
        <v>22.353572909726633</v>
      </c>
      <c r="H1427">
        <v>680.25364536945324</v>
      </c>
      <c r="I1427">
        <v>590.8393537305468</v>
      </c>
    </row>
    <row r="1428" spans="1:9" x14ac:dyDescent="0.25">
      <c r="A1428" s="1">
        <v>42249</v>
      </c>
      <c r="B1428" t="s">
        <v>0</v>
      </c>
      <c r="C1428">
        <v>614.34002699999996</v>
      </c>
      <c r="D1428">
        <v>-2.7685390536941964E-2</v>
      </c>
      <c r="E1428">
        <v>0</v>
      </c>
      <c r="F1428">
        <v>634.07449945000008</v>
      </c>
      <c r="G1428">
        <v>23.898628763456017</v>
      </c>
      <c r="H1428">
        <v>681.87175697691214</v>
      </c>
      <c r="I1428">
        <v>586.27724192308801</v>
      </c>
    </row>
    <row r="1429" spans="1:9" x14ac:dyDescent="0.25">
      <c r="A1429" s="1">
        <v>42250</v>
      </c>
      <c r="B1429" t="s">
        <v>0</v>
      </c>
      <c r="C1429">
        <v>606.25</v>
      </c>
      <c r="D1429">
        <v>1.3168647075636444E-2</v>
      </c>
      <c r="E1429">
        <v>1</v>
      </c>
      <c r="F1429">
        <v>632.25299980000011</v>
      </c>
      <c r="G1429">
        <v>24.273955645920829</v>
      </c>
      <c r="H1429">
        <v>680.80091109184173</v>
      </c>
      <c r="I1429">
        <v>583.7050885081585</v>
      </c>
    </row>
    <row r="1430" spans="1:9" x14ac:dyDescent="0.25">
      <c r="A1430" s="1">
        <v>42251</v>
      </c>
      <c r="B1430" t="s">
        <v>0</v>
      </c>
      <c r="C1430">
        <v>600.70001200000002</v>
      </c>
      <c r="D1430">
        <v>9.1546193814432738E-3</v>
      </c>
      <c r="E1430">
        <v>1</v>
      </c>
      <c r="F1430">
        <v>630.52300100000014</v>
      </c>
      <c r="G1430">
        <v>24.911634011409824</v>
      </c>
      <c r="H1430">
        <v>680.3462690228198</v>
      </c>
      <c r="I1430">
        <v>580.69973297718047</v>
      </c>
    </row>
    <row r="1431" spans="1:9" x14ac:dyDescent="0.25">
      <c r="A1431" s="1">
        <v>42255</v>
      </c>
      <c r="B1431" t="s">
        <v>0</v>
      </c>
      <c r="C1431">
        <v>614.65997300000004</v>
      </c>
      <c r="D1431">
        <v>-2.3239488465334041E-2</v>
      </c>
      <c r="E1431">
        <v>0</v>
      </c>
      <c r="F1431">
        <v>629.56950065000001</v>
      </c>
      <c r="G1431">
        <v>25.784263135499504</v>
      </c>
      <c r="H1431">
        <v>681.13802692099898</v>
      </c>
      <c r="I1431">
        <v>578.00097437900104</v>
      </c>
    </row>
    <row r="1432" spans="1:9" x14ac:dyDescent="0.25">
      <c r="A1432" s="1">
        <v>42256</v>
      </c>
      <c r="B1432" t="s">
        <v>0</v>
      </c>
      <c r="C1432">
        <v>612.71997099999999</v>
      </c>
      <c r="D1432">
        <v>3.156219837337691E-3</v>
      </c>
      <c r="E1432">
        <v>1</v>
      </c>
      <c r="F1432">
        <v>627.16649775000019</v>
      </c>
      <c r="G1432">
        <v>26.093138364219492</v>
      </c>
      <c r="H1432">
        <v>679.35277447843919</v>
      </c>
      <c r="I1432">
        <v>574.98022102156119</v>
      </c>
    </row>
    <row r="1433" spans="1:9" x14ac:dyDescent="0.25">
      <c r="A1433" s="1">
        <v>42257</v>
      </c>
      <c r="B1433" t="s">
        <v>0</v>
      </c>
      <c r="C1433">
        <v>621.34997599999997</v>
      </c>
      <c r="D1433">
        <v>-1.4084745737788238E-2</v>
      </c>
      <c r="E1433">
        <v>0</v>
      </c>
      <c r="F1433">
        <v>625.25599665000004</v>
      </c>
      <c r="G1433">
        <v>25.267439853487176</v>
      </c>
      <c r="H1433">
        <v>675.79087635697442</v>
      </c>
      <c r="I1433">
        <v>574.72111694302566</v>
      </c>
    </row>
    <row r="1434" spans="1:9" x14ac:dyDescent="0.25">
      <c r="A1434" s="1">
        <v>42258</v>
      </c>
      <c r="B1434" t="s">
        <v>0</v>
      </c>
      <c r="C1434">
        <v>625.77002000000005</v>
      </c>
      <c r="D1434">
        <v>-7.1136141799739531E-3</v>
      </c>
      <c r="E1434">
        <v>0</v>
      </c>
      <c r="F1434">
        <v>623.72199705000025</v>
      </c>
      <c r="G1434">
        <v>24.139620874348111</v>
      </c>
      <c r="H1434">
        <v>672.00123879869648</v>
      </c>
      <c r="I1434">
        <v>575.44275530130403</v>
      </c>
    </row>
    <row r="1435" spans="1:9" x14ac:dyDescent="0.25">
      <c r="A1435" s="1">
        <v>42261</v>
      </c>
      <c r="B1435" t="s">
        <v>0</v>
      </c>
      <c r="C1435">
        <v>623.23999000000003</v>
      </c>
      <c r="D1435">
        <v>4.0430668123091137E-3</v>
      </c>
      <c r="E1435">
        <v>1</v>
      </c>
      <c r="F1435">
        <v>622.0279968000001</v>
      </c>
      <c r="G1435">
        <v>23.070424889370347</v>
      </c>
      <c r="H1435">
        <v>668.16884657874084</v>
      </c>
      <c r="I1435">
        <v>575.88714702125935</v>
      </c>
    </row>
    <row r="1436" spans="1:9" x14ac:dyDescent="0.25">
      <c r="A1436" s="1">
        <v>42262</v>
      </c>
      <c r="B1436" t="s">
        <v>0</v>
      </c>
      <c r="C1436">
        <v>635.14001499999995</v>
      </c>
      <c r="D1436">
        <v>-1.9093808470152747E-2</v>
      </c>
      <c r="E1436">
        <v>0</v>
      </c>
      <c r="F1436">
        <v>620.74149780000005</v>
      </c>
      <c r="G1436">
        <v>21.734778898012326</v>
      </c>
      <c r="H1436">
        <v>664.21105559602472</v>
      </c>
      <c r="I1436">
        <v>577.27194000397537</v>
      </c>
    </row>
    <row r="1437" spans="1:9" x14ac:dyDescent="0.25">
      <c r="A1437" s="1">
        <v>42263</v>
      </c>
      <c r="B1437" t="s">
        <v>0</v>
      </c>
      <c r="C1437">
        <v>635.97997999999995</v>
      </c>
      <c r="D1437">
        <v>-1.3224879241784295E-3</v>
      </c>
      <c r="E1437">
        <v>0</v>
      </c>
      <c r="F1437">
        <v>619.73399655000003</v>
      </c>
      <c r="G1437">
        <v>20.08150201094649</v>
      </c>
      <c r="H1437">
        <v>659.89700057189305</v>
      </c>
      <c r="I1437">
        <v>579.57099252810701</v>
      </c>
    </row>
    <row r="1438" spans="1:9" x14ac:dyDescent="0.25">
      <c r="A1438" s="1">
        <v>42264</v>
      </c>
      <c r="B1438" t="s">
        <v>0</v>
      </c>
      <c r="C1438">
        <v>642.90002400000003</v>
      </c>
      <c r="D1438">
        <v>-1.0880914836344496E-2</v>
      </c>
      <c r="E1438">
        <v>0</v>
      </c>
      <c r="F1438">
        <v>618.83399654999994</v>
      </c>
      <c r="G1438">
        <v>18.736057492810708</v>
      </c>
      <c r="H1438">
        <v>656.30611153562131</v>
      </c>
      <c r="I1438">
        <v>581.36188156437856</v>
      </c>
    </row>
    <row r="1439" spans="1:9" x14ac:dyDescent="0.25">
      <c r="A1439" s="1">
        <v>42265</v>
      </c>
      <c r="B1439" t="s">
        <v>0</v>
      </c>
      <c r="C1439">
        <v>629.25</v>
      </c>
      <c r="D1439">
        <v>2.1231954410379724E-2</v>
      </c>
      <c r="E1439">
        <v>1</v>
      </c>
      <c r="F1439">
        <v>617.95499569999993</v>
      </c>
      <c r="G1439">
        <v>17.096597423411737</v>
      </c>
      <c r="H1439">
        <v>652.14819054682334</v>
      </c>
      <c r="I1439">
        <v>583.76180085317651</v>
      </c>
    </row>
    <row r="1440" spans="1:9" x14ac:dyDescent="0.25">
      <c r="A1440" s="1">
        <v>42268</v>
      </c>
      <c r="B1440" t="s">
        <v>0</v>
      </c>
      <c r="C1440">
        <v>635.44000200000005</v>
      </c>
      <c r="D1440">
        <v>-9.8371108462456096E-3</v>
      </c>
      <c r="E1440">
        <v>0</v>
      </c>
      <c r="F1440">
        <v>619.10299680000003</v>
      </c>
      <c r="G1440">
        <v>16.071778474608472</v>
      </c>
      <c r="H1440">
        <v>651.24655374921701</v>
      </c>
      <c r="I1440">
        <v>586.95943985078304</v>
      </c>
    </row>
    <row r="1441" spans="1:9" x14ac:dyDescent="0.25">
      <c r="A1441" s="1">
        <v>42269</v>
      </c>
      <c r="B1441" t="s">
        <v>0</v>
      </c>
      <c r="C1441">
        <v>622.69000200000005</v>
      </c>
      <c r="D1441">
        <v>2.0064836900211391E-2</v>
      </c>
      <c r="E1441">
        <v>1</v>
      </c>
      <c r="F1441">
        <v>620.75699765000013</v>
      </c>
      <c r="G1441">
        <v>16.498165095466724</v>
      </c>
      <c r="H1441">
        <v>653.75332784093359</v>
      </c>
      <c r="I1441">
        <v>587.76066745906667</v>
      </c>
    </row>
    <row r="1442" spans="1:9" x14ac:dyDescent="0.25">
      <c r="A1442" s="1">
        <v>42270</v>
      </c>
      <c r="B1442" t="s">
        <v>0</v>
      </c>
      <c r="C1442">
        <v>622.35998500000005</v>
      </c>
      <c r="D1442">
        <v>5.2998602665857159E-4</v>
      </c>
      <c r="E1442">
        <v>1</v>
      </c>
      <c r="F1442">
        <v>622.77199700000017</v>
      </c>
      <c r="G1442">
        <v>15.097340141153021</v>
      </c>
      <c r="H1442">
        <v>652.96667728230625</v>
      </c>
      <c r="I1442">
        <v>592.57731671769409</v>
      </c>
    </row>
    <row r="1443" spans="1:9" x14ac:dyDescent="0.25">
      <c r="A1443" s="1">
        <v>42271</v>
      </c>
      <c r="B1443" t="s">
        <v>0</v>
      </c>
      <c r="C1443">
        <v>625.79998799999998</v>
      </c>
      <c r="D1443">
        <v>-5.5273524694874673E-3</v>
      </c>
      <c r="E1443">
        <v>0</v>
      </c>
      <c r="F1443">
        <v>622.63099664999993</v>
      </c>
      <c r="G1443">
        <v>12.045111249049416</v>
      </c>
      <c r="H1443">
        <v>646.72121914809873</v>
      </c>
      <c r="I1443">
        <v>598.54077415190113</v>
      </c>
    </row>
    <row r="1444" spans="1:9" x14ac:dyDescent="0.25">
      <c r="A1444" s="1">
        <v>42272</v>
      </c>
      <c r="B1444" t="s">
        <v>0</v>
      </c>
      <c r="C1444">
        <v>611.96997099999999</v>
      </c>
      <c r="D1444">
        <v>2.2099739957169826E-2</v>
      </c>
      <c r="E1444">
        <v>1</v>
      </c>
      <c r="F1444">
        <v>621.34899595000002</v>
      </c>
      <c r="G1444">
        <v>12.059724335314668</v>
      </c>
      <c r="H1444">
        <v>645.46844462062938</v>
      </c>
      <c r="I1444">
        <v>597.22954727937065</v>
      </c>
    </row>
    <row r="1445" spans="1:9" x14ac:dyDescent="0.25">
      <c r="A1445" s="1">
        <v>42275</v>
      </c>
      <c r="B1445" t="s">
        <v>0</v>
      </c>
      <c r="C1445">
        <v>594.89001499999995</v>
      </c>
      <c r="D1445">
        <v>2.7909794286295198E-2</v>
      </c>
      <c r="E1445">
        <v>1</v>
      </c>
      <c r="F1445">
        <v>619.57449645000008</v>
      </c>
      <c r="G1445">
        <v>11.822145182905929</v>
      </c>
      <c r="H1445">
        <v>643.218786815812</v>
      </c>
      <c r="I1445">
        <v>595.93020608418817</v>
      </c>
    </row>
    <row r="1446" spans="1:9" x14ac:dyDescent="0.25">
      <c r="A1446" s="1">
        <v>42276</v>
      </c>
      <c r="B1446" t="s">
        <v>0</v>
      </c>
      <c r="C1446">
        <v>594.96997099999999</v>
      </c>
      <c r="D1446">
        <v>-1.3440467646786496E-4</v>
      </c>
      <c r="E1446">
        <v>0</v>
      </c>
      <c r="F1446">
        <v>618.41049500000008</v>
      </c>
      <c r="G1446">
        <v>12.874247417727833</v>
      </c>
      <c r="H1446">
        <v>644.15898983545571</v>
      </c>
      <c r="I1446">
        <v>592.66200016454445</v>
      </c>
    </row>
    <row r="1447" spans="1:9" x14ac:dyDescent="0.25">
      <c r="A1447" s="1">
        <v>42277</v>
      </c>
      <c r="B1447" t="s">
        <v>0</v>
      </c>
      <c r="C1447">
        <v>608.419983</v>
      </c>
      <c r="D1447">
        <v>-2.2606203095248342E-2</v>
      </c>
      <c r="E1447">
        <v>0</v>
      </c>
      <c r="F1447">
        <v>618.94199524999999</v>
      </c>
      <c r="G1447">
        <v>13.910440662541918</v>
      </c>
      <c r="H1447">
        <v>646.76287657508385</v>
      </c>
      <c r="I1447">
        <v>591.12111392491613</v>
      </c>
    </row>
    <row r="1448" spans="1:9" x14ac:dyDescent="0.25">
      <c r="A1448" s="1">
        <v>42278</v>
      </c>
      <c r="B1448" t="s">
        <v>0</v>
      </c>
      <c r="C1448">
        <v>611.28997800000002</v>
      </c>
      <c r="D1448">
        <v>-4.7171281026120032E-3</v>
      </c>
      <c r="E1448">
        <v>0</v>
      </c>
      <c r="F1448">
        <v>618.78949279999995</v>
      </c>
      <c r="G1448">
        <v>13.292436263740306</v>
      </c>
      <c r="H1448">
        <v>645.37436532748052</v>
      </c>
      <c r="I1448">
        <v>592.20462027251938</v>
      </c>
    </row>
    <row r="1449" spans="1:9" x14ac:dyDescent="0.25">
      <c r="A1449" s="1">
        <v>42279</v>
      </c>
      <c r="B1449" t="s">
        <v>0</v>
      </c>
      <c r="C1449">
        <v>626.90997300000004</v>
      </c>
      <c r="D1449">
        <v>-2.5552512820682979E-2</v>
      </c>
      <c r="E1449">
        <v>0</v>
      </c>
      <c r="F1449">
        <v>619.82249144999992</v>
      </c>
      <c r="G1449">
        <v>13.400678969850832</v>
      </c>
      <c r="H1449">
        <v>646.6238493897016</v>
      </c>
      <c r="I1449">
        <v>593.02113351029823</v>
      </c>
    </row>
    <row r="1450" spans="1:9" x14ac:dyDescent="0.25">
      <c r="A1450" s="1">
        <v>42282</v>
      </c>
      <c r="B1450" t="s">
        <v>0</v>
      </c>
      <c r="C1450">
        <v>641.46997099999999</v>
      </c>
      <c r="D1450">
        <v>-2.3225022135674254E-2</v>
      </c>
      <c r="E1450">
        <v>0</v>
      </c>
      <c r="F1450">
        <v>621.86098939999988</v>
      </c>
      <c r="G1450">
        <v>13.305437395035897</v>
      </c>
      <c r="H1450">
        <v>648.47186419007164</v>
      </c>
      <c r="I1450">
        <v>595.25011460992812</v>
      </c>
    </row>
    <row r="1451" spans="1:9" x14ac:dyDescent="0.25">
      <c r="A1451" s="1">
        <v>42283</v>
      </c>
      <c r="B1451" t="s">
        <v>0</v>
      </c>
      <c r="C1451">
        <v>645.44000200000005</v>
      </c>
      <c r="D1451">
        <v>-6.1889584539882737E-3</v>
      </c>
      <c r="E1451">
        <v>0</v>
      </c>
      <c r="F1451">
        <v>623.39999085000011</v>
      </c>
      <c r="G1451">
        <v>13.275520685819217</v>
      </c>
      <c r="H1451">
        <v>649.95103222163857</v>
      </c>
      <c r="I1451">
        <v>596.84894947836165</v>
      </c>
    </row>
    <row r="1452" spans="1:9" x14ac:dyDescent="0.25">
      <c r="A1452" s="1">
        <v>42284</v>
      </c>
      <c r="B1452" t="s">
        <v>0</v>
      </c>
      <c r="C1452">
        <v>642.35998500000005</v>
      </c>
      <c r="D1452">
        <v>4.7719648463932637E-3</v>
      </c>
      <c r="E1452">
        <v>1</v>
      </c>
      <c r="F1452">
        <v>624.88199155000007</v>
      </c>
      <c r="G1452">
        <v>14.10335011719218</v>
      </c>
      <c r="H1452">
        <v>653.08869178438442</v>
      </c>
      <c r="I1452">
        <v>596.67529131561571</v>
      </c>
    </row>
    <row r="1453" spans="1:9" x14ac:dyDescent="0.25">
      <c r="A1453" s="1">
        <v>42285</v>
      </c>
      <c r="B1453" t="s">
        <v>0</v>
      </c>
      <c r="C1453">
        <v>639.15997300000004</v>
      </c>
      <c r="D1453">
        <v>4.9816490359374035E-3</v>
      </c>
      <c r="E1453">
        <v>1</v>
      </c>
      <c r="F1453">
        <v>625.77249139999992</v>
      </c>
      <c r="G1453">
        <v>14.40748937427807</v>
      </c>
      <c r="H1453">
        <v>654.58747014855601</v>
      </c>
      <c r="I1453">
        <v>596.95751265144384</v>
      </c>
    </row>
    <row r="1454" spans="1:9" x14ac:dyDescent="0.25">
      <c r="A1454" s="1">
        <v>42286</v>
      </c>
      <c r="B1454" t="s">
        <v>0</v>
      </c>
      <c r="C1454">
        <v>643.60998500000005</v>
      </c>
      <c r="D1454">
        <v>-6.9622820388973499E-3</v>
      </c>
      <c r="E1454">
        <v>0</v>
      </c>
      <c r="F1454">
        <v>626.66448964999995</v>
      </c>
      <c r="G1454">
        <v>14.709001053922517</v>
      </c>
      <c r="H1454">
        <v>656.08249175784499</v>
      </c>
      <c r="I1454">
        <v>597.24648754215491</v>
      </c>
    </row>
    <row r="1455" spans="1:9" x14ac:dyDescent="0.25">
      <c r="A1455" s="1">
        <v>42289</v>
      </c>
      <c r="B1455" t="s">
        <v>0</v>
      </c>
      <c r="C1455">
        <v>646.669983</v>
      </c>
      <c r="D1455">
        <v>-4.754429035155429E-3</v>
      </c>
      <c r="E1455">
        <v>0</v>
      </c>
      <c r="F1455">
        <v>627.83598929999994</v>
      </c>
      <c r="G1455">
        <v>15.233010545172904</v>
      </c>
      <c r="H1455">
        <v>658.3020103903458</v>
      </c>
      <c r="I1455">
        <v>597.36996820965408</v>
      </c>
    </row>
    <row r="1456" spans="1:9" x14ac:dyDescent="0.25">
      <c r="A1456" s="1">
        <v>42290</v>
      </c>
      <c r="B1456" t="s">
        <v>0</v>
      </c>
      <c r="C1456">
        <v>652.29998799999998</v>
      </c>
      <c r="D1456">
        <v>-8.7061486507871242E-3</v>
      </c>
      <c r="E1456">
        <v>0</v>
      </c>
      <c r="F1456">
        <v>628.69398794999984</v>
      </c>
      <c r="G1456">
        <v>15.794321049321889</v>
      </c>
      <c r="H1456">
        <v>660.28263004864357</v>
      </c>
      <c r="I1456">
        <v>597.10534585135611</v>
      </c>
    </row>
    <row r="1457" spans="1:9" x14ac:dyDescent="0.25">
      <c r="A1457" s="1">
        <v>42291</v>
      </c>
      <c r="B1457" t="s">
        <v>0</v>
      </c>
      <c r="C1457">
        <v>651.15997300000004</v>
      </c>
      <c r="D1457">
        <v>1.7476851463623644E-3</v>
      </c>
      <c r="E1457">
        <v>1</v>
      </c>
      <c r="F1457">
        <v>629.45298759999991</v>
      </c>
      <c r="G1457">
        <v>16.607867309179589</v>
      </c>
      <c r="H1457">
        <v>662.66872221835911</v>
      </c>
      <c r="I1457">
        <v>596.23725298164072</v>
      </c>
    </row>
    <row r="1458" spans="1:9" x14ac:dyDescent="0.25">
      <c r="A1458" s="1">
        <v>42292</v>
      </c>
      <c r="B1458" t="s">
        <v>0</v>
      </c>
      <c r="C1458">
        <v>661.73999000000003</v>
      </c>
      <c r="D1458">
        <v>-1.6247953557796461E-2</v>
      </c>
      <c r="E1458">
        <v>0</v>
      </c>
      <c r="F1458">
        <v>630.39498589999982</v>
      </c>
      <c r="G1458">
        <v>17.266678795437951</v>
      </c>
      <c r="H1458">
        <v>664.9283434908757</v>
      </c>
      <c r="I1458">
        <v>595.86162830912394</v>
      </c>
    </row>
    <row r="1459" spans="1:9" x14ac:dyDescent="0.25">
      <c r="A1459" s="1">
        <v>42293</v>
      </c>
      <c r="B1459" t="s">
        <v>0</v>
      </c>
      <c r="C1459">
        <v>662.20001200000002</v>
      </c>
      <c r="D1459">
        <v>-6.9517031908556835E-4</v>
      </c>
      <c r="E1459">
        <v>0</v>
      </c>
      <c r="F1459">
        <v>632.04248649999988</v>
      </c>
      <c r="G1459">
        <v>18.497543622307134</v>
      </c>
      <c r="H1459">
        <v>669.03757374461418</v>
      </c>
      <c r="I1459">
        <v>595.04739925538559</v>
      </c>
    </row>
    <row r="1460" spans="1:9" x14ac:dyDescent="0.25">
      <c r="A1460" s="1">
        <v>42296</v>
      </c>
      <c r="B1460" t="s">
        <v>0</v>
      </c>
      <c r="C1460">
        <v>666.09997599999997</v>
      </c>
      <c r="D1460">
        <v>-5.8894049068666495E-3</v>
      </c>
      <c r="E1460">
        <v>0</v>
      </c>
      <c r="F1460">
        <v>633.5754852</v>
      </c>
      <c r="G1460">
        <v>19.738113467220739</v>
      </c>
      <c r="H1460">
        <v>673.05171213444146</v>
      </c>
      <c r="I1460">
        <v>594.09925826555855</v>
      </c>
    </row>
    <row r="1461" spans="1:9" x14ac:dyDescent="0.25">
      <c r="A1461" s="1">
        <v>42297</v>
      </c>
      <c r="B1461" t="s">
        <v>0</v>
      </c>
      <c r="C1461">
        <v>650.28002900000001</v>
      </c>
      <c r="D1461">
        <v>2.3750108947609327E-2</v>
      </c>
      <c r="E1461">
        <v>1</v>
      </c>
      <c r="F1461">
        <v>634.95498655000006</v>
      </c>
      <c r="G1461">
        <v>21.076395592335583</v>
      </c>
      <c r="H1461">
        <v>677.10777773467123</v>
      </c>
      <c r="I1461">
        <v>592.80219536532888</v>
      </c>
    </row>
    <row r="1462" spans="1:9" x14ac:dyDescent="0.25">
      <c r="A1462" s="1">
        <v>42298</v>
      </c>
      <c r="B1462" t="s">
        <v>0</v>
      </c>
      <c r="C1462">
        <v>642.60998500000005</v>
      </c>
      <c r="D1462">
        <v>1.1794986248916405E-2</v>
      </c>
      <c r="E1462">
        <v>1</v>
      </c>
      <c r="F1462">
        <v>635.9674865500001</v>
      </c>
      <c r="G1462">
        <v>21.200494367319621</v>
      </c>
      <c r="H1462">
        <v>678.36847528463932</v>
      </c>
      <c r="I1462">
        <v>593.56649781536089</v>
      </c>
    </row>
    <row r="1463" spans="1:9" x14ac:dyDescent="0.25">
      <c r="A1463" s="1">
        <v>42299</v>
      </c>
      <c r="B1463" t="s">
        <v>0</v>
      </c>
      <c r="C1463">
        <v>651.78997800000002</v>
      </c>
      <c r="D1463">
        <v>-1.4285481418406481E-2</v>
      </c>
      <c r="E1463">
        <v>0</v>
      </c>
      <c r="F1463">
        <v>637.26698605000013</v>
      </c>
      <c r="G1463">
        <v>21.073623198930491</v>
      </c>
      <c r="H1463">
        <v>679.41423244786108</v>
      </c>
      <c r="I1463">
        <v>595.11973965213917</v>
      </c>
    </row>
    <row r="1464" spans="1:9" x14ac:dyDescent="0.25">
      <c r="A1464" s="1">
        <v>42300</v>
      </c>
      <c r="B1464" t="s">
        <v>0</v>
      </c>
      <c r="C1464">
        <v>702</v>
      </c>
      <c r="D1464">
        <v>-7.7034050376270105E-2</v>
      </c>
      <c r="E1464">
        <v>0</v>
      </c>
      <c r="F1464">
        <v>641.76848749999988</v>
      </c>
      <c r="G1464">
        <v>21.640988253310081</v>
      </c>
      <c r="H1464">
        <v>685.05046400662002</v>
      </c>
      <c r="I1464">
        <v>598.48651099337974</v>
      </c>
    </row>
    <row r="1465" spans="1:9" x14ac:dyDescent="0.25">
      <c r="A1465" s="1">
        <v>42303</v>
      </c>
      <c r="B1465" t="s">
        <v>0</v>
      </c>
      <c r="C1465">
        <v>712.78002900000001</v>
      </c>
      <c r="D1465">
        <v>-1.5356166666666685E-2</v>
      </c>
      <c r="E1465">
        <v>0</v>
      </c>
      <c r="F1465">
        <v>647.66298819999997</v>
      </c>
      <c r="G1465">
        <v>25.29963807456641</v>
      </c>
      <c r="H1465">
        <v>698.26226434913281</v>
      </c>
      <c r="I1465">
        <v>597.06371205086714</v>
      </c>
    </row>
    <row r="1466" spans="1:9" x14ac:dyDescent="0.25">
      <c r="A1466" s="1">
        <v>42304</v>
      </c>
      <c r="B1466" t="s">
        <v>0</v>
      </c>
      <c r="C1466">
        <v>708.48999000000003</v>
      </c>
      <c r="D1466">
        <v>6.0187418634872819E-3</v>
      </c>
      <c r="E1466">
        <v>1</v>
      </c>
      <c r="F1466">
        <v>653.33898915000009</v>
      </c>
      <c r="G1466">
        <v>27.295618487176647</v>
      </c>
      <c r="H1466">
        <v>707.93022612435334</v>
      </c>
      <c r="I1466">
        <v>598.74775217564684</v>
      </c>
    </row>
    <row r="1467" spans="1:9" x14ac:dyDescent="0.25">
      <c r="A1467" s="1">
        <v>42305</v>
      </c>
      <c r="B1467" t="s">
        <v>0</v>
      </c>
      <c r="C1467">
        <v>712.95001200000002</v>
      </c>
      <c r="D1467">
        <v>-6.2951094058505764E-3</v>
      </c>
      <c r="E1467">
        <v>0</v>
      </c>
      <c r="F1467">
        <v>658.56549059999998</v>
      </c>
      <c r="G1467">
        <v>27.460911069235006</v>
      </c>
      <c r="H1467">
        <v>713.48731273847</v>
      </c>
      <c r="I1467">
        <v>603.64366846152996</v>
      </c>
    </row>
    <row r="1468" spans="1:9" x14ac:dyDescent="0.25">
      <c r="A1468" s="1">
        <v>42306</v>
      </c>
      <c r="B1468" t="s">
        <v>0</v>
      </c>
      <c r="C1468">
        <v>716.919983</v>
      </c>
      <c r="D1468">
        <v>-5.5683721623950074E-3</v>
      </c>
      <c r="E1468">
        <v>0</v>
      </c>
      <c r="F1468">
        <v>663.84699084999988</v>
      </c>
      <c r="G1468">
        <v>28.357557959306945</v>
      </c>
      <c r="H1468">
        <v>720.56210676861383</v>
      </c>
      <c r="I1468">
        <v>607.13187493138594</v>
      </c>
    </row>
    <row r="1469" spans="1:9" x14ac:dyDescent="0.25">
      <c r="A1469" s="1">
        <v>42307</v>
      </c>
      <c r="B1469" t="s">
        <v>0</v>
      </c>
      <c r="C1469">
        <v>710.80999799999995</v>
      </c>
      <c r="D1469">
        <v>8.5225480456443785E-3</v>
      </c>
      <c r="E1469">
        <v>1</v>
      </c>
      <c r="F1469">
        <v>668.04199210000002</v>
      </c>
      <c r="G1469">
        <v>28.713660054143226</v>
      </c>
      <c r="H1469">
        <v>725.46931220828651</v>
      </c>
      <c r="I1469">
        <v>610.61467199171352</v>
      </c>
    </row>
    <row r="1470" spans="1:9" x14ac:dyDescent="0.25">
      <c r="A1470" s="1">
        <v>42310</v>
      </c>
      <c r="B1470" t="s">
        <v>0</v>
      </c>
      <c r="C1470">
        <v>721.10998500000005</v>
      </c>
      <c r="D1470">
        <v>-1.4490492577455419E-2</v>
      </c>
      <c r="E1470">
        <v>0</v>
      </c>
      <c r="F1470">
        <v>672.02399279999986</v>
      </c>
      <c r="G1470">
        <v>29.106589802838169</v>
      </c>
      <c r="H1470">
        <v>730.23717240567623</v>
      </c>
      <c r="I1470">
        <v>613.81081319432349</v>
      </c>
    </row>
    <row r="1471" spans="1:9" x14ac:dyDescent="0.25">
      <c r="A1471" s="1">
        <v>42311</v>
      </c>
      <c r="B1471" t="s">
        <v>0</v>
      </c>
      <c r="C1471">
        <v>722.15997300000004</v>
      </c>
      <c r="D1471">
        <v>-1.4560719194589779E-3</v>
      </c>
      <c r="E1471">
        <v>0</v>
      </c>
      <c r="F1471">
        <v>675.85999134999997</v>
      </c>
      <c r="G1471">
        <v>30.589259126880876</v>
      </c>
      <c r="H1471">
        <v>737.03850960376167</v>
      </c>
      <c r="I1471">
        <v>614.68147309623828</v>
      </c>
    </row>
    <row r="1472" spans="1:9" x14ac:dyDescent="0.25">
      <c r="A1472" s="1">
        <v>42312</v>
      </c>
      <c r="B1472" t="s">
        <v>0</v>
      </c>
      <c r="C1472">
        <v>728.10998500000005</v>
      </c>
      <c r="D1472">
        <v>-8.2391882996262593E-3</v>
      </c>
      <c r="E1472">
        <v>0</v>
      </c>
      <c r="F1472">
        <v>680.14749134999988</v>
      </c>
      <c r="G1472">
        <v>31.859081242532341</v>
      </c>
      <c r="H1472">
        <v>743.86565383506456</v>
      </c>
      <c r="I1472">
        <v>616.4293288649352</v>
      </c>
    </row>
    <row r="1473" spans="1:9" x14ac:dyDescent="0.25">
      <c r="A1473" s="1">
        <v>42313</v>
      </c>
      <c r="B1473" t="s">
        <v>0</v>
      </c>
      <c r="C1473">
        <v>731.25</v>
      </c>
      <c r="D1473">
        <v>-4.3125558839849564E-3</v>
      </c>
      <c r="E1473">
        <v>0</v>
      </c>
      <c r="F1473">
        <v>684.75199269999996</v>
      </c>
      <c r="G1473">
        <v>32.860732620396313</v>
      </c>
      <c r="H1473">
        <v>750.47345794079263</v>
      </c>
      <c r="I1473">
        <v>619.03052745920729</v>
      </c>
    </row>
    <row r="1474" spans="1:9" x14ac:dyDescent="0.25">
      <c r="A1474" s="1">
        <v>42314</v>
      </c>
      <c r="B1474" t="s">
        <v>0</v>
      </c>
      <c r="C1474">
        <v>733.76000999999997</v>
      </c>
      <c r="D1474">
        <v>-3.4324923076922607E-3</v>
      </c>
      <c r="E1474">
        <v>0</v>
      </c>
      <c r="F1474">
        <v>689.25949394999986</v>
      </c>
      <c r="G1474">
        <v>33.231264450742955</v>
      </c>
      <c r="H1474">
        <v>755.7220228514858</v>
      </c>
      <c r="I1474">
        <v>622.79696504851393</v>
      </c>
    </row>
    <row r="1475" spans="1:9" x14ac:dyDescent="0.25">
      <c r="A1475" s="1">
        <v>42317</v>
      </c>
      <c r="B1475" t="s">
        <v>0</v>
      </c>
      <c r="C1475">
        <v>724.89001499999995</v>
      </c>
      <c r="D1475">
        <v>1.2088414303199785E-2</v>
      </c>
      <c r="E1475">
        <v>1</v>
      </c>
      <c r="F1475">
        <v>693.17049554999994</v>
      </c>
      <c r="G1475">
        <v>33.38313621542207</v>
      </c>
      <c r="H1475">
        <v>759.93676798084402</v>
      </c>
      <c r="I1475">
        <v>626.40422311915586</v>
      </c>
    </row>
    <row r="1476" spans="1:9" x14ac:dyDescent="0.25">
      <c r="A1476" s="1">
        <v>42318</v>
      </c>
      <c r="B1476" t="s">
        <v>0</v>
      </c>
      <c r="C1476">
        <v>728.32000700000003</v>
      </c>
      <c r="D1476">
        <v>-4.731741269742947E-3</v>
      </c>
      <c r="E1476">
        <v>0</v>
      </c>
      <c r="F1476">
        <v>696.97149650000006</v>
      </c>
      <c r="G1476">
        <v>32.727250176811943</v>
      </c>
      <c r="H1476">
        <v>762.42599685362393</v>
      </c>
      <c r="I1476">
        <v>631.51699614637619</v>
      </c>
    </row>
    <row r="1477" spans="1:9" x14ac:dyDescent="0.25">
      <c r="A1477" s="1">
        <v>42319</v>
      </c>
      <c r="B1477" t="s">
        <v>0</v>
      </c>
      <c r="C1477">
        <v>735.40002400000003</v>
      </c>
      <c r="D1477">
        <v>-9.721025005427316E-3</v>
      </c>
      <c r="E1477">
        <v>0</v>
      </c>
      <c r="F1477">
        <v>701.18349904999991</v>
      </c>
      <c r="G1477">
        <v>32.220694306020079</v>
      </c>
      <c r="H1477">
        <v>765.62488766204001</v>
      </c>
      <c r="I1477">
        <v>636.74211043795981</v>
      </c>
    </row>
    <row r="1478" spans="1:9" x14ac:dyDescent="0.25">
      <c r="A1478" s="1">
        <v>42320</v>
      </c>
      <c r="B1478" t="s">
        <v>0</v>
      </c>
      <c r="C1478">
        <v>731.22997999999995</v>
      </c>
      <c r="D1478">
        <v>5.6704431111088398E-3</v>
      </c>
      <c r="E1478">
        <v>1</v>
      </c>
      <c r="F1478">
        <v>704.65799855</v>
      </c>
      <c r="G1478">
        <v>31.363452606440557</v>
      </c>
      <c r="H1478">
        <v>767.38490376288109</v>
      </c>
      <c r="I1478">
        <v>641.93109333711891</v>
      </c>
    </row>
    <row r="1479" spans="1:9" x14ac:dyDescent="0.25">
      <c r="A1479" s="1">
        <v>42321</v>
      </c>
      <c r="B1479" t="s">
        <v>0</v>
      </c>
      <c r="C1479">
        <v>717</v>
      </c>
      <c r="D1479">
        <v>1.9460334490114802E-2</v>
      </c>
      <c r="E1479">
        <v>1</v>
      </c>
      <c r="F1479">
        <v>707.39799794999999</v>
      </c>
      <c r="G1479">
        <v>30.567621646482522</v>
      </c>
      <c r="H1479">
        <v>768.533241242965</v>
      </c>
      <c r="I1479">
        <v>646.26275465703498</v>
      </c>
    </row>
    <row r="1480" spans="1:9" x14ac:dyDescent="0.25">
      <c r="A1480" s="1">
        <v>42324</v>
      </c>
      <c r="B1480" t="s">
        <v>0</v>
      </c>
      <c r="C1480">
        <v>728.96002199999998</v>
      </c>
      <c r="D1480">
        <v>-1.6680644351464408E-2</v>
      </c>
      <c r="E1480">
        <v>0</v>
      </c>
      <c r="F1480">
        <v>710.54100025000002</v>
      </c>
      <c r="G1480">
        <v>29.098539173846898</v>
      </c>
      <c r="H1480">
        <v>768.73807859769386</v>
      </c>
      <c r="I1480">
        <v>652.34392190230619</v>
      </c>
    </row>
    <row r="1481" spans="1:9" x14ac:dyDescent="0.25">
      <c r="A1481" s="1">
        <v>42325</v>
      </c>
      <c r="B1481" t="s">
        <v>0</v>
      </c>
      <c r="C1481">
        <v>725.29998799999998</v>
      </c>
      <c r="D1481">
        <v>5.020898114492205E-3</v>
      </c>
      <c r="E1481">
        <v>1</v>
      </c>
      <c r="F1481">
        <v>714.29199819999997</v>
      </c>
      <c r="G1481">
        <v>27.910710380868135</v>
      </c>
      <c r="H1481">
        <v>770.11341896173622</v>
      </c>
      <c r="I1481">
        <v>658.47057743826372</v>
      </c>
    </row>
    <row r="1482" spans="1:9" x14ac:dyDescent="0.25">
      <c r="A1482" s="1">
        <v>42326</v>
      </c>
      <c r="B1482" t="s">
        <v>0</v>
      </c>
      <c r="C1482">
        <v>740</v>
      </c>
      <c r="D1482">
        <v>-2.0267492407569178E-2</v>
      </c>
      <c r="E1482">
        <v>0</v>
      </c>
      <c r="F1482">
        <v>719.16149895000012</v>
      </c>
      <c r="G1482">
        <v>24.574417052042357</v>
      </c>
      <c r="H1482">
        <v>768.31033305408482</v>
      </c>
      <c r="I1482">
        <v>670.01266484591542</v>
      </c>
    </row>
    <row r="1483" spans="1:9" x14ac:dyDescent="0.25">
      <c r="A1483" s="1">
        <v>42327</v>
      </c>
      <c r="B1483" t="s">
        <v>0</v>
      </c>
      <c r="C1483">
        <v>738.40997300000004</v>
      </c>
      <c r="D1483">
        <v>2.1486851351350859E-3</v>
      </c>
      <c r="E1483">
        <v>1</v>
      </c>
      <c r="F1483">
        <v>723.49249869999994</v>
      </c>
      <c r="G1483">
        <v>18.744731904748576</v>
      </c>
      <c r="H1483">
        <v>760.98196250949707</v>
      </c>
      <c r="I1483">
        <v>686.00303489050282</v>
      </c>
    </row>
    <row r="1484" spans="1:9" x14ac:dyDescent="0.25">
      <c r="A1484" s="1">
        <v>42328</v>
      </c>
      <c r="B1484" t="s">
        <v>0</v>
      </c>
      <c r="C1484">
        <v>756.59997599999997</v>
      </c>
      <c r="D1484">
        <v>-2.4634015878872661E-2</v>
      </c>
      <c r="E1484">
        <v>0</v>
      </c>
      <c r="F1484">
        <v>726.22249750000003</v>
      </c>
      <c r="G1484">
        <v>10.6245868562859</v>
      </c>
      <c r="H1484">
        <v>747.47167121257178</v>
      </c>
      <c r="I1484">
        <v>704.97332378742828</v>
      </c>
    </row>
    <row r="1485" spans="1:9" x14ac:dyDescent="0.25">
      <c r="A1485" s="1">
        <v>42331</v>
      </c>
      <c r="B1485" t="s">
        <v>0</v>
      </c>
      <c r="C1485">
        <v>755.97997999999995</v>
      </c>
      <c r="D1485">
        <v>8.1945019781498737E-4</v>
      </c>
      <c r="E1485">
        <v>1</v>
      </c>
      <c r="F1485">
        <v>728.38249504999999</v>
      </c>
      <c r="G1485">
        <v>11.590967432737941</v>
      </c>
      <c r="H1485">
        <v>751.5644299154759</v>
      </c>
      <c r="I1485">
        <v>705.20056018452408</v>
      </c>
    </row>
    <row r="1486" spans="1:9" x14ac:dyDescent="0.25">
      <c r="A1486" s="1">
        <v>42332</v>
      </c>
      <c r="B1486" t="s">
        <v>0</v>
      </c>
      <c r="C1486">
        <v>748.28002900000001</v>
      </c>
      <c r="D1486">
        <v>1.0185390094589465E-2</v>
      </c>
      <c r="E1486">
        <v>1</v>
      </c>
      <c r="F1486">
        <v>730.37199700000008</v>
      </c>
      <c r="G1486">
        <v>12.814751479137211</v>
      </c>
      <c r="H1486">
        <v>756.00149995827451</v>
      </c>
      <c r="I1486">
        <v>704.74249404172565</v>
      </c>
    </row>
    <row r="1487" spans="1:9" x14ac:dyDescent="0.25">
      <c r="A1487" s="1">
        <v>42333</v>
      </c>
      <c r="B1487" t="s">
        <v>0</v>
      </c>
      <c r="C1487">
        <v>748.15002400000003</v>
      </c>
      <c r="D1487">
        <v>1.7373843342274048E-4</v>
      </c>
      <c r="E1487">
        <v>1</v>
      </c>
      <c r="F1487">
        <v>732.13199760000009</v>
      </c>
      <c r="G1487">
        <v>12.625736674439974</v>
      </c>
      <c r="H1487">
        <v>757.38347094888002</v>
      </c>
      <c r="I1487">
        <v>706.88052425112016</v>
      </c>
    </row>
    <row r="1488" spans="1:9" x14ac:dyDescent="0.25">
      <c r="A1488" s="1">
        <v>42335</v>
      </c>
      <c r="B1488" t="s">
        <v>0</v>
      </c>
      <c r="C1488">
        <v>750.26000999999997</v>
      </c>
      <c r="D1488">
        <v>-2.8202712454901092E-3</v>
      </c>
      <c r="E1488">
        <v>0</v>
      </c>
      <c r="F1488">
        <v>733.79899895000017</v>
      </c>
      <c r="G1488">
        <v>12.514773269333535</v>
      </c>
      <c r="H1488">
        <v>758.82854548866726</v>
      </c>
      <c r="I1488">
        <v>708.76945241133308</v>
      </c>
    </row>
    <row r="1489" spans="1:9" x14ac:dyDescent="0.25">
      <c r="A1489" s="1">
        <v>42338</v>
      </c>
      <c r="B1489" t="s">
        <v>0</v>
      </c>
      <c r="C1489">
        <v>742.59997599999997</v>
      </c>
      <c r="D1489">
        <v>1.0209839119640665E-2</v>
      </c>
      <c r="E1489">
        <v>1</v>
      </c>
      <c r="F1489">
        <v>735.38849785000002</v>
      </c>
      <c r="G1489">
        <v>12.587662293028012</v>
      </c>
      <c r="H1489">
        <v>760.56382243605606</v>
      </c>
      <c r="I1489">
        <v>710.21317326394399</v>
      </c>
    </row>
    <row r="1490" spans="1:9" x14ac:dyDescent="0.25">
      <c r="A1490" s="1">
        <v>42339</v>
      </c>
      <c r="B1490" t="s">
        <v>0</v>
      </c>
      <c r="C1490">
        <v>767.03997800000002</v>
      </c>
      <c r="D1490">
        <v>-3.2911396161962779E-2</v>
      </c>
      <c r="E1490">
        <v>0</v>
      </c>
      <c r="F1490">
        <v>737.68499750000001</v>
      </c>
      <c r="G1490">
        <v>11.66697436173334</v>
      </c>
      <c r="H1490">
        <v>761.01894622346674</v>
      </c>
      <c r="I1490">
        <v>714.35104877653328</v>
      </c>
    </row>
    <row r="1491" spans="1:9" x14ac:dyDescent="0.25">
      <c r="A1491" s="1">
        <v>42340</v>
      </c>
      <c r="B1491" t="s">
        <v>0</v>
      </c>
      <c r="C1491">
        <v>762.38000499999998</v>
      </c>
      <c r="D1491">
        <v>6.07526743540874E-3</v>
      </c>
      <c r="E1491">
        <v>1</v>
      </c>
      <c r="F1491">
        <v>739.69599910000011</v>
      </c>
      <c r="G1491">
        <v>13.01966244691303</v>
      </c>
      <c r="H1491">
        <v>765.73532399382611</v>
      </c>
      <c r="I1491">
        <v>713.6566742061741</v>
      </c>
    </row>
    <row r="1492" spans="1:9" x14ac:dyDescent="0.25">
      <c r="A1492" s="1">
        <v>42341</v>
      </c>
      <c r="B1492" t="s">
        <v>0</v>
      </c>
      <c r="C1492">
        <v>752.53997800000002</v>
      </c>
      <c r="D1492">
        <v>1.2906984621140429E-2</v>
      </c>
      <c r="E1492">
        <v>1</v>
      </c>
      <c r="F1492">
        <v>740.91749874999994</v>
      </c>
      <c r="G1492">
        <v>13.466858105774881</v>
      </c>
      <c r="H1492">
        <v>767.85121496154966</v>
      </c>
      <c r="I1492">
        <v>713.98378253845021</v>
      </c>
    </row>
    <row r="1493" spans="1:9" x14ac:dyDescent="0.25">
      <c r="A1493" s="1">
        <v>42342</v>
      </c>
      <c r="B1493" t="s">
        <v>0</v>
      </c>
      <c r="C1493">
        <v>766.80999799999995</v>
      </c>
      <c r="D1493">
        <v>-1.8962474309902951E-2</v>
      </c>
      <c r="E1493">
        <v>0</v>
      </c>
      <c r="F1493">
        <v>742.69549864999999</v>
      </c>
      <c r="G1493">
        <v>13.530337455454941</v>
      </c>
      <c r="H1493">
        <v>769.75617356090993</v>
      </c>
      <c r="I1493">
        <v>715.63482373909005</v>
      </c>
    </row>
    <row r="1494" spans="1:9" x14ac:dyDescent="0.25">
      <c r="A1494" s="1">
        <v>42345</v>
      </c>
      <c r="B1494" t="s">
        <v>0</v>
      </c>
      <c r="C1494">
        <v>763.25</v>
      </c>
      <c r="D1494">
        <v>4.6426076984978889E-3</v>
      </c>
      <c r="E1494">
        <v>1</v>
      </c>
      <c r="F1494">
        <v>744.16999814999997</v>
      </c>
      <c r="G1494">
        <v>14.414217370765815</v>
      </c>
      <c r="H1494">
        <v>772.99843289153159</v>
      </c>
      <c r="I1494">
        <v>715.34156340846835</v>
      </c>
    </row>
    <row r="1495" spans="1:9" x14ac:dyDescent="0.25">
      <c r="A1495" s="1">
        <v>42346</v>
      </c>
      <c r="B1495" t="s">
        <v>0</v>
      </c>
      <c r="C1495">
        <v>762.36999500000002</v>
      </c>
      <c r="D1495">
        <v>1.1529708483458668E-3</v>
      </c>
      <c r="E1495">
        <v>1</v>
      </c>
      <c r="F1495">
        <v>746.04399715</v>
      </c>
      <c r="G1495">
        <v>14.968816437157988</v>
      </c>
      <c r="H1495">
        <v>775.98163002431602</v>
      </c>
      <c r="I1495">
        <v>716.10636427568397</v>
      </c>
    </row>
    <row r="1496" spans="1:9" x14ac:dyDescent="0.25">
      <c r="A1496" s="1">
        <v>42347</v>
      </c>
      <c r="B1496" t="s">
        <v>0</v>
      </c>
      <c r="C1496">
        <v>751.60998500000005</v>
      </c>
      <c r="D1496">
        <v>1.4113894920536538E-2</v>
      </c>
      <c r="E1496">
        <v>1</v>
      </c>
      <c r="F1496">
        <v>747.20849604999989</v>
      </c>
      <c r="G1496">
        <v>14.709652799002987</v>
      </c>
      <c r="H1496">
        <v>776.62780164800586</v>
      </c>
      <c r="I1496">
        <v>717.78919045199393</v>
      </c>
    </row>
    <row r="1497" spans="1:9" x14ac:dyDescent="0.25">
      <c r="A1497" s="1">
        <v>42348</v>
      </c>
      <c r="B1497" t="s">
        <v>0</v>
      </c>
      <c r="C1497">
        <v>749.46002199999998</v>
      </c>
      <c r="D1497">
        <v>2.8604769001306847E-3</v>
      </c>
      <c r="E1497">
        <v>1</v>
      </c>
      <c r="F1497">
        <v>747.91149595000002</v>
      </c>
      <c r="G1497">
        <v>14.142064864999979</v>
      </c>
      <c r="H1497">
        <v>776.19562567999992</v>
      </c>
      <c r="I1497">
        <v>719.62736622000011</v>
      </c>
    </row>
    <row r="1498" spans="1:9" x14ac:dyDescent="0.25">
      <c r="A1498" s="1">
        <v>42349</v>
      </c>
      <c r="B1498" t="s">
        <v>0</v>
      </c>
      <c r="C1498">
        <v>738.86999500000002</v>
      </c>
      <c r="D1498">
        <v>1.4130209336235901E-2</v>
      </c>
      <c r="E1498">
        <v>1</v>
      </c>
      <c r="F1498">
        <v>748.29349669999988</v>
      </c>
      <c r="G1498">
        <v>13.872165416670246</v>
      </c>
      <c r="H1498">
        <v>776.03782753334042</v>
      </c>
      <c r="I1498">
        <v>720.54916586665934</v>
      </c>
    </row>
    <row r="1499" spans="1:9" x14ac:dyDescent="0.25">
      <c r="A1499" s="1">
        <v>42352</v>
      </c>
      <c r="B1499" t="s">
        <v>0</v>
      </c>
      <c r="C1499">
        <v>747.77002000000005</v>
      </c>
      <c r="D1499">
        <v>-1.2045454626967262E-2</v>
      </c>
      <c r="E1499">
        <v>0</v>
      </c>
      <c r="F1499">
        <v>749.83199769999987</v>
      </c>
      <c r="G1499">
        <v>13.589918976226413</v>
      </c>
      <c r="H1499">
        <v>777.01183565245265</v>
      </c>
      <c r="I1499">
        <v>722.6521597475471</v>
      </c>
    </row>
    <row r="1500" spans="1:9" x14ac:dyDescent="0.25">
      <c r="A1500" s="1">
        <v>42353</v>
      </c>
      <c r="B1500" t="s">
        <v>0</v>
      </c>
      <c r="C1500">
        <v>743.40002400000003</v>
      </c>
      <c r="D1500">
        <v>5.8440374488402391E-3</v>
      </c>
      <c r="E1500">
        <v>1</v>
      </c>
      <c r="F1500">
        <v>750.55399779999993</v>
      </c>
      <c r="G1500">
        <v>11.46833753766969</v>
      </c>
      <c r="H1500">
        <v>773.49067287533933</v>
      </c>
      <c r="I1500">
        <v>727.61732272466054</v>
      </c>
    </row>
    <row r="1501" spans="1:9" x14ac:dyDescent="0.25">
      <c r="A1501" s="1">
        <v>42354</v>
      </c>
      <c r="B1501" t="s">
        <v>0</v>
      </c>
      <c r="C1501">
        <v>758.09002699999996</v>
      </c>
      <c r="D1501">
        <v>-1.976056298862849E-2</v>
      </c>
      <c r="E1501">
        <v>0</v>
      </c>
      <c r="F1501">
        <v>752.19349975</v>
      </c>
      <c r="G1501">
        <v>10.65151210091706</v>
      </c>
      <c r="H1501">
        <v>773.49652395183409</v>
      </c>
      <c r="I1501">
        <v>730.89047554816591</v>
      </c>
    </row>
    <row r="1502" spans="1:9" x14ac:dyDescent="0.25">
      <c r="A1502" s="1">
        <v>42355</v>
      </c>
      <c r="B1502" t="s">
        <v>0</v>
      </c>
      <c r="C1502">
        <v>749.42999299999997</v>
      </c>
      <c r="D1502">
        <v>1.1423490207713808E-2</v>
      </c>
      <c r="E1502">
        <v>1</v>
      </c>
      <c r="F1502">
        <v>752.66499939999994</v>
      </c>
      <c r="G1502">
        <v>8.9023831036449312</v>
      </c>
      <c r="H1502">
        <v>770.46976560728979</v>
      </c>
      <c r="I1502">
        <v>734.8602331927101</v>
      </c>
    </row>
    <row r="1503" spans="1:9" x14ac:dyDescent="0.25">
      <c r="A1503" s="1">
        <v>42356</v>
      </c>
      <c r="B1503" t="s">
        <v>0</v>
      </c>
      <c r="C1503">
        <v>739.30999799999995</v>
      </c>
      <c r="D1503">
        <v>1.3503589520735952E-2</v>
      </c>
      <c r="E1503">
        <v>1</v>
      </c>
      <c r="F1503">
        <v>752.71000064999998</v>
      </c>
      <c r="G1503">
        <v>8.4709859442019155</v>
      </c>
      <c r="H1503">
        <v>769.65197253840381</v>
      </c>
      <c r="I1503">
        <v>735.76802876159616</v>
      </c>
    </row>
    <row r="1504" spans="1:9" x14ac:dyDescent="0.25">
      <c r="A1504" s="1">
        <v>42359</v>
      </c>
      <c r="B1504" t="s">
        <v>0</v>
      </c>
      <c r="C1504">
        <v>747.77002000000005</v>
      </c>
      <c r="D1504">
        <v>-1.1443132140626205E-2</v>
      </c>
      <c r="E1504">
        <v>0</v>
      </c>
      <c r="F1504">
        <v>752.26850285000023</v>
      </c>
      <c r="G1504">
        <v>8.4086852233707319</v>
      </c>
      <c r="H1504">
        <v>769.08587329674174</v>
      </c>
      <c r="I1504">
        <v>735.45113240325873</v>
      </c>
    </row>
    <row r="1505" spans="1:9" x14ac:dyDescent="0.25">
      <c r="A1505" s="1">
        <v>42360</v>
      </c>
      <c r="B1505" t="s">
        <v>0</v>
      </c>
      <c r="C1505">
        <v>750</v>
      </c>
      <c r="D1505">
        <v>-2.9821735832628793E-3</v>
      </c>
      <c r="E1505">
        <v>0</v>
      </c>
      <c r="F1505">
        <v>751.96950385000002</v>
      </c>
      <c r="G1505">
        <v>8.4183800105996127</v>
      </c>
      <c r="H1505">
        <v>768.80626387119923</v>
      </c>
      <c r="I1505">
        <v>735.13274382880081</v>
      </c>
    </row>
    <row r="1506" spans="1:9" x14ac:dyDescent="0.25">
      <c r="A1506" s="1">
        <v>42361</v>
      </c>
      <c r="B1506" t="s">
        <v>0</v>
      </c>
      <c r="C1506">
        <v>750.30999799999995</v>
      </c>
      <c r="D1506">
        <v>-4.1333066666660061E-4</v>
      </c>
      <c r="E1506">
        <v>0</v>
      </c>
      <c r="F1506">
        <v>752.07100230000003</v>
      </c>
      <c r="G1506">
        <v>8.3826711292694682</v>
      </c>
      <c r="H1506">
        <v>768.83634455853894</v>
      </c>
      <c r="I1506">
        <v>735.30566004146112</v>
      </c>
    </row>
    <row r="1507" spans="1:9" x14ac:dyDescent="0.25">
      <c r="A1507" s="1">
        <v>42362</v>
      </c>
      <c r="B1507" t="s">
        <v>0</v>
      </c>
      <c r="C1507">
        <v>748.40002400000003</v>
      </c>
      <c r="D1507">
        <v>2.5455798337901399E-3</v>
      </c>
      <c r="E1507">
        <v>1</v>
      </c>
      <c r="F1507">
        <v>752.08350230000019</v>
      </c>
      <c r="G1507">
        <v>8.3490008019315205</v>
      </c>
      <c r="H1507">
        <v>768.78150390386327</v>
      </c>
      <c r="I1507">
        <v>735.38550069613711</v>
      </c>
    </row>
    <row r="1508" spans="1:9" x14ac:dyDescent="0.25">
      <c r="A1508" s="1">
        <v>42366</v>
      </c>
      <c r="B1508" t="s">
        <v>0</v>
      </c>
      <c r="C1508">
        <v>762.51000999999997</v>
      </c>
      <c r="D1508">
        <v>-1.8853534937887623E-2</v>
      </c>
      <c r="E1508">
        <v>0</v>
      </c>
      <c r="F1508">
        <v>752.69600230000003</v>
      </c>
      <c r="G1508">
        <v>8.3657491405822828</v>
      </c>
      <c r="H1508">
        <v>769.42750058116462</v>
      </c>
      <c r="I1508">
        <v>735.96450401883544</v>
      </c>
    </row>
    <row r="1509" spans="1:9" x14ac:dyDescent="0.25">
      <c r="A1509" s="1">
        <v>42367</v>
      </c>
      <c r="B1509" t="s">
        <v>0</v>
      </c>
      <c r="C1509">
        <v>776.59997599999997</v>
      </c>
      <c r="D1509">
        <v>-1.847840135239668E-2</v>
      </c>
      <c r="E1509">
        <v>0</v>
      </c>
      <c r="F1509">
        <v>754.39600229999996</v>
      </c>
      <c r="G1509">
        <v>8.7974310520545167</v>
      </c>
      <c r="H1509">
        <v>771.99086440410895</v>
      </c>
      <c r="I1509">
        <v>736.80114019589098</v>
      </c>
    </row>
    <row r="1510" spans="1:9" x14ac:dyDescent="0.25">
      <c r="A1510" s="1">
        <v>42368</v>
      </c>
      <c r="B1510" t="s">
        <v>0</v>
      </c>
      <c r="C1510">
        <v>771</v>
      </c>
      <c r="D1510">
        <v>7.2108887111270907E-3</v>
      </c>
      <c r="E1510">
        <v>1</v>
      </c>
      <c r="F1510">
        <v>754.59400339999991</v>
      </c>
      <c r="G1510">
        <v>9.7533331805723833</v>
      </c>
      <c r="H1510">
        <v>774.10066976114467</v>
      </c>
      <c r="I1510">
        <v>735.08733703885514</v>
      </c>
    </row>
    <row r="1511" spans="1:9" x14ac:dyDescent="0.25">
      <c r="A1511" s="1">
        <v>42369</v>
      </c>
      <c r="B1511" t="s">
        <v>0</v>
      </c>
      <c r="C1511">
        <v>758.88000499999998</v>
      </c>
      <c r="D1511">
        <v>1.571983787289237E-2</v>
      </c>
      <c r="E1511">
        <v>1</v>
      </c>
      <c r="F1511">
        <v>754.41900339999995</v>
      </c>
      <c r="G1511">
        <v>10.043448370257227</v>
      </c>
      <c r="H1511">
        <v>774.50590014051443</v>
      </c>
      <c r="I1511">
        <v>734.33210665948548</v>
      </c>
    </row>
    <row r="1512" spans="1:9" x14ac:dyDescent="0.25">
      <c r="A1512" s="1">
        <v>42373</v>
      </c>
      <c r="B1512" t="s">
        <v>0</v>
      </c>
      <c r="C1512">
        <v>741.84002699999996</v>
      </c>
      <c r="D1512">
        <v>2.2454113809468493E-2</v>
      </c>
      <c r="E1512">
        <v>1</v>
      </c>
      <c r="F1512">
        <v>753.88400584999999</v>
      </c>
      <c r="G1512">
        <v>9.9490314596210077</v>
      </c>
      <c r="H1512">
        <v>773.78206876924196</v>
      </c>
      <c r="I1512">
        <v>733.98594293075803</v>
      </c>
    </row>
    <row r="1513" spans="1:9" x14ac:dyDescent="0.25">
      <c r="A1513" s="1">
        <v>42374</v>
      </c>
      <c r="B1513" t="s">
        <v>0</v>
      </c>
      <c r="C1513">
        <v>742.580017</v>
      </c>
      <c r="D1513">
        <v>-9.9750616449283927E-4</v>
      </c>
      <c r="E1513">
        <v>0</v>
      </c>
      <c r="F1513">
        <v>752.67250679999995</v>
      </c>
      <c r="G1513">
        <v>10.373693060649286</v>
      </c>
      <c r="H1513">
        <v>773.41989292129847</v>
      </c>
      <c r="I1513">
        <v>731.92512067870143</v>
      </c>
    </row>
    <row r="1514" spans="1:9" x14ac:dyDescent="0.25">
      <c r="A1514" s="1">
        <v>42375</v>
      </c>
      <c r="B1514" t="s">
        <v>0</v>
      </c>
      <c r="C1514">
        <v>743.61999500000002</v>
      </c>
      <c r="D1514">
        <v>-1.4004928441267485E-3</v>
      </c>
      <c r="E1514">
        <v>0</v>
      </c>
      <c r="F1514">
        <v>751.69100655</v>
      </c>
      <c r="G1514">
        <v>10.182157684104313</v>
      </c>
      <c r="H1514">
        <v>772.05532191820862</v>
      </c>
      <c r="I1514">
        <v>731.32669118179138</v>
      </c>
    </row>
    <row r="1515" spans="1:9" x14ac:dyDescent="0.25">
      <c r="A1515" s="1">
        <v>42376</v>
      </c>
      <c r="B1515" t="s">
        <v>0</v>
      </c>
      <c r="C1515">
        <v>726.39001499999995</v>
      </c>
      <c r="D1515">
        <v>2.3170409773610335E-2</v>
      </c>
      <c r="E1515">
        <v>1</v>
      </c>
      <c r="F1515">
        <v>749.89200755000002</v>
      </c>
      <c r="G1515">
        <v>10.172967973955288</v>
      </c>
      <c r="H1515">
        <v>770.23794349791058</v>
      </c>
      <c r="I1515">
        <v>729.54607160208946</v>
      </c>
    </row>
    <row r="1516" spans="1:9" x14ac:dyDescent="0.25">
      <c r="A1516" s="1">
        <v>42377</v>
      </c>
      <c r="B1516" t="s">
        <v>0</v>
      </c>
      <c r="C1516">
        <v>714.46997099999999</v>
      </c>
      <c r="D1516">
        <v>1.6409977772065001E-2</v>
      </c>
      <c r="E1516">
        <v>1</v>
      </c>
      <c r="F1516">
        <v>748.03500684999995</v>
      </c>
      <c r="G1516">
        <v>11.259214144415928</v>
      </c>
      <c r="H1516">
        <v>770.55343513883179</v>
      </c>
      <c r="I1516">
        <v>725.5165785611681</v>
      </c>
    </row>
    <row r="1517" spans="1:9" x14ac:dyDescent="0.25">
      <c r="A1517" s="1">
        <v>42380</v>
      </c>
      <c r="B1517" t="s">
        <v>0</v>
      </c>
      <c r="C1517">
        <v>716.03002900000001</v>
      </c>
      <c r="D1517">
        <v>-2.1835179410220817E-3</v>
      </c>
      <c r="E1517">
        <v>0</v>
      </c>
      <c r="F1517">
        <v>746.36350720000007</v>
      </c>
      <c r="G1517">
        <v>13.610854946391344</v>
      </c>
      <c r="H1517">
        <v>773.58521709278273</v>
      </c>
      <c r="I1517">
        <v>719.14179730721742</v>
      </c>
    </row>
    <row r="1518" spans="1:9" x14ac:dyDescent="0.25">
      <c r="A1518" s="1">
        <v>42381</v>
      </c>
      <c r="B1518" t="s">
        <v>0</v>
      </c>
      <c r="C1518">
        <v>726.07000700000003</v>
      </c>
      <c r="D1518">
        <v>-1.4021727571987094E-2</v>
      </c>
      <c r="E1518">
        <v>0</v>
      </c>
      <c r="F1518">
        <v>745.72350780000011</v>
      </c>
      <c r="G1518">
        <v>15.204984261546242</v>
      </c>
      <c r="H1518">
        <v>776.13347632309262</v>
      </c>
      <c r="I1518">
        <v>715.31353927690759</v>
      </c>
    </row>
    <row r="1519" spans="1:9" x14ac:dyDescent="0.25">
      <c r="A1519" s="1">
        <v>42382</v>
      </c>
      <c r="B1519" t="s">
        <v>0</v>
      </c>
      <c r="C1519">
        <v>700.55999799999995</v>
      </c>
      <c r="D1519">
        <v>3.513436549376716E-2</v>
      </c>
      <c r="E1519">
        <v>1</v>
      </c>
      <c r="F1519">
        <v>743.36300670000014</v>
      </c>
      <c r="G1519">
        <v>15.928841283557365</v>
      </c>
      <c r="H1519">
        <v>775.22068926711484</v>
      </c>
      <c r="I1519">
        <v>711.50532413288545</v>
      </c>
    </row>
    <row r="1520" spans="1:9" x14ac:dyDescent="0.25">
      <c r="A1520" s="1">
        <v>42383</v>
      </c>
      <c r="B1520" t="s">
        <v>0</v>
      </c>
      <c r="C1520">
        <v>714.71997099999999</v>
      </c>
      <c r="D1520">
        <v>-2.0212363024472942E-2</v>
      </c>
      <c r="E1520">
        <v>0</v>
      </c>
      <c r="F1520">
        <v>741.92900405000012</v>
      </c>
      <c r="G1520">
        <v>18.612311452752554</v>
      </c>
      <c r="H1520">
        <v>779.15362695550527</v>
      </c>
      <c r="I1520">
        <v>704.70438114449496</v>
      </c>
    </row>
    <row r="1521" spans="1:9" x14ac:dyDescent="0.25">
      <c r="A1521" s="1">
        <v>42384</v>
      </c>
      <c r="B1521" t="s">
        <v>0</v>
      </c>
      <c r="C1521">
        <v>694.45001200000002</v>
      </c>
      <c r="D1521">
        <v>2.836070044557349E-2</v>
      </c>
      <c r="E1521">
        <v>1</v>
      </c>
      <c r="F1521">
        <v>738.74700330000007</v>
      </c>
      <c r="G1521">
        <v>19.835615578509252</v>
      </c>
      <c r="H1521">
        <v>778.41823445701857</v>
      </c>
      <c r="I1521">
        <v>699.07577214298158</v>
      </c>
    </row>
    <row r="1522" spans="1:9" x14ac:dyDescent="0.25">
      <c r="A1522" s="1">
        <v>42388</v>
      </c>
      <c r="B1522" t="s">
        <v>0</v>
      </c>
      <c r="C1522">
        <v>701.78997800000002</v>
      </c>
      <c r="D1522">
        <v>-1.0569466301629214E-2</v>
      </c>
      <c r="E1522">
        <v>0</v>
      </c>
      <c r="F1522">
        <v>736.36500255000021</v>
      </c>
      <c r="G1522">
        <v>21.875308376570938</v>
      </c>
      <c r="H1522">
        <v>780.11561930314213</v>
      </c>
      <c r="I1522">
        <v>692.6143857968583</v>
      </c>
    </row>
    <row r="1523" spans="1:9" x14ac:dyDescent="0.25">
      <c r="A1523" s="1">
        <v>42389</v>
      </c>
      <c r="B1523" t="s">
        <v>0</v>
      </c>
      <c r="C1523">
        <v>698.45001200000002</v>
      </c>
      <c r="D1523">
        <v>4.7592101692851534E-3</v>
      </c>
      <c r="E1523">
        <v>1</v>
      </c>
      <c r="F1523">
        <v>734.32200325000008</v>
      </c>
      <c r="G1523">
        <v>23.107139158030819</v>
      </c>
      <c r="H1523">
        <v>780.53628156606169</v>
      </c>
      <c r="I1523">
        <v>688.10772493393847</v>
      </c>
    </row>
    <row r="1524" spans="1:9" x14ac:dyDescent="0.25">
      <c r="A1524" s="1">
        <v>42390</v>
      </c>
      <c r="B1524" t="s">
        <v>0</v>
      </c>
      <c r="C1524">
        <v>706.59002699999996</v>
      </c>
      <c r="D1524">
        <v>-1.1654398826182494E-2</v>
      </c>
      <c r="E1524">
        <v>0</v>
      </c>
      <c r="F1524">
        <v>732.26300360000016</v>
      </c>
      <c r="G1524">
        <v>24.520916435932882</v>
      </c>
      <c r="H1524">
        <v>781.30483647186588</v>
      </c>
      <c r="I1524">
        <v>683.22117072813444</v>
      </c>
    </row>
    <row r="1525" spans="1:9" x14ac:dyDescent="0.25">
      <c r="A1525" s="1">
        <v>42391</v>
      </c>
      <c r="B1525" t="s">
        <v>0</v>
      </c>
      <c r="C1525">
        <v>725.25</v>
      </c>
      <c r="D1525">
        <v>-2.6408486232427447E-2</v>
      </c>
      <c r="E1525">
        <v>0</v>
      </c>
      <c r="F1525">
        <v>731.02550360000009</v>
      </c>
      <c r="G1525">
        <v>24.974756407254862</v>
      </c>
      <c r="H1525">
        <v>780.97501641450981</v>
      </c>
      <c r="I1525">
        <v>681.07599078549038</v>
      </c>
    </row>
    <row r="1526" spans="1:9" x14ac:dyDescent="0.25">
      <c r="A1526" s="1">
        <v>42394</v>
      </c>
      <c r="B1526" t="s">
        <v>0</v>
      </c>
      <c r="C1526">
        <v>711.669983</v>
      </c>
      <c r="D1526">
        <v>1.872460117200965E-2</v>
      </c>
      <c r="E1526">
        <v>1</v>
      </c>
      <c r="F1526">
        <v>729.09350285000005</v>
      </c>
      <c r="G1526">
        <v>24.721191939502404</v>
      </c>
      <c r="H1526">
        <v>778.53588672900491</v>
      </c>
      <c r="I1526">
        <v>679.65111897099519</v>
      </c>
    </row>
    <row r="1527" spans="1:9" x14ac:dyDescent="0.25">
      <c r="A1527" s="1">
        <v>42395</v>
      </c>
      <c r="B1527" t="s">
        <v>0</v>
      </c>
      <c r="C1527">
        <v>713.03997800000002</v>
      </c>
      <c r="D1527">
        <v>-1.9250425516401429E-3</v>
      </c>
      <c r="E1527">
        <v>0</v>
      </c>
      <c r="F1527">
        <v>727.32550055000013</v>
      </c>
      <c r="G1527">
        <v>24.636053497226218</v>
      </c>
      <c r="H1527">
        <v>776.59760754445256</v>
      </c>
      <c r="I1527">
        <v>678.0533935555477</v>
      </c>
    </row>
    <row r="1528" spans="1:9" x14ac:dyDescent="0.25">
      <c r="A1528" s="1">
        <v>42396</v>
      </c>
      <c r="B1528" t="s">
        <v>0</v>
      </c>
      <c r="C1528">
        <v>699.98999000000003</v>
      </c>
      <c r="D1528">
        <v>1.8301902281277115E-2</v>
      </c>
      <c r="E1528">
        <v>1</v>
      </c>
      <c r="F1528">
        <v>724.19949955000016</v>
      </c>
      <c r="G1528">
        <v>24.590730874951443</v>
      </c>
      <c r="H1528">
        <v>773.38096129990299</v>
      </c>
      <c r="I1528">
        <v>675.01803780009732</v>
      </c>
    </row>
    <row r="1529" spans="1:9" x14ac:dyDescent="0.25">
      <c r="A1529" s="1">
        <v>42397</v>
      </c>
      <c r="B1529" t="s">
        <v>0</v>
      </c>
      <c r="C1529">
        <v>730.96002199999998</v>
      </c>
      <c r="D1529">
        <v>-4.4243535539701E-2</v>
      </c>
      <c r="E1529">
        <v>0</v>
      </c>
      <c r="F1529">
        <v>721.91750185000001</v>
      </c>
      <c r="G1529">
        <v>23.787219584320816</v>
      </c>
      <c r="H1529">
        <v>769.49194101864168</v>
      </c>
      <c r="I1529">
        <v>674.34306268135833</v>
      </c>
    </row>
    <row r="1530" spans="1:9" x14ac:dyDescent="0.25">
      <c r="A1530" s="1">
        <v>42398</v>
      </c>
      <c r="B1530" t="s">
        <v>0</v>
      </c>
      <c r="C1530">
        <v>742.95001200000002</v>
      </c>
      <c r="D1530">
        <v>-1.6403072177865338E-2</v>
      </c>
      <c r="E1530">
        <v>0</v>
      </c>
      <c r="F1530">
        <v>720.51500245000022</v>
      </c>
      <c r="G1530">
        <v>20.551849787661027</v>
      </c>
      <c r="H1530">
        <v>761.61870202532225</v>
      </c>
      <c r="I1530">
        <v>679.4113028746782</v>
      </c>
    </row>
    <row r="1531" spans="1:9" x14ac:dyDescent="0.25">
      <c r="A1531" s="1">
        <v>42401</v>
      </c>
      <c r="B1531" t="s">
        <v>0</v>
      </c>
      <c r="C1531">
        <v>752</v>
      </c>
      <c r="D1531">
        <v>-1.2181153312909542E-2</v>
      </c>
      <c r="E1531">
        <v>0</v>
      </c>
      <c r="F1531">
        <v>720.1710022000002</v>
      </c>
      <c r="G1531">
        <v>17.894876352208676</v>
      </c>
      <c r="H1531">
        <v>755.96075490441751</v>
      </c>
      <c r="I1531">
        <v>684.38124949558289</v>
      </c>
    </row>
    <row r="1532" spans="1:9" x14ac:dyDescent="0.25">
      <c r="A1532" s="1">
        <v>42402</v>
      </c>
      <c r="B1532" t="s">
        <v>0</v>
      </c>
      <c r="C1532">
        <v>764.65002400000003</v>
      </c>
      <c r="D1532">
        <v>-1.6821840425531955E-2</v>
      </c>
      <c r="E1532">
        <v>0</v>
      </c>
      <c r="F1532">
        <v>721.31150205000017</v>
      </c>
      <c r="G1532">
        <v>17.241294897071615</v>
      </c>
      <c r="H1532">
        <v>755.7940918441434</v>
      </c>
      <c r="I1532">
        <v>686.82891225585695</v>
      </c>
    </row>
    <row r="1533" spans="1:9" x14ac:dyDescent="0.25">
      <c r="A1533" s="1">
        <v>42403</v>
      </c>
      <c r="B1533" t="s">
        <v>0</v>
      </c>
      <c r="C1533">
        <v>726.95001200000002</v>
      </c>
      <c r="D1533">
        <v>4.9303617101566999E-2</v>
      </c>
      <c r="E1533">
        <v>1</v>
      </c>
      <c r="F1533">
        <v>720.53000180000015</v>
      </c>
      <c r="G1533">
        <v>19.253917777375346</v>
      </c>
      <c r="H1533">
        <v>759.03783735475088</v>
      </c>
      <c r="I1533">
        <v>682.02216624524942</v>
      </c>
    </row>
    <row r="1534" spans="1:9" x14ac:dyDescent="0.25">
      <c r="A1534" s="1">
        <v>42404</v>
      </c>
      <c r="B1534" t="s">
        <v>0</v>
      </c>
      <c r="C1534">
        <v>708.01000999999997</v>
      </c>
      <c r="D1534">
        <v>2.6054063810924111E-2</v>
      </c>
      <c r="E1534">
        <v>1</v>
      </c>
      <c r="F1534">
        <v>718.74950254999999</v>
      </c>
      <c r="G1534">
        <v>18.7519117795913</v>
      </c>
      <c r="H1534">
        <v>756.25332610918258</v>
      </c>
      <c r="I1534">
        <v>681.2456789908174</v>
      </c>
    </row>
    <row r="1535" spans="1:9" x14ac:dyDescent="0.25">
      <c r="A1535" s="1">
        <v>42405</v>
      </c>
      <c r="B1535" t="s">
        <v>0</v>
      </c>
      <c r="C1535">
        <v>683.57000700000003</v>
      </c>
      <c r="D1535">
        <v>3.4519290200430833E-2</v>
      </c>
      <c r="E1535">
        <v>1</v>
      </c>
      <c r="F1535">
        <v>716.60850215000005</v>
      </c>
      <c r="G1535">
        <v>18.194995009031324</v>
      </c>
      <c r="H1535">
        <v>752.99849216806274</v>
      </c>
      <c r="I1535">
        <v>680.21851213193736</v>
      </c>
    </row>
    <row r="1536" spans="1:9" x14ac:dyDescent="0.25">
      <c r="A1536" s="1">
        <v>42408</v>
      </c>
      <c r="B1536" t="s">
        <v>0</v>
      </c>
      <c r="C1536">
        <v>682.73999000000003</v>
      </c>
      <c r="D1536">
        <v>1.2142384708227814E-3</v>
      </c>
      <c r="E1536">
        <v>1</v>
      </c>
      <c r="F1536">
        <v>715.02200310000012</v>
      </c>
      <c r="G1536">
        <v>19.579786286408194</v>
      </c>
      <c r="H1536">
        <v>754.18157567281651</v>
      </c>
      <c r="I1536">
        <v>675.86243052718373</v>
      </c>
    </row>
    <row r="1537" spans="1:9" x14ac:dyDescent="0.25">
      <c r="A1537" s="1">
        <v>42409</v>
      </c>
      <c r="B1537" t="s">
        <v>0</v>
      </c>
      <c r="C1537">
        <v>678.10998500000005</v>
      </c>
      <c r="D1537">
        <v>6.7815055040206197E-3</v>
      </c>
      <c r="E1537">
        <v>1</v>
      </c>
      <c r="F1537">
        <v>713.12600090000012</v>
      </c>
      <c r="G1537">
        <v>20.953616319892856</v>
      </c>
      <c r="H1537">
        <v>755.03323353978578</v>
      </c>
      <c r="I1537">
        <v>671.21876826021446</v>
      </c>
    </row>
    <row r="1538" spans="1:9" x14ac:dyDescent="0.25">
      <c r="A1538" s="1">
        <v>42410</v>
      </c>
      <c r="B1538" t="s">
        <v>0</v>
      </c>
      <c r="C1538">
        <v>684.11999500000002</v>
      </c>
      <c r="D1538">
        <v>-8.8628837990049145E-3</v>
      </c>
      <c r="E1538">
        <v>0</v>
      </c>
      <c r="F1538">
        <v>711.02850030000013</v>
      </c>
      <c r="G1538">
        <v>22.457469696371707</v>
      </c>
      <c r="H1538">
        <v>755.9434396927436</v>
      </c>
      <c r="I1538">
        <v>666.11356090725667</v>
      </c>
    </row>
    <row r="1539" spans="1:9" x14ac:dyDescent="0.25">
      <c r="A1539" s="1">
        <v>42411</v>
      </c>
      <c r="B1539" t="s">
        <v>0</v>
      </c>
      <c r="C1539">
        <v>683.10998500000005</v>
      </c>
      <c r="D1539">
        <v>1.4763638066154837E-3</v>
      </c>
      <c r="E1539">
        <v>1</v>
      </c>
      <c r="F1539">
        <v>710.15599965000013</v>
      </c>
      <c r="G1539">
        <v>23.02151687511931</v>
      </c>
      <c r="H1539">
        <v>756.1990334002387</v>
      </c>
      <c r="I1539">
        <v>664.11296589976155</v>
      </c>
    </row>
    <row r="1540" spans="1:9" x14ac:dyDescent="0.25">
      <c r="A1540" s="1">
        <v>42412</v>
      </c>
      <c r="B1540" t="s">
        <v>0</v>
      </c>
      <c r="C1540">
        <v>682.40002400000003</v>
      </c>
      <c r="D1540">
        <v>1.0393070158387762E-3</v>
      </c>
      <c r="E1540">
        <v>1</v>
      </c>
      <c r="F1540">
        <v>708.54000229999997</v>
      </c>
      <c r="G1540">
        <v>23.760721152895822</v>
      </c>
      <c r="H1540">
        <v>756.06144460579162</v>
      </c>
      <c r="I1540">
        <v>661.01855999420832</v>
      </c>
    </row>
    <row r="1541" spans="1:9" x14ac:dyDescent="0.25">
      <c r="A1541" s="1">
        <v>42416</v>
      </c>
      <c r="B1541" t="s">
        <v>0</v>
      </c>
      <c r="C1541">
        <v>691</v>
      </c>
      <c r="D1541">
        <v>-1.2602543519253993E-2</v>
      </c>
      <c r="E1541">
        <v>0</v>
      </c>
      <c r="F1541">
        <v>708.36750169999993</v>
      </c>
      <c r="G1541">
        <v>24.430655922063284</v>
      </c>
      <c r="H1541">
        <v>757.22881354412652</v>
      </c>
      <c r="I1541">
        <v>659.50618985587334</v>
      </c>
    </row>
    <row r="1542" spans="1:9" x14ac:dyDescent="0.25">
      <c r="A1542" s="1">
        <v>42417</v>
      </c>
      <c r="B1542" t="s">
        <v>0</v>
      </c>
      <c r="C1542">
        <v>708.40002400000003</v>
      </c>
      <c r="D1542">
        <v>-2.5180931982633908E-2</v>
      </c>
      <c r="E1542">
        <v>0</v>
      </c>
      <c r="F1542">
        <v>708.69800399999997</v>
      </c>
      <c r="G1542">
        <v>24.54308172051843</v>
      </c>
      <c r="H1542">
        <v>757.78416744103686</v>
      </c>
      <c r="I1542">
        <v>659.61184055896308</v>
      </c>
    </row>
    <row r="1543" spans="1:9" x14ac:dyDescent="0.25">
      <c r="A1543" s="1">
        <v>42418</v>
      </c>
      <c r="B1543" t="s">
        <v>0</v>
      </c>
      <c r="C1543">
        <v>697.34997599999997</v>
      </c>
      <c r="D1543">
        <v>1.5598599132740939E-2</v>
      </c>
      <c r="E1543">
        <v>1</v>
      </c>
      <c r="F1543">
        <v>708.64300220000007</v>
      </c>
      <c r="G1543">
        <v>24.494576623841354</v>
      </c>
      <c r="H1543">
        <v>757.63215544768275</v>
      </c>
      <c r="I1543">
        <v>659.65384895231739</v>
      </c>
    </row>
    <row r="1544" spans="1:9" x14ac:dyDescent="0.25">
      <c r="A1544" s="1">
        <v>42419</v>
      </c>
      <c r="B1544" t="s">
        <v>0</v>
      </c>
      <c r="C1544">
        <v>700.90997300000004</v>
      </c>
      <c r="D1544">
        <v>-5.1050363841986662E-3</v>
      </c>
      <c r="E1544">
        <v>0</v>
      </c>
      <c r="F1544">
        <v>708.35899949999998</v>
      </c>
      <c r="G1544">
        <v>24.520332605649379</v>
      </c>
      <c r="H1544">
        <v>757.39966471129878</v>
      </c>
      <c r="I1544">
        <v>659.31833428870118</v>
      </c>
    </row>
    <row r="1545" spans="1:9" x14ac:dyDescent="0.25">
      <c r="A1545" s="1">
        <v>42422</v>
      </c>
      <c r="B1545" t="s">
        <v>0</v>
      </c>
      <c r="C1545">
        <v>706.46002199999998</v>
      </c>
      <c r="D1545">
        <v>-7.9183478817470669E-3</v>
      </c>
      <c r="E1545">
        <v>0</v>
      </c>
      <c r="F1545">
        <v>707.41950059999999</v>
      </c>
      <c r="G1545">
        <v>24.591610477546414</v>
      </c>
      <c r="H1545">
        <v>756.60272155509278</v>
      </c>
      <c r="I1545">
        <v>658.2362796449072</v>
      </c>
    </row>
    <row r="1546" spans="1:9" x14ac:dyDescent="0.25">
      <c r="A1546" s="1">
        <v>42423</v>
      </c>
      <c r="B1546" t="s">
        <v>0</v>
      </c>
      <c r="C1546">
        <v>695.84997599999997</v>
      </c>
      <c r="D1546">
        <v>1.5018607804533363E-2</v>
      </c>
      <c r="E1546">
        <v>1</v>
      </c>
      <c r="F1546">
        <v>706.62850025</v>
      </c>
      <c r="G1546">
        <v>24.280088178373521</v>
      </c>
      <c r="H1546">
        <v>755.18867660674709</v>
      </c>
      <c r="I1546">
        <v>658.06832389325291</v>
      </c>
    </row>
    <row r="1547" spans="1:9" x14ac:dyDescent="0.25">
      <c r="A1547" s="1">
        <v>42424</v>
      </c>
      <c r="B1547" t="s">
        <v>0</v>
      </c>
      <c r="C1547">
        <v>699.55999799999995</v>
      </c>
      <c r="D1547">
        <v>-5.3316406236392265E-3</v>
      </c>
      <c r="E1547">
        <v>0</v>
      </c>
      <c r="F1547">
        <v>705.95450124999991</v>
      </c>
      <c r="G1547">
        <v>24.38267742550148</v>
      </c>
      <c r="H1547">
        <v>754.71985610100285</v>
      </c>
      <c r="I1547">
        <v>657.18914639899697</v>
      </c>
    </row>
    <row r="1548" spans="1:9" x14ac:dyDescent="0.25">
      <c r="A1548" s="1">
        <v>42425</v>
      </c>
      <c r="B1548" t="s">
        <v>0</v>
      </c>
      <c r="C1548">
        <v>705.75</v>
      </c>
      <c r="D1548">
        <v>-8.8484218904695718E-3</v>
      </c>
      <c r="E1548">
        <v>0</v>
      </c>
      <c r="F1548">
        <v>706.24250174999997</v>
      </c>
      <c r="G1548">
        <v>24.374826917868219</v>
      </c>
      <c r="H1548">
        <v>754.99215558573644</v>
      </c>
      <c r="I1548">
        <v>657.49284791426351</v>
      </c>
    </row>
    <row r="1549" spans="1:9" x14ac:dyDescent="0.25">
      <c r="A1549" s="1">
        <v>42426</v>
      </c>
      <c r="B1549" t="s">
        <v>0</v>
      </c>
      <c r="C1549">
        <v>705.07000700000003</v>
      </c>
      <c r="D1549">
        <v>9.6350407368043589E-4</v>
      </c>
      <c r="E1549">
        <v>1</v>
      </c>
      <c r="F1549">
        <v>704.94800099999998</v>
      </c>
      <c r="G1549">
        <v>24.369352724421653</v>
      </c>
      <c r="H1549">
        <v>753.68670644884332</v>
      </c>
      <c r="I1549">
        <v>656.20929555115663</v>
      </c>
    </row>
    <row r="1550" spans="1:9" x14ac:dyDescent="0.25">
      <c r="A1550" s="1">
        <v>42429</v>
      </c>
      <c r="B1550" t="s">
        <v>0</v>
      </c>
      <c r="C1550">
        <v>697.77002000000005</v>
      </c>
      <c r="D1550">
        <v>1.0353563373175775E-2</v>
      </c>
      <c r="E1550">
        <v>1</v>
      </c>
      <c r="F1550">
        <v>702.68900139999994</v>
      </c>
      <c r="G1550">
        <v>23.772629510595944</v>
      </c>
      <c r="H1550">
        <v>750.23426042119183</v>
      </c>
      <c r="I1550">
        <v>655.14374237880804</v>
      </c>
    </row>
    <row r="1551" spans="1:9" x14ac:dyDescent="0.25">
      <c r="A1551" s="1">
        <v>42430</v>
      </c>
      <c r="B1551" t="s">
        <v>0</v>
      </c>
      <c r="C1551">
        <v>718.80999799999995</v>
      </c>
      <c r="D1551">
        <v>-3.0153169951325658E-2</v>
      </c>
      <c r="E1551">
        <v>0</v>
      </c>
      <c r="F1551">
        <v>701.02950129999999</v>
      </c>
      <c r="G1551">
        <v>22.091949316526343</v>
      </c>
      <c r="H1551">
        <v>745.21339993305264</v>
      </c>
      <c r="I1551">
        <v>656.84560266694734</v>
      </c>
    </row>
    <row r="1552" spans="1:9" x14ac:dyDescent="0.25">
      <c r="A1552" s="1">
        <v>42431</v>
      </c>
      <c r="B1552" t="s">
        <v>0</v>
      </c>
      <c r="C1552">
        <v>718.84997599999997</v>
      </c>
      <c r="D1552">
        <v>-5.561692256820719E-5</v>
      </c>
      <c r="E1552">
        <v>0</v>
      </c>
      <c r="F1552">
        <v>698.73949890000006</v>
      </c>
      <c r="G1552">
        <v>19.473213701250611</v>
      </c>
      <c r="H1552">
        <v>737.68592630250123</v>
      </c>
      <c r="I1552">
        <v>659.79307149749889</v>
      </c>
    </row>
    <row r="1553" spans="1:9" x14ac:dyDescent="0.25">
      <c r="A1553" s="1">
        <v>42432</v>
      </c>
      <c r="B1553" t="s">
        <v>0</v>
      </c>
      <c r="C1553">
        <v>712.419983</v>
      </c>
      <c r="D1553">
        <v>8.9448330175641091E-3</v>
      </c>
      <c r="E1553">
        <v>1</v>
      </c>
      <c r="F1553">
        <v>698.01299745000006</v>
      </c>
      <c r="G1553">
        <v>13.518341419087671</v>
      </c>
      <c r="H1553">
        <v>725.04968028817541</v>
      </c>
      <c r="I1553">
        <v>670.97631461182471</v>
      </c>
    </row>
    <row r="1554" spans="1:9" x14ac:dyDescent="0.25">
      <c r="A1554" s="1">
        <v>42433</v>
      </c>
      <c r="B1554" t="s">
        <v>0</v>
      </c>
      <c r="C1554">
        <v>710.89001499999995</v>
      </c>
      <c r="D1554">
        <v>2.1475646900826102E-3</v>
      </c>
      <c r="E1554">
        <v>1</v>
      </c>
      <c r="F1554">
        <v>698.15699770000015</v>
      </c>
      <c r="G1554">
        <v>12.29946388561596</v>
      </c>
      <c r="H1554">
        <v>722.7559254712321</v>
      </c>
      <c r="I1554">
        <v>673.55806992876819</v>
      </c>
    </row>
    <row r="1555" spans="1:9" x14ac:dyDescent="0.25">
      <c r="A1555" s="1">
        <v>42436</v>
      </c>
      <c r="B1555" t="s">
        <v>0</v>
      </c>
      <c r="C1555">
        <v>695.15997300000004</v>
      </c>
      <c r="D1555">
        <v>2.2127251287950518E-2</v>
      </c>
      <c r="E1555">
        <v>1</v>
      </c>
      <c r="F1555">
        <v>698.73649599999999</v>
      </c>
      <c r="G1555">
        <v>12.444477653247702</v>
      </c>
      <c r="H1555">
        <v>723.62545130649539</v>
      </c>
      <c r="I1555">
        <v>673.84754069350458</v>
      </c>
    </row>
    <row r="1556" spans="1:9" x14ac:dyDescent="0.25">
      <c r="A1556" s="1">
        <v>42437</v>
      </c>
      <c r="B1556" t="s">
        <v>0</v>
      </c>
      <c r="C1556">
        <v>693.96997099999999</v>
      </c>
      <c r="D1556">
        <v>1.7118390675811385E-3</v>
      </c>
      <c r="E1556">
        <v>1</v>
      </c>
      <c r="F1556">
        <v>699.29799504999994</v>
      </c>
      <c r="G1556">
        <v>12.013274393538707</v>
      </c>
      <c r="H1556">
        <v>723.32454383707739</v>
      </c>
      <c r="I1556">
        <v>675.2714462629225</v>
      </c>
    </row>
    <row r="1557" spans="1:9" x14ac:dyDescent="0.25">
      <c r="A1557" s="1">
        <v>42438</v>
      </c>
      <c r="B1557" t="s">
        <v>0</v>
      </c>
      <c r="C1557">
        <v>705.23999000000003</v>
      </c>
      <c r="D1557">
        <v>-1.6239923153677852E-2</v>
      </c>
      <c r="E1557">
        <v>0</v>
      </c>
      <c r="F1557">
        <v>700.65449530000001</v>
      </c>
      <c r="G1557">
        <v>11.57021477911195</v>
      </c>
      <c r="H1557">
        <v>723.79492485822391</v>
      </c>
      <c r="I1557">
        <v>677.51406574177611</v>
      </c>
    </row>
    <row r="1558" spans="1:9" x14ac:dyDescent="0.25">
      <c r="A1558" s="1">
        <v>42439</v>
      </c>
      <c r="B1558" t="s">
        <v>0</v>
      </c>
      <c r="C1558">
        <v>712.82000700000003</v>
      </c>
      <c r="D1558">
        <v>-1.0748138374853073E-2</v>
      </c>
      <c r="E1558">
        <v>0</v>
      </c>
      <c r="F1558">
        <v>702.08949589999997</v>
      </c>
      <c r="G1558">
        <v>10.562560655713513</v>
      </c>
      <c r="H1558">
        <v>723.21461721142703</v>
      </c>
      <c r="I1558">
        <v>680.96437458857292</v>
      </c>
    </row>
    <row r="1559" spans="1:9" x14ac:dyDescent="0.25">
      <c r="A1559" s="1">
        <v>42440</v>
      </c>
      <c r="B1559" t="s">
        <v>0</v>
      </c>
      <c r="C1559">
        <v>726.82000700000003</v>
      </c>
      <c r="D1559">
        <v>-1.9640301706627041E-2</v>
      </c>
      <c r="E1559">
        <v>0</v>
      </c>
      <c r="F1559">
        <v>704.27499699999998</v>
      </c>
      <c r="G1559">
        <v>10.293500277230018</v>
      </c>
      <c r="H1559">
        <v>724.86199755446</v>
      </c>
      <c r="I1559">
        <v>683.68799644553997</v>
      </c>
    </row>
    <row r="1560" spans="1:9" x14ac:dyDescent="0.25">
      <c r="A1560" s="1">
        <v>42443</v>
      </c>
      <c r="B1560" t="s">
        <v>0</v>
      </c>
      <c r="C1560">
        <v>730.48999000000003</v>
      </c>
      <c r="D1560">
        <v>-5.0493698091059868E-3</v>
      </c>
      <c r="E1560">
        <v>0</v>
      </c>
      <c r="F1560">
        <v>706.67949529999987</v>
      </c>
      <c r="G1560">
        <v>10.712317544725547</v>
      </c>
      <c r="H1560">
        <v>728.10413038945092</v>
      </c>
      <c r="I1560">
        <v>685.25486021054883</v>
      </c>
    </row>
    <row r="1561" spans="1:9" x14ac:dyDescent="0.25">
      <c r="A1561" s="1">
        <v>42444</v>
      </c>
      <c r="B1561" t="s">
        <v>0</v>
      </c>
      <c r="C1561">
        <v>728.330017</v>
      </c>
      <c r="D1561">
        <v>2.9568824071087357E-3</v>
      </c>
      <c r="E1561">
        <v>1</v>
      </c>
      <c r="F1561">
        <v>708.54599614999995</v>
      </c>
      <c r="G1561">
        <v>10.821733648757315</v>
      </c>
      <c r="H1561">
        <v>730.18946344751453</v>
      </c>
      <c r="I1561">
        <v>686.90252885248537</v>
      </c>
    </row>
    <row r="1562" spans="1:9" x14ac:dyDescent="0.25">
      <c r="A1562" s="1">
        <v>42445</v>
      </c>
      <c r="B1562" t="s">
        <v>0</v>
      </c>
      <c r="C1562">
        <v>736.09002699999996</v>
      </c>
      <c r="D1562">
        <v>-1.0654524485978952E-2</v>
      </c>
      <c r="E1562">
        <v>0</v>
      </c>
      <c r="F1562">
        <v>709.93049629999996</v>
      </c>
      <c r="G1562">
        <v>11.099731295615555</v>
      </c>
      <c r="H1562">
        <v>732.12995889123113</v>
      </c>
      <c r="I1562">
        <v>687.73103370876879</v>
      </c>
    </row>
    <row r="1563" spans="1:9" x14ac:dyDescent="0.25">
      <c r="A1563" s="1">
        <v>42446</v>
      </c>
      <c r="B1563" t="s">
        <v>0</v>
      </c>
      <c r="C1563">
        <v>737.78002900000001</v>
      </c>
      <c r="D1563">
        <v>-2.2959175345545735E-3</v>
      </c>
      <c r="E1563">
        <v>0</v>
      </c>
      <c r="F1563">
        <v>711.95199895000007</v>
      </c>
      <c r="G1563">
        <v>12.703914469484729</v>
      </c>
      <c r="H1563">
        <v>737.35982788896956</v>
      </c>
      <c r="I1563">
        <v>686.54417001103059</v>
      </c>
    </row>
    <row r="1564" spans="1:9" x14ac:dyDescent="0.25">
      <c r="A1564" s="1">
        <v>42447</v>
      </c>
      <c r="B1564" t="s">
        <v>0</v>
      </c>
      <c r="C1564">
        <v>737.59997599999997</v>
      </c>
      <c r="D1564">
        <v>2.4404699628978915E-4</v>
      </c>
      <c r="E1564">
        <v>1</v>
      </c>
      <c r="F1564">
        <v>713.78649910000001</v>
      </c>
      <c r="G1564">
        <v>13.691173680510451</v>
      </c>
      <c r="H1564">
        <v>741.16884646102096</v>
      </c>
      <c r="I1564">
        <v>686.40415173897907</v>
      </c>
    </row>
    <row r="1565" spans="1:9" x14ac:dyDescent="0.25">
      <c r="A1565" s="1">
        <v>42450</v>
      </c>
      <c r="B1565" t="s">
        <v>0</v>
      </c>
      <c r="C1565">
        <v>742.09002699999996</v>
      </c>
      <c r="D1565">
        <v>-6.0873795364657039E-3</v>
      </c>
      <c r="E1565">
        <v>0</v>
      </c>
      <c r="F1565">
        <v>715.56799935000004</v>
      </c>
      <c r="G1565">
        <v>14.515020419337855</v>
      </c>
      <c r="H1565">
        <v>744.59804018867578</v>
      </c>
      <c r="I1565">
        <v>686.53795851132429</v>
      </c>
    </row>
    <row r="1566" spans="1:9" x14ac:dyDescent="0.25">
      <c r="A1566" s="1">
        <v>42451</v>
      </c>
      <c r="B1566" t="s">
        <v>0</v>
      </c>
      <c r="C1566">
        <v>740.75</v>
      </c>
      <c r="D1566">
        <v>1.8057472156272E-3</v>
      </c>
      <c r="E1566">
        <v>1</v>
      </c>
      <c r="F1566">
        <v>717.81300055000008</v>
      </c>
      <c r="G1566">
        <v>15.708245704876116</v>
      </c>
      <c r="H1566">
        <v>749.22949195975229</v>
      </c>
      <c r="I1566">
        <v>686.39650914024787</v>
      </c>
    </row>
    <row r="1567" spans="1:9" x14ac:dyDescent="0.25">
      <c r="A1567" s="1">
        <v>42452</v>
      </c>
      <c r="B1567" t="s">
        <v>0</v>
      </c>
      <c r="C1567">
        <v>738.05999799999995</v>
      </c>
      <c r="D1567">
        <v>3.6314573067837319E-3</v>
      </c>
      <c r="E1567">
        <v>1</v>
      </c>
      <c r="F1567">
        <v>719.73800055000015</v>
      </c>
      <c r="G1567">
        <v>15.894690401012188</v>
      </c>
      <c r="H1567">
        <v>751.52738135202458</v>
      </c>
      <c r="I1567">
        <v>687.94861974797573</v>
      </c>
    </row>
    <row r="1568" spans="1:9" x14ac:dyDescent="0.25">
      <c r="A1568" s="1">
        <v>42453</v>
      </c>
      <c r="B1568" t="s">
        <v>0</v>
      </c>
      <c r="C1568">
        <v>735.29998799999998</v>
      </c>
      <c r="D1568">
        <v>3.7395469304379856E-3</v>
      </c>
      <c r="E1568">
        <v>1</v>
      </c>
      <c r="F1568">
        <v>721.21549995000009</v>
      </c>
      <c r="G1568">
        <v>15.850910939234026</v>
      </c>
      <c r="H1568">
        <v>752.91732182846818</v>
      </c>
      <c r="I1568">
        <v>689.51367807153201</v>
      </c>
    </row>
    <row r="1569" spans="1:9" x14ac:dyDescent="0.25">
      <c r="A1569" s="1">
        <v>42457</v>
      </c>
      <c r="B1569" t="s">
        <v>0</v>
      </c>
      <c r="C1569">
        <v>733.53002900000001</v>
      </c>
      <c r="D1569">
        <v>2.4071250222840635E-3</v>
      </c>
      <c r="E1569">
        <v>1</v>
      </c>
      <c r="F1569">
        <v>722.63850105000006</v>
      </c>
      <c r="G1569">
        <v>15.850421618382494</v>
      </c>
      <c r="H1569">
        <v>754.33934428676503</v>
      </c>
      <c r="I1569">
        <v>690.93765781323509</v>
      </c>
    </row>
    <row r="1570" spans="1:9" x14ac:dyDescent="0.25">
      <c r="A1570" s="1">
        <v>42458</v>
      </c>
      <c r="B1570" t="s">
        <v>0</v>
      </c>
      <c r="C1570">
        <v>744.77002000000005</v>
      </c>
      <c r="D1570">
        <v>-1.5323150458234385E-2</v>
      </c>
      <c r="E1570">
        <v>0</v>
      </c>
      <c r="F1570">
        <v>724.98850105000008</v>
      </c>
      <c r="G1570">
        <v>15.724408903851511</v>
      </c>
      <c r="H1570">
        <v>756.43731885770308</v>
      </c>
      <c r="I1570">
        <v>693.53968324229709</v>
      </c>
    </row>
    <row r="1571" spans="1:9" x14ac:dyDescent="0.25">
      <c r="A1571" s="1">
        <v>42459</v>
      </c>
      <c r="B1571" t="s">
        <v>0</v>
      </c>
      <c r="C1571">
        <v>750.53002900000001</v>
      </c>
      <c r="D1571">
        <v>-7.7339431573789285E-3</v>
      </c>
      <c r="E1571">
        <v>0</v>
      </c>
      <c r="F1571">
        <v>726.57450259999996</v>
      </c>
      <c r="G1571">
        <v>15.241245859742794</v>
      </c>
      <c r="H1571">
        <v>757.05699431948551</v>
      </c>
      <c r="I1571">
        <v>696.09201088051441</v>
      </c>
    </row>
    <row r="1572" spans="1:9" x14ac:dyDescent="0.25">
      <c r="A1572" s="1">
        <v>42460</v>
      </c>
      <c r="B1572" t="s">
        <v>0</v>
      </c>
      <c r="C1572">
        <v>744.95001200000002</v>
      </c>
      <c r="D1572">
        <v>7.4347684761324829E-3</v>
      </c>
      <c r="E1572">
        <v>1</v>
      </c>
      <c r="F1572">
        <v>727.87950440000009</v>
      </c>
      <c r="G1572">
        <v>16.114514908181821</v>
      </c>
      <c r="H1572">
        <v>760.10853421636375</v>
      </c>
      <c r="I1572">
        <v>695.65047458363642</v>
      </c>
    </row>
    <row r="1573" spans="1:9" x14ac:dyDescent="0.25">
      <c r="A1573" s="1">
        <v>42461</v>
      </c>
      <c r="B1573" t="s">
        <v>0</v>
      </c>
      <c r="C1573">
        <v>749.90997300000004</v>
      </c>
      <c r="D1573">
        <v>-6.6581125177564548E-3</v>
      </c>
      <c r="E1573">
        <v>0</v>
      </c>
      <c r="F1573">
        <v>729.75400389999993</v>
      </c>
      <c r="G1573">
        <v>16.54342260329695</v>
      </c>
      <c r="H1573">
        <v>762.84084910659385</v>
      </c>
      <c r="I1573">
        <v>696.66715869340601</v>
      </c>
    </row>
    <row r="1574" spans="1:9" x14ac:dyDescent="0.25">
      <c r="A1574" s="1">
        <v>42464</v>
      </c>
      <c r="B1574" t="s">
        <v>0</v>
      </c>
      <c r="C1574">
        <v>745.28997800000002</v>
      </c>
      <c r="D1574">
        <v>6.1607328430609053E-3</v>
      </c>
      <c r="E1574">
        <v>1</v>
      </c>
      <c r="F1574">
        <v>731.47400205000008</v>
      </c>
      <c r="G1574">
        <v>16.790859583630802</v>
      </c>
      <c r="H1574">
        <v>765.05572121726163</v>
      </c>
      <c r="I1574">
        <v>697.89228288273853</v>
      </c>
    </row>
    <row r="1575" spans="1:9" x14ac:dyDescent="0.25">
      <c r="A1575" s="1">
        <v>42465</v>
      </c>
      <c r="B1575" t="s">
        <v>0</v>
      </c>
      <c r="C1575">
        <v>737.79998799999998</v>
      </c>
      <c r="D1575">
        <v>1.0049766159608862E-2</v>
      </c>
      <c r="E1575">
        <v>1</v>
      </c>
      <c r="F1575">
        <v>733.60600280000006</v>
      </c>
      <c r="G1575">
        <v>16.578221442121809</v>
      </c>
      <c r="H1575">
        <v>766.76244568424363</v>
      </c>
      <c r="I1575">
        <v>700.44955991575648</v>
      </c>
    </row>
    <row r="1576" spans="1:9" x14ac:dyDescent="0.25">
      <c r="A1576" s="1">
        <v>42466</v>
      </c>
      <c r="B1576" t="s">
        <v>0</v>
      </c>
      <c r="C1576">
        <v>745.69000200000005</v>
      </c>
      <c r="D1576">
        <v>-1.0693974150620431E-2</v>
      </c>
      <c r="E1576">
        <v>0</v>
      </c>
      <c r="F1576">
        <v>736.19200434999993</v>
      </c>
      <c r="G1576">
        <v>14.439509874798238</v>
      </c>
      <c r="H1576">
        <v>765.07102409959646</v>
      </c>
      <c r="I1576">
        <v>707.31298460040341</v>
      </c>
    </row>
    <row r="1577" spans="1:9" x14ac:dyDescent="0.25">
      <c r="A1577" s="1">
        <v>42467</v>
      </c>
      <c r="B1577" t="s">
        <v>0</v>
      </c>
      <c r="C1577">
        <v>740.28002900000001</v>
      </c>
      <c r="D1577">
        <v>7.2549893192748426E-3</v>
      </c>
      <c r="E1577">
        <v>1</v>
      </c>
      <c r="F1577">
        <v>737.94400629999996</v>
      </c>
      <c r="G1577">
        <v>11.266967170216857</v>
      </c>
      <c r="H1577">
        <v>760.47794064043364</v>
      </c>
      <c r="I1577">
        <v>715.41007195956627</v>
      </c>
    </row>
    <row r="1578" spans="1:9" x14ac:dyDescent="0.25">
      <c r="A1578" s="1">
        <v>42468</v>
      </c>
      <c r="B1578" t="s">
        <v>0</v>
      </c>
      <c r="C1578">
        <v>739.15002400000003</v>
      </c>
      <c r="D1578">
        <v>1.5264561459620071E-3</v>
      </c>
      <c r="E1578">
        <v>1</v>
      </c>
      <c r="F1578">
        <v>739.26050714999997</v>
      </c>
      <c r="G1578">
        <v>8.6875163135390903</v>
      </c>
      <c r="H1578">
        <v>756.63553977707818</v>
      </c>
      <c r="I1578">
        <v>721.88547452292175</v>
      </c>
    </row>
    <row r="1579" spans="1:9" x14ac:dyDescent="0.25">
      <c r="A1579" s="1">
        <v>42471</v>
      </c>
      <c r="B1579" t="s">
        <v>0</v>
      </c>
      <c r="C1579">
        <v>736.09997599999997</v>
      </c>
      <c r="D1579">
        <v>4.126426166496425E-3</v>
      </c>
      <c r="E1579">
        <v>1</v>
      </c>
      <c r="F1579">
        <v>739.72450559999993</v>
      </c>
      <c r="G1579">
        <v>6.3823069635379124</v>
      </c>
      <c r="H1579">
        <v>752.48911952707579</v>
      </c>
      <c r="I1579">
        <v>726.95989167292407</v>
      </c>
    </row>
    <row r="1580" spans="1:9" x14ac:dyDescent="0.25">
      <c r="A1580" s="1">
        <v>42472</v>
      </c>
      <c r="B1580" t="s">
        <v>0</v>
      </c>
      <c r="C1580">
        <v>743.09002699999996</v>
      </c>
      <c r="D1580">
        <v>-9.4960619860147838E-3</v>
      </c>
      <c r="E1580">
        <v>0</v>
      </c>
      <c r="F1580">
        <v>740.35450745000003</v>
      </c>
      <c r="G1580">
        <v>5.7845744046577714</v>
      </c>
      <c r="H1580">
        <v>751.92365625931552</v>
      </c>
      <c r="I1580">
        <v>728.78535864068454</v>
      </c>
    </row>
    <row r="1581" spans="1:9" x14ac:dyDescent="0.25">
      <c r="A1581" s="1">
        <v>42473</v>
      </c>
      <c r="B1581" t="s">
        <v>0</v>
      </c>
      <c r="C1581">
        <v>751.71997099999999</v>
      </c>
      <c r="D1581">
        <v>-1.161359147133329E-2</v>
      </c>
      <c r="E1581">
        <v>0</v>
      </c>
      <c r="F1581">
        <v>741.52400514999999</v>
      </c>
      <c r="G1581">
        <v>5.5079709555952601</v>
      </c>
      <c r="H1581">
        <v>752.53994706119056</v>
      </c>
      <c r="I1581">
        <v>730.50806323880943</v>
      </c>
    </row>
    <row r="1582" spans="1:9" x14ac:dyDescent="0.25">
      <c r="A1582" s="1">
        <v>42474</v>
      </c>
      <c r="B1582" t="s">
        <v>0</v>
      </c>
      <c r="C1582">
        <v>753.20001200000002</v>
      </c>
      <c r="D1582">
        <v>-1.9688727945210175E-3</v>
      </c>
      <c r="E1582">
        <v>0</v>
      </c>
      <c r="F1582">
        <v>742.37950439999997</v>
      </c>
      <c r="G1582">
        <v>5.250089792568577</v>
      </c>
      <c r="H1582">
        <v>752.87968398513715</v>
      </c>
      <c r="I1582">
        <v>731.8793248148628</v>
      </c>
    </row>
    <row r="1583" spans="1:9" x14ac:dyDescent="0.25">
      <c r="A1583" s="1">
        <v>42475</v>
      </c>
      <c r="B1583" t="s">
        <v>0</v>
      </c>
      <c r="C1583">
        <v>759</v>
      </c>
      <c r="D1583">
        <v>-7.7004619059936824E-3</v>
      </c>
      <c r="E1583">
        <v>0</v>
      </c>
      <c r="F1583">
        <v>743.44050295</v>
      </c>
      <c r="G1583">
        <v>5.7066149064889808</v>
      </c>
      <c r="H1583">
        <v>754.85373276297798</v>
      </c>
      <c r="I1583">
        <v>732.02727313702201</v>
      </c>
    </row>
    <row r="1584" spans="1:9" x14ac:dyDescent="0.25">
      <c r="A1584" s="1">
        <v>42478</v>
      </c>
      <c r="B1584" t="s">
        <v>0</v>
      </c>
      <c r="C1584">
        <v>766.60998500000005</v>
      </c>
      <c r="D1584">
        <v>-1.0026330698287287E-2</v>
      </c>
      <c r="E1584">
        <v>0</v>
      </c>
      <c r="F1584">
        <v>744.89100340000005</v>
      </c>
      <c r="G1584">
        <v>6.7210307544251799</v>
      </c>
      <c r="H1584">
        <v>758.33306490885036</v>
      </c>
      <c r="I1584">
        <v>731.44894189114973</v>
      </c>
    </row>
    <row r="1585" spans="1:9" x14ac:dyDescent="0.25">
      <c r="A1585" s="1">
        <v>42479</v>
      </c>
      <c r="B1585" t="s">
        <v>0</v>
      </c>
      <c r="C1585">
        <v>753.92999299999997</v>
      </c>
      <c r="D1585">
        <v>1.654034287069726E-2</v>
      </c>
      <c r="E1585">
        <v>1</v>
      </c>
      <c r="F1585">
        <v>745.48300170000005</v>
      </c>
      <c r="G1585">
        <v>8.1517157978435062</v>
      </c>
      <c r="H1585">
        <v>761.78643329568706</v>
      </c>
      <c r="I1585">
        <v>729.17957010431303</v>
      </c>
    </row>
    <row r="1586" spans="1:9" x14ac:dyDescent="0.25">
      <c r="A1586" s="1">
        <v>42480</v>
      </c>
      <c r="B1586" t="s">
        <v>0</v>
      </c>
      <c r="C1586">
        <v>752.669983</v>
      </c>
      <c r="D1586">
        <v>1.6712559676611324E-3</v>
      </c>
      <c r="E1586">
        <v>1</v>
      </c>
      <c r="F1586">
        <v>746.07900085000006</v>
      </c>
      <c r="G1586">
        <v>8.3544990676272057</v>
      </c>
      <c r="H1586">
        <v>762.78799898525449</v>
      </c>
      <c r="I1586">
        <v>729.37000271474562</v>
      </c>
    </row>
    <row r="1587" spans="1:9" x14ac:dyDescent="0.25">
      <c r="A1587" s="1">
        <v>42481</v>
      </c>
      <c r="B1587" t="s">
        <v>0</v>
      </c>
      <c r="C1587">
        <v>759.14001499999995</v>
      </c>
      <c r="D1587">
        <v>-8.5961073858846129E-3</v>
      </c>
      <c r="E1587">
        <v>0</v>
      </c>
      <c r="F1587">
        <v>747.13300169999991</v>
      </c>
      <c r="G1587">
        <v>8.4652650428028657</v>
      </c>
      <c r="H1587">
        <v>764.06353178560562</v>
      </c>
      <c r="I1587">
        <v>730.2024716143942</v>
      </c>
    </row>
    <row r="1588" spans="1:9" x14ac:dyDescent="0.25">
      <c r="A1588" s="1">
        <v>42482</v>
      </c>
      <c r="B1588" t="s">
        <v>0</v>
      </c>
      <c r="C1588">
        <v>718.77002000000005</v>
      </c>
      <c r="D1588">
        <v>5.3178589196091718E-2</v>
      </c>
      <c r="E1588">
        <v>1</v>
      </c>
      <c r="F1588">
        <v>746.30650329999992</v>
      </c>
      <c r="G1588">
        <v>8.6854050258126207</v>
      </c>
      <c r="H1588">
        <v>763.67731335162512</v>
      </c>
      <c r="I1588">
        <v>728.93569324837472</v>
      </c>
    </row>
    <row r="1589" spans="1:9" x14ac:dyDescent="0.25">
      <c r="A1589" s="1">
        <v>42485</v>
      </c>
      <c r="B1589" t="s">
        <v>0</v>
      </c>
      <c r="C1589">
        <v>723.15002400000003</v>
      </c>
      <c r="D1589">
        <v>-6.0937488739443877E-3</v>
      </c>
      <c r="E1589">
        <v>0</v>
      </c>
      <c r="F1589">
        <v>745.78750304999994</v>
      </c>
      <c r="G1589">
        <v>10.371178737058447</v>
      </c>
      <c r="H1589">
        <v>766.52986052411688</v>
      </c>
      <c r="I1589">
        <v>725.045145575883</v>
      </c>
    </row>
    <row r="1590" spans="1:9" x14ac:dyDescent="0.25">
      <c r="A1590" s="1">
        <v>42486</v>
      </c>
      <c r="B1590" t="s">
        <v>0</v>
      </c>
      <c r="C1590">
        <v>708.14001499999995</v>
      </c>
      <c r="D1590">
        <v>2.0756424672399763E-2</v>
      </c>
      <c r="E1590">
        <v>1</v>
      </c>
      <c r="F1590">
        <v>743.95600279999996</v>
      </c>
      <c r="G1590">
        <v>11.358971385843072</v>
      </c>
      <c r="H1590">
        <v>766.67394557168609</v>
      </c>
      <c r="I1590">
        <v>721.23806002831384</v>
      </c>
    </row>
    <row r="1591" spans="1:9" x14ac:dyDescent="0.25">
      <c r="A1591" s="1">
        <v>42487</v>
      </c>
      <c r="B1591" t="s">
        <v>0</v>
      </c>
      <c r="C1591">
        <v>705.84002699999996</v>
      </c>
      <c r="D1591">
        <v>3.2479283069464519E-3</v>
      </c>
      <c r="E1591">
        <v>1</v>
      </c>
      <c r="F1591">
        <v>741.72150269999997</v>
      </c>
      <c r="G1591">
        <v>14.075700321678296</v>
      </c>
      <c r="H1591">
        <v>769.8729033433566</v>
      </c>
      <c r="I1591">
        <v>713.57010205664335</v>
      </c>
    </row>
    <row r="1592" spans="1:9" x14ac:dyDescent="0.25">
      <c r="A1592" s="1">
        <v>42488</v>
      </c>
      <c r="B1592" t="s">
        <v>0</v>
      </c>
      <c r="C1592">
        <v>691.02002000000005</v>
      </c>
      <c r="D1592">
        <v>2.0996268889692648E-2</v>
      </c>
      <c r="E1592">
        <v>1</v>
      </c>
      <c r="F1592">
        <v>739.02500310000005</v>
      </c>
      <c r="G1592">
        <v>16.306163183903482</v>
      </c>
      <c r="H1592">
        <v>771.63732946780704</v>
      </c>
      <c r="I1592">
        <v>706.41267673219306</v>
      </c>
    </row>
    <row r="1593" spans="1:9" x14ac:dyDescent="0.25">
      <c r="A1593" s="1">
        <v>42489</v>
      </c>
      <c r="B1593" t="s">
        <v>0</v>
      </c>
      <c r="C1593">
        <v>693.01000999999997</v>
      </c>
      <c r="D1593">
        <v>-2.879786319360068E-3</v>
      </c>
      <c r="E1593">
        <v>0</v>
      </c>
      <c r="F1593">
        <v>736.18000495000001</v>
      </c>
      <c r="G1593">
        <v>19.683841237215439</v>
      </c>
      <c r="H1593">
        <v>775.54768742443093</v>
      </c>
      <c r="I1593">
        <v>696.81232247556909</v>
      </c>
    </row>
    <row r="1594" spans="1:9" x14ac:dyDescent="0.25">
      <c r="A1594" s="1">
        <v>42492</v>
      </c>
      <c r="B1594" t="s">
        <v>0</v>
      </c>
      <c r="C1594">
        <v>698.21002199999998</v>
      </c>
      <c r="D1594">
        <v>-7.5035164354985513E-3</v>
      </c>
      <c r="E1594">
        <v>0</v>
      </c>
      <c r="F1594">
        <v>733.82600715000001</v>
      </c>
      <c r="G1594">
        <v>21.834645258413481</v>
      </c>
      <c r="H1594">
        <v>777.49529766682701</v>
      </c>
      <c r="I1594">
        <v>690.156716633173</v>
      </c>
    </row>
    <row r="1595" spans="1:9" x14ac:dyDescent="0.25">
      <c r="A1595" s="1">
        <v>42493</v>
      </c>
      <c r="B1595" t="s">
        <v>0</v>
      </c>
      <c r="C1595">
        <v>692.35998500000005</v>
      </c>
      <c r="D1595">
        <v>8.3786207812409901E-3</v>
      </c>
      <c r="E1595">
        <v>1</v>
      </c>
      <c r="F1595">
        <v>731.55400699999996</v>
      </c>
      <c r="G1595">
        <v>23.211365896261412</v>
      </c>
      <c r="H1595">
        <v>777.97673879252284</v>
      </c>
      <c r="I1595">
        <v>685.13127520747707</v>
      </c>
    </row>
    <row r="1596" spans="1:9" x14ac:dyDescent="0.25">
      <c r="A1596" s="1">
        <v>42494</v>
      </c>
      <c r="B1596" t="s">
        <v>0</v>
      </c>
      <c r="C1596">
        <v>695.70001200000002</v>
      </c>
      <c r="D1596">
        <v>-4.8241190599713291E-3</v>
      </c>
      <c r="E1596">
        <v>0</v>
      </c>
      <c r="F1596">
        <v>729.0545075</v>
      </c>
      <c r="G1596">
        <v>24.897248012879519</v>
      </c>
      <c r="H1596">
        <v>778.84900352575903</v>
      </c>
      <c r="I1596">
        <v>679.26001147424097</v>
      </c>
    </row>
    <row r="1597" spans="1:9" x14ac:dyDescent="0.25">
      <c r="A1597" s="1">
        <v>42495</v>
      </c>
      <c r="B1597" t="s">
        <v>0</v>
      </c>
      <c r="C1597">
        <v>701.42999299999997</v>
      </c>
      <c r="D1597">
        <v>-8.2362813010846293E-3</v>
      </c>
      <c r="E1597">
        <v>0</v>
      </c>
      <c r="F1597">
        <v>727.11200570000005</v>
      </c>
      <c r="G1597">
        <v>25.796034704927724</v>
      </c>
      <c r="H1597">
        <v>778.70407510985547</v>
      </c>
      <c r="I1597">
        <v>675.51993629014464</v>
      </c>
    </row>
    <row r="1598" spans="1:9" x14ac:dyDescent="0.25">
      <c r="A1598" s="1">
        <v>42496</v>
      </c>
      <c r="B1598" t="s">
        <v>0</v>
      </c>
      <c r="C1598">
        <v>711.11999500000002</v>
      </c>
      <c r="D1598">
        <v>-1.3814638804588514E-2</v>
      </c>
      <c r="E1598">
        <v>0</v>
      </c>
      <c r="F1598">
        <v>725.71050424999999</v>
      </c>
      <c r="G1598">
        <v>26.300343338954125</v>
      </c>
      <c r="H1598">
        <v>778.31119092790823</v>
      </c>
      <c r="I1598">
        <v>673.10981757209174</v>
      </c>
    </row>
    <row r="1599" spans="1:9" x14ac:dyDescent="0.25">
      <c r="A1599" s="1">
        <v>42499</v>
      </c>
      <c r="B1599" t="s">
        <v>0</v>
      </c>
      <c r="C1599">
        <v>712.90002400000003</v>
      </c>
      <c r="D1599">
        <v>-2.5031345096688121E-3</v>
      </c>
      <c r="E1599">
        <v>0</v>
      </c>
      <c r="F1599">
        <v>724.5505066500001</v>
      </c>
      <c r="G1599">
        <v>26.356531783071517</v>
      </c>
      <c r="H1599">
        <v>777.26357021614308</v>
      </c>
      <c r="I1599">
        <v>671.83744308385712</v>
      </c>
    </row>
    <row r="1600" spans="1:9" x14ac:dyDescent="0.25">
      <c r="A1600" s="1">
        <v>42500</v>
      </c>
      <c r="B1600" t="s">
        <v>0</v>
      </c>
      <c r="C1600">
        <v>723.17999299999997</v>
      </c>
      <c r="D1600">
        <v>-1.4419930781205776E-2</v>
      </c>
      <c r="E1600">
        <v>0</v>
      </c>
      <c r="F1600">
        <v>723.55500495000001</v>
      </c>
      <c r="G1600">
        <v>26.377546634445185</v>
      </c>
      <c r="H1600">
        <v>776.3100982188904</v>
      </c>
      <c r="I1600">
        <v>670.79991168110962</v>
      </c>
    </row>
    <row r="1601" spans="1:9" x14ac:dyDescent="0.25">
      <c r="A1601" s="1">
        <v>42501</v>
      </c>
      <c r="B1601" t="s">
        <v>0</v>
      </c>
      <c r="C1601">
        <v>715.28997800000002</v>
      </c>
      <c r="D1601">
        <v>1.0910167698734924E-2</v>
      </c>
      <c r="E1601">
        <v>1</v>
      </c>
      <c r="F1601">
        <v>721.73350529999993</v>
      </c>
      <c r="G1601">
        <v>26.077174018683728</v>
      </c>
      <c r="H1601">
        <v>773.88785333736735</v>
      </c>
      <c r="I1601">
        <v>669.57915726263252</v>
      </c>
    </row>
    <row r="1602" spans="1:9" x14ac:dyDescent="0.25">
      <c r="A1602" s="1">
        <v>42502</v>
      </c>
      <c r="B1602" t="s">
        <v>0</v>
      </c>
      <c r="C1602">
        <v>713.30999799999995</v>
      </c>
      <c r="D1602">
        <v>2.7680801645456141E-3</v>
      </c>
      <c r="E1602">
        <v>1</v>
      </c>
      <c r="F1602">
        <v>719.73900460000004</v>
      </c>
      <c r="G1602">
        <v>25.320220847919988</v>
      </c>
      <c r="H1602">
        <v>770.37944629584001</v>
      </c>
      <c r="I1602">
        <v>669.09856290416008</v>
      </c>
    </row>
    <row r="1603" spans="1:9" x14ac:dyDescent="0.25">
      <c r="A1603" s="1">
        <v>42503</v>
      </c>
      <c r="B1603" t="s">
        <v>0</v>
      </c>
      <c r="C1603">
        <v>710.830017</v>
      </c>
      <c r="D1603">
        <v>3.4767226128238743E-3</v>
      </c>
      <c r="E1603">
        <v>1</v>
      </c>
      <c r="F1603">
        <v>717.33050545000003</v>
      </c>
      <c r="G1603">
        <v>24.351572996933733</v>
      </c>
      <c r="H1603">
        <v>766.03365144386748</v>
      </c>
      <c r="I1603">
        <v>668.62735945613258</v>
      </c>
    </row>
    <row r="1604" spans="1:9" x14ac:dyDescent="0.25">
      <c r="A1604" s="1">
        <v>42506</v>
      </c>
      <c r="B1604" t="s">
        <v>0</v>
      </c>
      <c r="C1604">
        <v>716.48999000000003</v>
      </c>
      <c r="D1604">
        <v>-7.9624845105549843E-3</v>
      </c>
      <c r="E1604">
        <v>0</v>
      </c>
      <c r="F1604">
        <v>714.82450569999992</v>
      </c>
      <c r="G1604">
        <v>22.684237277761799</v>
      </c>
      <c r="H1604">
        <v>760.19298025552348</v>
      </c>
      <c r="I1604">
        <v>669.45603114447636</v>
      </c>
    </row>
    <row r="1605" spans="1:9" x14ac:dyDescent="0.25">
      <c r="A1605" s="1">
        <v>42507</v>
      </c>
      <c r="B1605" t="s">
        <v>0</v>
      </c>
      <c r="C1605">
        <v>706.22997999999995</v>
      </c>
      <c r="D1605">
        <v>1.4319823226002193E-2</v>
      </c>
      <c r="E1605">
        <v>1</v>
      </c>
      <c r="F1605">
        <v>712.43950504999998</v>
      </c>
      <c r="G1605">
        <v>19.654891186558086</v>
      </c>
      <c r="H1605">
        <v>751.74928742311613</v>
      </c>
      <c r="I1605">
        <v>673.12972267688383</v>
      </c>
    </row>
    <row r="1606" spans="1:9" x14ac:dyDescent="0.25">
      <c r="A1606" s="1">
        <v>42508</v>
      </c>
      <c r="B1606" t="s">
        <v>0</v>
      </c>
      <c r="C1606">
        <v>706.63000499999998</v>
      </c>
      <c r="D1606">
        <v>-5.6642313598755448E-4</v>
      </c>
      <c r="E1606">
        <v>0</v>
      </c>
      <c r="F1606">
        <v>710.13750614999992</v>
      </c>
      <c r="G1606">
        <v>17.534789050396771</v>
      </c>
      <c r="H1606">
        <v>745.20708425079351</v>
      </c>
      <c r="I1606">
        <v>675.06792804920633</v>
      </c>
    </row>
    <row r="1607" spans="1:9" x14ac:dyDescent="0.25">
      <c r="A1607" s="1">
        <v>42509</v>
      </c>
      <c r="B1607" t="s">
        <v>0</v>
      </c>
      <c r="C1607">
        <v>700.32000700000003</v>
      </c>
      <c r="D1607">
        <v>8.9297057234357761E-3</v>
      </c>
      <c r="E1607">
        <v>1</v>
      </c>
      <c r="F1607">
        <v>707.19650575000003</v>
      </c>
      <c r="G1607">
        <v>15.042701195622659</v>
      </c>
      <c r="H1607">
        <v>737.28190814124537</v>
      </c>
      <c r="I1607">
        <v>677.11110335875469</v>
      </c>
    </row>
    <row r="1608" spans="1:9" x14ac:dyDescent="0.25">
      <c r="A1608" s="1">
        <v>42510</v>
      </c>
      <c r="B1608" t="s">
        <v>0</v>
      </c>
      <c r="C1608">
        <v>709.73999000000003</v>
      </c>
      <c r="D1608">
        <v>-1.3450969422325817E-2</v>
      </c>
      <c r="E1608">
        <v>0</v>
      </c>
      <c r="F1608">
        <v>706.74500424999997</v>
      </c>
      <c r="G1608">
        <v>9.6925031316985315</v>
      </c>
      <c r="H1608">
        <v>726.130010513397</v>
      </c>
      <c r="I1608">
        <v>687.35999798660293</v>
      </c>
    </row>
    <row r="1609" spans="1:9" x14ac:dyDescent="0.25">
      <c r="A1609" s="1">
        <v>42513</v>
      </c>
      <c r="B1609" t="s">
        <v>0</v>
      </c>
      <c r="C1609">
        <v>704.23999000000003</v>
      </c>
      <c r="D1609">
        <v>7.7493167603533229E-3</v>
      </c>
      <c r="E1609">
        <v>1</v>
      </c>
      <c r="F1609">
        <v>705.79950254999983</v>
      </c>
      <c r="G1609">
        <v>9.3838711209946162</v>
      </c>
      <c r="H1609">
        <v>724.56724479198908</v>
      </c>
      <c r="I1609">
        <v>687.03176030801058</v>
      </c>
    </row>
    <row r="1610" spans="1:9" x14ac:dyDescent="0.25">
      <c r="A1610" s="1">
        <v>42514</v>
      </c>
      <c r="B1610" t="s">
        <v>0</v>
      </c>
      <c r="C1610">
        <v>720.09002699999996</v>
      </c>
      <c r="D1610">
        <v>-2.250658472263117E-2</v>
      </c>
      <c r="E1610">
        <v>0</v>
      </c>
      <c r="F1610">
        <v>706.39700314999993</v>
      </c>
      <c r="G1610">
        <v>8.5722586535155081</v>
      </c>
      <c r="H1610">
        <v>723.54152045703097</v>
      </c>
      <c r="I1610">
        <v>689.25248584296889</v>
      </c>
    </row>
    <row r="1611" spans="1:9" x14ac:dyDescent="0.25">
      <c r="A1611" s="1">
        <v>42515</v>
      </c>
      <c r="B1611" t="s">
        <v>0</v>
      </c>
      <c r="C1611">
        <v>725.27002000000005</v>
      </c>
      <c r="D1611">
        <v>-7.1935352605571939E-3</v>
      </c>
      <c r="E1611">
        <v>0</v>
      </c>
      <c r="F1611">
        <v>707.36850279999987</v>
      </c>
      <c r="G1611">
        <v>9.1460631194570716</v>
      </c>
      <c r="H1611">
        <v>725.66062903891407</v>
      </c>
      <c r="I1611">
        <v>689.07637656108568</v>
      </c>
    </row>
    <row r="1612" spans="1:9" x14ac:dyDescent="0.25">
      <c r="A1612" s="1">
        <v>42516</v>
      </c>
      <c r="B1612" t="s">
        <v>0</v>
      </c>
      <c r="C1612">
        <v>724.11999500000002</v>
      </c>
      <c r="D1612">
        <v>1.5856508173328712E-3</v>
      </c>
      <c r="E1612">
        <v>1</v>
      </c>
      <c r="F1612">
        <v>709.02350154999999</v>
      </c>
      <c r="G1612">
        <v>10.114143336789834</v>
      </c>
      <c r="H1612">
        <v>729.25178822357964</v>
      </c>
      <c r="I1612">
        <v>688.79521487642035</v>
      </c>
    </row>
    <row r="1613" spans="1:9" x14ac:dyDescent="0.25">
      <c r="A1613" s="1">
        <v>42517</v>
      </c>
      <c r="B1613" t="s">
        <v>0</v>
      </c>
      <c r="C1613">
        <v>732.65997300000004</v>
      </c>
      <c r="D1613">
        <v>-1.1793595065690762E-2</v>
      </c>
      <c r="E1613">
        <v>0</v>
      </c>
      <c r="F1613">
        <v>711.00599970000007</v>
      </c>
      <c r="G1613">
        <v>10.070508064646946</v>
      </c>
      <c r="H1613">
        <v>731.14701582929399</v>
      </c>
      <c r="I1613">
        <v>690.86498357070616</v>
      </c>
    </row>
    <row r="1614" spans="1:9" x14ac:dyDescent="0.25">
      <c r="A1614" s="1">
        <v>42521</v>
      </c>
      <c r="B1614" t="s">
        <v>0</v>
      </c>
      <c r="C1614">
        <v>735.71997099999999</v>
      </c>
      <c r="D1614">
        <v>-4.176559540260227E-3</v>
      </c>
      <c r="E1614">
        <v>0</v>
      </c>
      <c r="F1614">
        <v>712.88149714999997</v>
      </c>
      <c r="G1614">
        <v>10.591721724290419</v>
      </c>
      <c r="H1614">
        <v>734.06494059858085</v>
      </c>
      <c r="I1614">
        <v>691.6980537014191</v>
      </c>
    </row>
    <row r="1615" spans="1:9" x14ac:dyDescent="0.25">
      <c r="A1615" s="1">
        <v>42522</v>
      </c>
      <c r="B1615" t="s">
        <v>0</v>
      </c>
      <c r="C1615">
        <v>734.15002400000003</v>
      </c>
      <c r="D1615">
        <v>2.1338920538830344E-3</v>
      </c>
      <c r="E1615">
        <v>1</v>
      </c>
      <c r="F1615">
        <v>714.9709991000002</v>
      </c>
      <c r="G1615">
        <v>11.483369397518464</v>
      </c>
      <c r="H1615">
        <v>737.93773789503712</v>
      </c>
      <c r="I1615">
        <v>692.00426030496328</v>
      </c>
    </row>
    <row r="1616" spans="1:9" x14ac:dyDescent="0.25">
      <c r="A1616" s="1">
        <v>42523</v>
      </c>
      <c r="B1616" t="s">
        <v>0</v>
      </c>
      <c r="C1616">
        <v>730.40002400000003</v>
      </c>
      <c r="D1616">
        <v>5.1079478000534669E-3</v>
      </c>
      <c r="E1616">
        <v>1</v>
      </c>
      <c r="F1616">
        <v>716.70599970000012</v>
      </c>
      <c r="G1616">
        <v>11.300745624784442</v>
      </c>
      <c r="H1616">
        <v>739.307490949569</v>
      </c>
      <c r="I1616">
        <v>694.10450845043124</v>
      </c>
    </row>
    <row r="1617" spans="1:9" x14ac:dyDescent="0.25">
      <c r="A1617" s="1">
        <v>42524</v>
      </c>
      <c r="B1617" t="s">
        <v>0</v>
      </c>
      <c r="C1617">
        <v>722.34002699999996</v>
      </c>
      <c r="D1617">
        <v>1.1035044818125672E-2</v>
      </c>
      <c r="E1617">
        <v>1</v>
      </c>
      <c r="F1617">
        <v>717.75150140000005</v>
      </c>
      <c r="G1617">
        <v>10.77560506860795</v>
      </c>
      <c r="H1617">
        <v>739.30271153721594</v>
      </c>
      <c r="I1617">
        <v>696.20029126278416</v>
      </c>
    </row>
    <row r="1618" spans="1:9" x14ac:dyDescent="0.25">
      <c r="A1618" s="1">
        <v>42527</v>
      </c>
      <c r="B1618" t="s">
        <v>0</v>
      </c>
      <c r="C1618">
        <v>716.54998799999998</v>
      </c>
      <c r="D1618">
        <v>8.0156696065244899E-3</v>
      </c>
      <c r="E1618">
        <v>1</v>
      </c>
      <c r="F1618">
        <v>718.02300105000006</v>
      </c>
      <c r="G1618">
        <v>10.194141611292661</v>
      </c>
      <c r="H1618">
        <v>738.41128427258536</v>
      </c>
      <c r="I1618">
        <v>697.63471782741476</v>
      </c>
    </row>
    <row r="1619" spans="1:9" x14ac:dyDescent="0.25">
      <c r="A1619" s="1">
        <v>42528</v>
      </c>
      <c r="B1619" t="s">
        <v>0</v>
      </c>
      <c r="C1619">
        <v>716.65002400000003</v>
      </c>
      <c r="D1619">
        <v>-1.396078454753188E-4</v>
      </c>
      <c r="E1619">
        <v>0</v>
      </c>
      <c r="F1619">
        <v>718.21050105000018</v>
      </c>
      <c r="G1619">
        <v>10.083729130983501</v>
      </c>
      <c r="H1619">
        <v>738.37795931196717</v>
      </c>
      <c r="I1619">
        <v>698.04304278803318</v>
      </c>
    </row>
    <row r="1620" spans="1:9" x14ac:dyDescent="0.25">
      <c r="A1620" s="1">
        <v>42529</v>
      </c>
      <c r="B1620" t="s">
        <v>0</v>
      </c>
      <c r="C1620">
        <v>728.28002900000001</v>
      </c>
      <c r="D1620">
        <v>-1.6228290812141218E-2</v>
      </c>
      <c r="E1620">
        <v>0</v>
      </c>
      <c r="F1620">
        <v>718.46550285000001</v>
      </c>
      <c r="G1620">
        <v>10.022889563958014</v>
      </c>
      <c r="H1620">
        <v>738.51128197791604</v>
      </c>
      <c r="I1620">
        <v>698.41972372208397</v>
      </c>
    </row>
    <row r="1621" spans="1:9" x14ac:dyDescent="0.25">
      <c r="A1621" s="1">
        <v>42530</v>
      </c>
      <c r="B1621" t="s">
        <v>0</v>
      </c>
      <c r="C1621">
        <v>728.580017</v>
      </c>
      <c r="D1621">
        <v>-4.1191298409198147E-4</v>
      </c>
      <c r="E1621">
        <v>0</v>
      </c>
      <c r="F1621">
        <v>719.13000480000005</v>
      </c>
      <c r="G1621">
        <v>10.227648965504326</v>
      </c>
      <c r="H1621">
        <v>739.58530273100871</v>
      </c>
      <c r="I1621">
        <v>698.67470686899139</v>
      </c>
    </row>
    <row r="1622" spans="1:9" x14ac:dyDescent="0.25">
      <c r="A1622" s="1">
        <v>42531</v>
      </c>
      <c r="B1622" t="s">
        <v>0</v>
      </c>
      <c r="C1622">
        <v>719.40997300000004</v>
      </c>
      <c r="D1622">
        <v>1.2586186535500275E-2</v>
      </c>
      <c r="E1622">
        <v>1</v>
      </c>
      <c r="F1622">
        <v>719.43500355000003</v>
      </c>
      <c r="G1622">
        <v>10.412764946778294</v>
      </c>
      <c r="H1622">
        <v>740.2605334435566</v>
      </c>
      <c r="I1622">
        <v>698.60947365644347</v>
      </c>
    </row>
    <row r="1623" spans="1:9" x14ac:dyDescent="0.25">
      <c r="A1623" s="1">
        <v>42534</v>
      </c>
      <c r="B1623" t="s">
        <v>0</v>
      </c>
      <c r="C1623">
        <v>718.35998500000005</v>
      </c>
      <c r="D1623">
        <v>1.4595127109809816E-3</v>
      </c>
      <c r="E1623">
        <v>1</v>
      </c>
      <c r="F1623">
        <v>719.81150194999998</v>
      </c>
      <c r="G1623">
        <v>10.329166063100271</v>
      </c>
      <c r="H1623">
        <v>740.46983407620053</v>
      </c>
      <c r="I1623">
        <v>699.15316982379943</v>
      </c>
    </row>
    <row r="1624" spans="1:9" x14ac:dyDescent="0.25">
      <c r="A1624" s="1">
        <v>42535</v>
      </c>
      <c r="B1624" t="s">
        <v>0</v>
      </c>
      <c r="C1624">
        <v>718.27002000000005</v>
      </c>
      <c r="D1624">
        <v>1.2523665276262082E-4</v>
      </c>
      <c r="E1624">
        <v>1</v>
      </c>
      <c r="F1624">
        <v>719.90050344999997</v>
      </c>
      <c r="G1624">
        <v>10.137632085628164</v>
      </c>
      <c r="H1624">
        <v>740.17576762125634</v>
      </c>
      <c r="I1624">
        <v>699.62523927874361</v>
      </c>
    </row>
    <row r="1625" spans="1:9" x14ac:dyDescent="0.25">
      <c r="A1625" s="1">
        <v>42536</v>
      </c>
      <c r="B1625" t="s">
        <v>0</v>
      </c>
      <c r="C1625">
        <v>718.919983</v>
      </c>
      <c r="D1625">
        <v>-9.0490063889894356E-4</v>
      </c>
      <c r="E1625">
        <v>0</v>
      </c>
      <c r="F1625">
        <v>720.53500359999998</v>
      </c>
      <c r="G1625">
        <v>10.135359809020708</v>
      </c>
      <c r="H1625">
        <v>740.80572321804141</v>
      </c>
      <c r="I1625">
        <v>700.26428398195856</v>
      </c>
    </row>
    <row r="1626" spans="1:9" x14ac:dyDescent="0.25">
      <c r="A1626" s="1">
        <v>42537</v>
      </c>
      <c r="B1626" t="s">
        <v>0</v>
      </c>
      <c r="C1626">
        <v>710.35998500000005</v>
      </c>
      <c r="D1626">
        <v>1.1906746512010574E-2</v>
      </c>
      <c r="E1626">
        <v>1</v>
      </c>
      <c r="F1626">
        <v>720.72150260000012</v>
      </c>
      <c r="G1626">
        <v>9.6259560513440228</v>
      </c>
      <c r="H1626">
        <v>739.97341470268816</v>
      </c>
      <c r="I1626">
        <v>701.46959049731208</v>
      </c>
    </row>
    <row r="1627" spans="1:9" x14ac:dyDescent="0.25">
      <c r="A1627" s="1">
        <v>42538</v>
      </c>
      <c r="B1627" t="s">
        <v>0</v>
      </c>
      <c r="C1627">
        <v>691.71997099999999</v>
      </c>
      <c r="D1627">
        <v>2.6240236490798482E-2</v>
      </c>
      <c r="E1627">
        <v>1</v>
      </c>
      <c r="F1627">
        <v>720.29150080000011</v>
      </c>
      <c r="G1627">
        <v>9.3959282973331</v>
      </c>
      <c r="H1627">
        <v>739.08335739466634</v>
      </c>
      <c r="I1627">
        <v>701.49964420533388</v>
      </c>
    </row>
    <row r="1628" spans="1:9" x14ac:dyDescent="0.25">
      <c r="A1628" s="1">
        <v>42541</v>
      </c>
      <c r="B1628" t="s">
        <v>0</v>
      </c>
      <c r="C1628">
        <v>693.71002199999998</v>
      </c>
      <c r="D1628">
        <v>-2.8769604513847326E-3</v>
      </c>
      <c r="E1628">
        <v>0</v>
      </c>
      <c r="F1628">
        <v>719.49000240000009</v>
      </c>
      <c r="G1628">
        <v>10.478523549587985</v>
      </c>
      <c r="H1628">
        <v>740.44704949917605</v>
      </c>
      <c r="I1628">
        <v>698.53295530082414</v>
      </c>
    </row>
    <row r="1629" spans="1:9" x14ac:dyDescent="0.25">
      <c r="A1629" s="1">
        <v>42542</v>
      </c>
      <c r="B1629" t="s">
        <v>0</v>
      </c>
      <c r="C1629">
        <v>695.94000200000005</v>
      </c>
      <c r="D1629">
        <v>-3.2145708282704738E-3</v>
      </c>
      <c r="E1629">
        <v>0</v>
      </c>
      <c r="F1629">
        <v>719.07500300000015</v>
      </c>
      <c r="G1629">
        <v>11.766431602762239</v>
      </c>
      <c r="H1629">
        <v>742.6078662055246</v>
      </c>
      <c r="I1629">
        <v>695.5421397944757</v>
      </c>
    </row>
    <row r="1630" spans="1:9" x14ac:dyDescent="0.25">
      <c r="A1630" s="1">
        <v>42543</v>
      </c>
      <c r="B1630" t="s">
        <v>0</v>
      </c>
      <c r="C1630">
        <v>697.46002199999998</v>
      </c>
      <c r="D1630">
        <v>-2.1841250619761489E-3</v>
      </c>
      <c r="E1630">
        <v>0</v>
      </c>
      <c r="F1630">
        <v>717.94350275000011</v>
      </c>
      <c r="G1630">
        <v>12.469432164546369</v>
      </c>
      <c r="H1630">
        <v>742.88236707909289</v>
      </c>
      <c r="I1630">
        <v>693.00463842090733</v>
      </c>
    </row>
    <row r="1631" spans="1:9" x14ac:dyDescent="0.25">
      <c r="A1631" s="1">
        <v>42544</v>
      </c>
      <c r="B1631" t="s">
        <v>0</v>
      </c>
      <c r="C1631">
        <v>701.86999500000002</v>
      </c>
      <c r="D1631">
        <v>-6.3229043398849265E-3</v>
      </c>
      <c r="E1631">
        <v>0</v>
      </c>
      <c r="F1631">
        <v>716.77350150000018</v>
      </c>
      <c r="G1631">
        <v>13.326811782838915</v>
      </c>
      <c r="H1631">
        <v>743.42712506567796</v>
      </c>
      <c r="I1631">
        <v>690.1198779343224</v>
      </c>
    </row>
    <row r="1632" spans="1:9" x14ac:dyDescent="0.25">
      <c r="A1632" s="1">
        <v>42545</v>
      </c>
      <c r="B1632" t="s">
        <v>0</v>
      </c>
      <c r="C1632">
        <v>675.21997099999999</v>
      </c>
      <c r="D1632">
        <v>3.7970028908273862E-2</v>
      </c>
      <c r="E1632">
        <v>1</v>
      </c>
      <c r="F1632">
        <v>714.32850030000009</v>
      </c>
      <c r="G1632">
        <v>13.823101212533697</v>
      </c>
      <c r="H1632">
        <v>741.97470272506746</v>
      </c>
      <c r="I1632">
        <v>686.68229787493271</v>
      </c>
    </row>
    <row r="1633" spans="1:9" x14ac:dyDescent="0.25">
      <c r="A1633" s="1">
        <v>42548</v>
      </c>
      <c r="B1633" t="s">
        <v>0</v>
      </c>
      <c r="C1633">
        <v>668.26000999999997</v>
      </c>
      <c r="D1633">
        <v>1.0307694231395921E-2</v>
      </c>
      <c r="E1633">
        <v>1</v>
      </c>
      <c r="F1633">
        <v>711.10850215000005</v>
      </c>
      <c r="G1633">
        <v>16.526545313385849</v>
      </c>
      <c r="H1633">
        <v>744.16159277677173</v>
      </c>
      <c r="I1633">
        <v>678.05541152322837</v>
      </c>
    </row>
    <row r="1634" spans="1:9" x14ac:dyDescent="0.25">
      <c r="A1634" s="1">
        <v>42549</v>
      </c>
      <c r="B1634" t="s">
        <v>0</v>
      </c>
      <c r="C1634">
        <v>680.03997800000002</v>
      </c>
      <c r="D1634">
        <v>-1.7627821242812442E-2</v>
      </c>
      <c r="E1634">
        <v>0</v>
      </c>
      <c r="F1634">
        <v>708.32450250000011</v>
      </c>
      <c r="G1634">
        <v>18.693681371872859</v>
      </c>
      <c r="H1634">
        <v>745.71186524374582</v>
      </c>
      <c r="I1634">
        <v>670.9371397562544</v>
      </c>
    </row>
    <row r="1635" spans="1:9" x14ac:dyDescent="0.25">
      <c r="A1635" s="1">
        <v>42550</v>
      </c>
      <c r="B1635" t="s">
        <v>0</v>
      </c>
      <c r="C1635">
        <v>684.10998500000005</v>
      </c>
      <c r="D1635">
        <v>-5.9849525493632554E-3</v>
      </c>
      <c r="E1635">
        <v>0</v>
      </c>
      <c r="F1635">
        <v>705.8225005500002</v>
      </c>
      <c r="G1635">
        <v>18.925878277737606</v>
      </c>
      <c r="H1635">
        <v>743.67425710547536</v>
      </c>
      <c r="I1635">
        <v>667.97074399452504</v>
      </c>
    </row>
    <row r="1636" spans="1:9" x14ac:dyDescent="0.25">
      <c r="A1636" s="1">
        <v>42551</v>
      </c>
      <c r="B1636" t="s">
        <v>0</v>
      </c>
      <c r="C1636">
        <v>692.09997599999997</v>
      </c>
      <c r="D1636">
        <v>-1.167939538260053E-2</v>
      </c>
      <c r="E1636">
        <v>0</v>
      </c>
      <c r="F1636">
        <v>703.90749815000004</v>
      </c>
      <c r="G1636">
        <v>18.58239328263938</v>
      </c>
      <c r="H1636">
        <v>741.07228471527878</v>
      </c>
      <c r="I1636">
        <v>666.74271158472129</v>
      </c>
    </row>
    <row r="1637" spans="1:9" x14ac:dyDescent="0.25">
      <c r="A1637" s="1">
        <v>42552</v>
      </c>
      <c r="B1637" t="s">
        <v>0</v>
      </c>
      <c r="C1637">
        <v>699.21002199999998</v>
      </c>
      <c r="D1637">
        <v>-1.0273148745203846E-2</v>
      </c>
      <c r="E1637">
        <v>0</v>
      </c>
      <c r="F1637">
        <v>702.75099790000002</v>
      </c>
      <c r="G1637">
        <v>17.847157073590807</v>
      </c>
      <c r="H1637">
        <v>738.44531204718169</v>
      </c>
      <c r="I1637">
        <v>667.05668375281834</v>
      </c>
    </row>
    <row r="1638" spans="1:9" x14ac:dyDescent="0.25">
      <c r="A1638" s="1">
        <v>42556</v>
      </c>
      <c r="B1638" t="s">
        <v>0</v>
      </c>
      <c r="C1638">
        <v>694.95001200000002</v>
      </c>
      <c r="D1638">
        <v>6.0926043191068075E-3</v>
      </c>
      <c r="E1638">
        <v>1</v>
      </c>
      <c r="F1638">
        <v>701.67099910000002</v>
      </c>
      <c r="G1638">
        <v>17.353035339087242</v>
      </c>
      <c r="H1638">
        <v>736.37706977817447</v>
      </c>
      <c r="I1638">
        <v>666.96492842182556</v>
      </c>
    </row>
    <row r="1639" spans="1:9" x14ac:dyDescent="0.25">
      <c r="A1639" s="1">
        <v>42557</v>
      </c>
      <c r="B1639" t="s">
        <v>0</v>
      </c>
      <c r="C1639">
        <v>697.77002000000005</v>
      </c>
      <c r="D1639">
        <v>-4.0578573297442144E-3</v>
      </c>
      <c r="E1639">
        <v>0</v>
      </c>
      <c r="F1639">
        <v>700.72699890000001</v>
      </c>
      <c r="G1639">
        <v>17.123327354892592</v>
      </c>
      <c r="H1639">
        <v>734.97365360978517</v>
      </c>
      <c r="I1639">
        <v>666.48034419021485</v>
      </c>
    </row>
    <row r="1640" spans="1:9" x14ac:dyDescent="0.25">
      <c r="A1640" s="1">
        <v>42558</v>
      </c>
      <c r="B1640" t="s">
        <v>0</v>
      </c>
      <c r="C1640">
        <v>695.35998500000005</v>
      </c>
      <c r="D1640">
        <v>3.4539102152884031E-3</v>
      </c>
      <c r="E1640">
        <v>1</v>
      </c>
      <c r="F1640">
        <v>699.08099669999979</v>
      </c>
      <c r="G1640">
        <v>16.842734716761683</v>
      </c>
      <c r="H1640">
        <v>732.76646613352318</v>
      </c>
      <c r="I1640">
        <v>665.39552726647639</v>
      </c>
    </row>
    <row r="1641" spans="1:9" x14ac:dyDescent="0.25">
      <c r="A1641" s="1">
        <v>42559</v>
      </c>
      <c r="B1641" t="s">
        <v>0</v>
      </c>
      <c r="C1641">
        <v>705.63000499999998</v>
      </c>
      <c r="D1641">
        <v>-1.4769357198487529E-2</v>
      </c>
      <c r="E1641">
        <v>0</v>
      </c>
      <c r="F1641">
        <v>697.93349609999996</v>
      </c>
      <c r="G1641">
        <v>15.59030443599366</v>
      </c>
      <c r="H1641">
        <v>729.11410497198733</v>
      </c>
      <c r="I1641">
        <v>666.75288722801258</v>
      </c>
    </row>
    <row r="1642" spans="1:9" x14ac:dyDescent="0.25">
      <c r="A1642" s="1">
        <v>42562</v>
      </c>
      <c r="B1642" t="s">
        <v>0</v>
      </c>
      <c r="C1642">
        <v>715.09002699999996</v>
      </c>
      <c r="D1642">
        <v>-1.3406490558745416E-2</v>
      </c>
      <c r="E1642">
        <v>0</v>
      </c>
      <c r="F1642">
        <v>697.71749879999993</v>
      </c>
      <c r="G1642">
        <v>14.11047828881973</v>
      </c>
      <c r="H1642">
        <v>725.93845537763934</v>
      </c>
      <c r="I1642">
        <v>669.49654222236052</v>
      </c>
    </row>
    <row r="1643" spans="1:9" x14ac:dyDescent="0.25">
      <c r="A1643" s="1">
        <v>42563</v>
      </c>
      <c r="B1643" t="s">
        <v>0</v>
      </c>
      <c r="C1643">
        <v>720.64001499999995</v>
      </c>
      <c r="D1643">
        <v>-7.7612437461667821E-3</v>
      </c>
      <c r="E1643">
        <v>0</v>
      </c>
      <c r="F1643">
        <v>697.83150030000002</v>
      </c>
      <c r="G1643">
        <v>13.808716770155058</v>
      </c>
      <c r="H1643">
        <v>725.44893384031013</v>
      </c>
      <c r="I1643">
        <v>670.2140667596899</v>
      </c>
    </row>
    <row r="1644" spans="1:9" x14ac:dyDescent="0.25">
      <c r="A1644" s="1">
        <v>42564</v>
      </c>
      <c r="B1644" t="s">
        <v>0</v>
      </c>
      <c r="C1644">
        <v>716.97997999999995</v>
      </c>
      <c r="D1644">
        <v>5.078867289932538E-3</v>
      </c>
      <c r="E1644">
        <v>1</v>
      </c>
      <c r="F1644">
        <v>697.76699829999995</v>
      </c>
      <c r="G1644">
        <v>13.986611536875699</v>
      </c>
      <c r="H1644">
        <v>725.74022137375141</v>
      </c>
      <c r="I1644">
        <v>669.7937752262485</v>
      </c>
    </row>
    <row r="1645" spans="1:9" x14ac:dyDescent="0.25">
      <c r="A1645" s="1">
        <v>42565</v>
      </c>
      <c r="B1645" t="s">
        <v>0</v>
      </c>
      <c r="C1645">
        <v>720.95001200000002</v>
      </c>
      <c r="D1645">
        <v>-5.5371587920768168E-3</v>
      </c>
      <c r="E1645">
        <v>0</v>
      </c>
      <c r="F1645">
        <v>697.86849975000007</v>
      </c>
      <c r="G1645">
        <v>13.895101409364006</v>
      </c>
      <c r="H1645">
        <v>725.65870256872813</v>
      </c>
      <c r="I1645">
        <v>670.07829693127201</v>
      </c>
    </row>
    <row r="1646" spans="1:9" x14ac:dyDescent="0.25">
      <c r="A1646" s="1">
        <v>42566</v>
      </c>
      <c r="B1646" t="s">
        <v>0</v>
      </c>
      <c r="C1646">
        <v>719.84997599999997</v>
      </c>
      <c r="D1646">
        <v>1.5258145248495335E-3</v>
      </c>
      <c r="E1646">
        <v>1</v>
      </c>
      <c r="F1646">
        <v>698.34299930000009</v>
      </c>
      <c r="G1646">
        <v>14.063376409509678</v>
      </c>
      <c r="H1646">
        <v>726.4697521190194</v>
      </c>
      <c r="I1646">
        <v>670.21624648098077</v>
      </c>
    </row>
    <row r="1647" spans="1:9" x14ac:dyDescent="0.25">
      <c r="A1647" s="1">
        <v>42569</v>
      </c>
      <c r="B1647" t="s">
        <v>0</v>
      </c>
      <c r="C1647">
        <v>733.78002900000001</v>
      </c>
      <c r="D1647">
        <v>-1.9351328005045378E-2</v>
      </c>
      <c r="E1647">
        <v>0</v>
      </c>
      <c r="F1647">
        <v>700.44600220000007</v>
      </c>
      <c r="G1647">
        <v>14.768489506580513</v>
      </c>
      <c r="H1647">
        <v>729.98298121316111</v>
      </c>
      <c r="I1647">
        <v>670.90902318683902</v>
      </c>
    </row>
    <row r="1648" spans="1:9" x14ac:dyDescent="0.25">
      <c r="A1648" s="1">
        <v>42570</v>
      </c>
      <c r="B1648" t="s">
        <v>0</v>
      </c>
      <c r="C1648">
        <v>736.96002199999998</v>
      </c>
      <c r="D1648">
        <v>-4.3337142935515457E-3</v>
      </c>
      <c r="E1648">
        <v>0</v>
      </c>
      <c r="F1648">
        <v>702.60850220000009</v>
      </c>
      <c r="G1648">
        <v>16.569109048647309</v>
      </c>
      <c r="H1648">
        <v>735.7467202972947</v>
      </c>
      <c r="I1648">
        <v>669.47028410270548</v>
      </c>
    </row>
    <row r="1649" spans="1:9" x14ac:dyDescent="0.25">
      <c r="A1649" s="1">
        <v>42571</v>
      </c>
      <c r="B1649" t="s">
        <v>0</v>
      </c>
      <c r="C1649">
        <v>741.19000200000005</v>
      </c>
      <c r="D1649">
        <v>-5.7397686085067842E-3</v>
      </c>
      <c r="E1649">
        <v>0</v>
      </c>
      <c r="F1649">
        <v>704.87100219999991</v>
      </c>
      <c r="G1649">
        <v>18.294711778297174</v>
      </c>
      <c r="H1649">
        <v>741.4604257565943</v>
      </c>
      <c r="I1649">
        <v>668.28157864340551</v>
      </c>
    </row>
    <row r="1650" spans="1:9" x14ac:dyDescent="0.25">
      <c r="A1650" s="1">
        <v>42572</v>
      </c>
      <c r="B1650" t="s">
        <v>0</v>
      </c>
      <c r="C1650">
        <v>738.63000499999998</v>
      </c>
      <c r="D1650">
        <v>3.4539011496273076E-3</v>
      </c>
      <c r="E1650">
        <v>1</v>
      </c>
      <c r="F1650">
        <v>706.92950135000012</v>
      </c>
      <c r="G1650">
        <v>20.022468551517743</v>
      </c>
      <c r="H1650">
        <v>746.97443845303565</v>
      </c>
      <c r="I1650">
        <v>666.8845642469646</v>
      </c>
    </row>
    <row r="1651" spans="1:9" x14ac:dyDescent="0.25">
      <c r="A1651" s="1">
        <v>42573</v>
      </c>
      <c r="B1651" t="s">
        <v>0</v>
      </c>
      <c r="C1651">
        <v>742.73999000000003</v>
      </c>
      <c r="D1651">
        <v>-5.5643352858378015E-3</v>
      </c>
      <c r="E1651">
        <v>0</v>
      </c>
      <c r="F1651">
        <v>708.97300109999992</v>
      </c>
      <c r="G1651">
        <v>21.232938627282511</v>
      </c>
      <c r="H1651">
        <v>751.43887835456496</v>
      </c>
      <c r="I1651">
        <v>666.50712384543488</v>
      </c>
    </row>
    <row r="1652" spans="1:9" x14ac:dyDescent="0.25">
      <c r="A1652" s="1">
        <v>42576</v>
      </c>
      <c r="B1652" t="s">
        <v>0</v>
      </c>
      <c r="C1652">
        <v>739.77002000000005</v>
      </c>
      <c r="D1652">
        <v>3.9986671513405235E-3</v>
      </c>
      <c r="E1652">
        <v>1</v>
      </c>
      <c r="F1652">
        <v>712.20050354999989</v>
      </c>
      <c r="G1652">
        <v>22.709960303807353</v>
      </c>
      <c r="H1652">
        <v>757.62042415761459</v>
      </c>
      <c r="I1652">
        <v>666.78058294238519</v>
      </c>
    </row>
    <row r="1653" spans="1:9" x14ac:dyDescent="0.25">
      <c r="A1653" s="1">
        <v>42577</v>
      </c>
      <c r="B1653" t="s">
        <v>0</v>
      </c>
      <c r="C1653">
        <v>738.419983</v>
      </c>
      <c r="D1653">
        <v>1.8249414865447546E-3</v>
      </c>
      <c r="E1653">
        <v>1</v>
      </c>
      <c r="F1653">
        <v>715.70850219999988</v>
      </c>
      <c r="G1653">
        <v>22.308614345341308</v>
      </c>
      <c r="H1653">
        <v>760.32573089068251</v>
      </c>
      <c r="I1653">
        <v>671.09127350931726</v>
      </c>
    </row>
    <row r="1654" spans="1:9" x14ac:dyDescent="0.25">
      <c r="A1654" s="1">
        <v>42578</v>
      </c>
      <c r="B1654" t="s">
        <v>0</v>
      </c>
      <c r="C1654">
        <v>741.77002000000005</v>
      </c>
      <c r="D1654">
        <v>-4.5367637349002284E-3</v>
      </c>
      <c r="E1654">
        <v>0</v>
      </c>
      <c r="F1654">
        <v>718.79500429999985</v>
      </c>
      <c r="G1654">
        <v>20.504228018295091</v>
      </c>
      <c r="H1654">
        <v>759.80346033658998</v>
      </c>
      <c r="I1654">
        <v>677.78654826340971</v>
      </c>
    </row>
    <row r="1655" spans="1:9" x14ac:dyDescent="0.25">
      <c r="A1655" s="1">
        <v>42579</v>
      </c>
      <c r="B1655" t="s">
        <v>0</v>
      </c>
      <c r="C1655">
        <v>745.90997300000004</v>
      </c>
      <c r="D1655">
        <v>-5.5811813478252887E-3</v>
      </c>
      <c r="E1655">
        <v>0</v>
      </c>
      <c r="F1655">
        <v>721.88500369999986</v>
      </c>
      <c r="G1655">
        <v>19.526044839222195</v>
      </c>
      <c r="H1655">
        <v>760.93709337844427</v>
      </c>
      <c r="I1655">
        <v>682.83291402155544</v>
      </c>
    </row>
    <row r="1656" spans="1:9" x14ac:dyDescent="0.25">
      <c r="A1656" s="1">
        <v>42580</v>
      </c>
      <c r="B1656" t="s">
        <v>0</v>
      </c>
      <c r="C1656">
        <v>768.78997800000002</v>
      </c>
      <c r="D1656">
        <v>-3.0673949710014109E-2</v>
      </c>
      <c r="E1656">
        <v>0</v>
      </c>
      <c r="F1656">
        <v>725.71950379999987</v>
      </c>
      <c r="G1656">
        <v>18.801121607080933</v>
      </c>
      <c r="H1656">
        <v>763.3217470141617</v>
      </c>
      <c r="I1656">
        <v>688.11726058583804</v>
      </c>
    </row>
    <row r="1657" spans="1:9" x14ac:dyDescent="0.25">
      <c r="A1657" s="1">
        <v>42583</v>
      </c>
      <c r="B1657" t="s">
        <v>0</v>
      </c>
      <c r="C1657">
        <v>772.88000499999998</v>
      </c>
      <c r="D1657">
        <v>-5.3200836600915775E-3</v>
      </c>
      <c r="E1657">
        <v>0</v>
      </c>
      <c r="F1657">
        <v>729.40300294999986</v>
      </c>
      <c r="G1657">
        <v>20.082081430673238</v>
      </c>
      <c r="H1657">
        <v>769.56716581134629</v>
      </c>
      <c r="I1657">
        <v>689.23884008865343</v>
      </c>
    </row>
    <row r="1658" spans="1:9" x14ac:dyDescent="0.25">
      <c r="A1658" s="1">
        <v>42584</v>
      </c>
      <c r="B1658" t="s">
        <v>0</v>
      </c>
      <c r="C1658">
        <v>771.07000700000003</v>
      </c>
      <c r="D1658">
        <v>2.3418874706170596E-3</v>
      </c>
      <c r="E1658">
        <v>1</v>
      </c>
      <c r="F1658">
        <v>733.20900269999981</v>
      </c>
      <c r="G1658">
        <v>21.603409664116043</v>
      </c>
      <c r="H1658">
        <v>776.4158220282319</v>
      </c>
      <c r="I1658">
        <v>690.00218337176773</v>
      </c>
    </row>
    <row r="1659" spans="1:9" x14ac:dyDescent="0.25">
      <c r="A1659" s="1">
        <v>42585</v>
      </c>
      <c r="B1659" t="s">
        <v>0</v>
      </c>
      <c r="C1659">
        <v>773.17999299999997</v>
      </c>
      <c r="D1659">
        <v>-2.7364389495698996E-3</v>
      </c>
      <c r="E1659">
        <v>0</v>
      </c>
      <c r="F1659">
        <v>736.97950134999996</v>
      </c>
      <c r="G1659">
        <v>21.895415799805495</v>
      </c>
      <c r="H1659">
        <v>780.77033294961097</v>
      </c>
      <c r="I1659">
        <v>693.18866975038895</v>
      </c>
    </row>
    <row r="1660" spans="1:9" x14ac:dyDescent="0.25">
      <c r="A1660" s="1">
        <v>42586</v>
      </c>
      <c r="B1660" t="s">
        <v>0</v>
      </c>
      <c r="C1660">
        <v>771.60998500000005</v>
      </c>
      <c r="D1660">
        <v>2.0305853930701959E-3</v>
      </c>
      <c r="E1660">
        <v>1</v>
      </c>
      <c r="F1660">
        <v>740.79200134999996</v>
      </c>
      <c r="G1660">
        <v>21.968135963132109</v>
      </c>
      <c r="H1660">
        <v>784.72827327626419</v>
      </c>
      <c r="I1660">
        <v>696.85572942373574</v>
      </c>
    </row>
    <row r="1661" spans="1:9" x14ac:dyDescent="0.25">
      <c r="A1661" s="1">
        <v>42587</v>
      </c>
      <c r="B1661" t="s">
        <v>0</v>
      </c>
      <c r="C1661">
        <v>782.21997099999999</v>
      </c>
      <c r="D1661">
        <v>-1.3750451920344103E-2</v>
      </c>
      <c r="E1661">
        <v>0</v>
      </c>
      <c r="F1661">
        <v>744.62149964999981</v>
      </c>
      <c r="G1661">
        <v>21.013044883015176</v>
      </c>
      <c r="H1661">
        <v>786.6475894160302</v>
      </c>
      <c r="I1661">
        <v>702.59540988396941</v>
      </c>
    </row>
    <row r="1662" spans="1:9" x14ac:dyDescent="0.25">
      <c r="A1662" s="1">
        <v>42590</v>
      </c>
      <c r="B1662" t="s">
        <v>0</v>
      </c>
      <c r="C1662">
        <v>781.76000999999997</v>
      </c>
      <c r="D1662">
        <v>5.8802001617524688E-4</v>
      </c>
      <c r="E1662">
        <v>1</v>
      </c>
      <c r="F1662">
        <v>747.95499879999988</v>
      </c>
      <c r="G1662">
        <v>21.150075448552215</v>
      </c>
      <c r="H1662">
        <v>790.25514969710434</v>
      </c>
      <c r="I1662">
        <v>705.65484790289543</v>
      </c>
    </row>
    <row r="1663" spans="1:9" x14ac:dyDescent="0.25">
      <c r="A1663" s="1">
        <v>42591</v>
      </c>
      <c r="B1663" t="s">
        <v>0</v>
      </c>
      <c r="C1663">
        <v>784.26000999999997</v>
      </c>
      <c r="D1663">
        <v>-3.1979123618768885E-3</v>
      </c>
      <c r="E1663">
        <v>0</v>
      </c>
      <c r="F1663">
        <v>751.13599854999984</v>
      </c>
      <c r="G1663">
        <v>21.461082718022809</v>
      </c>
      <c r="H1663">
        <v>794.05816398604543</v>
      </c>
      <c r="I1663">
        <v>708.21383311395425</v>
      </c>
    </row>
    <row r="1664" spans="1:9" x14ac:dyDescent="0.25">
      <c r="A1664" s="1">
        <v>42592</v>
      </c>
      <c r="B1664" t="s">
        <v>0</v>
      </c>
      <c r="C1664">
        <v>784.67999299999997</v>
      </c>
      <c r="D1664">
        <v>-5.3551500094975132E-4</v>
      </c>
      <c r="E1664">
        <v>0</v>
      </c>
      <c r="F1664">
        <v>754.52099919999989</v>
      </c>
      <c r="G1664">
        <v>21.917939157758664</v>
      </c>
      <c r="H1664">
        <v>798.35687751551723</v>
      </c>
      <c r="I1664">
        <v>710.68512088448256</v>
      </c>
    </row>
    <row r="1665" spans="1:9" x14ac:dyDescent="0.25">
      <c r="A1665" s="1">
        <v>42593</v>
      </c>
      <c r="B1665" t="s">
        <v>0</v>
      </c>
      <c r="C1665">
        <v>784.84997599999997</v>
      </c>
      <c r="D1665">
        <v>-2.1662716204872321E-4</v>
      </c>
      <c r="E1665">
        <v>0</v>
      </c>
      <c r="F1665">
        <v>757.71599739999988</v>
      </c>
      <c r="G1665">
        <v>21.578134989935926</v>
      </c>
      <c r="H1665">
        <v>800.87226737987169</v>
      </c>
      <c r="I1665">
        <v>714.55972742012807</v>
      </c>
    </row>
    <row r="1666" spans="1:9" x14ac:dyDescent="0.25">
      <c r="A1666" s="1">
        <v>42594</v>
      </c>
      <c r="B1666" t="s">
        <v>0</v>
      </c>
      <c r="C1666">
        <v>783.21997099999999</v>
      </c>
      <c r="D1666">
        <v>2.0768364016615359E-3</v>
      </c>
      <c r="E1666">
        <v>1</v>
      </c>
      <c r="F1666">
        <v>760.88449715000002</v>
      </c>
      <c r="G1666">
        <v>21.09220367627006</v>
      </c>
      <c r="H1666">
        <v>803.06890450254014</v>
      </c>
      <c r="I1666">
        <v>718.7000897974599</v>
      </c>
    </row>
    <row r="1667" spans="1:9" x14ac:dyDescent="0.25">
      <c r="A1667" s="1">
        <v>42597</v>
      </c>
      <c r="B1667" t="s">
        <v>0</v>
      </c>
      <c r="C1667">
        <v>782.44000200000005</v>
      </c>
      <c r="D1667">
        <v>9.958492235637047E-4</v>
      </c>
      <c r="E1667">
        <v>1</v>
      </c>
      <c r="F1667">
        <v>763.31749579999996</v>
      </c>
      <c r="G1667">
        <v>19.787688385884628</v>
      </c>
      <c r="H1667">
        <v>802.8928725717692</v>
      </c>
      <c r="I1667">
        <v>723.74211902823072</v>
      </c>
    </row>
    <row r="1668" spans="1:9" x14ac:dyDescent="0.25">
      <c r="A1668" s="1">
        <v>42598</v>
      </c>
      <c r="B1668" t="s">
        <v>0</v>
      </c>
      <c r="C1668">
        <v>777.14001499999995</v>
      </c>
      <c r="D1668">
        <v>6.77366569507281E-3</v>
      </c>
      <c r="E1668">
        <v>1</v>
      </c>
      <c r="F1668">
        <v>765.32649544999981</v>
      </c>
      <c r="G1668">
        <v>19.241858178745883</v>
      </c>
      <c r="H1668">
        <v>803.81021180749156</v>
      </c>
      <c r="I1668">
        <v>726.84277909250807</v>
      </c>
    </row>
    <row r="1669" spans="1:9" x14ac:dyDescent="0.25">
      <c r="A1669" s="1">
        <v>42599</v>
      </c>
      <c r="B1669" t="s">
        <v>0</v>
      </c>
      <c r="C1669">
        <v>779.90997300000004</v>
      </c>
      <c r="D1669">
        <v>-3.5642972264143262E-3</v>
      </c>
      <c r="E1669">
        <v>0</v>
      </c>
      <c r="F1669">
        <v>767.26249399999995</v>
      </c>
      <c r="G1669">
        <v>18.459206861753465</v>
      </c>
      <c r="H1669">
        <v>804.18090772350683</v>
      </c>
      <c r="I1669">
        <v>730.34408027649306</v>
      </c>
    </row>
    <row r="1670" spans="1:9" x14ac:dyDescent="0.25">
      <c r="A1670" s="1">
        <v>42600</v>
      </c>
      <c r="B1670" t="s">
        <v>0</v>
      </c>
      <c r="C1670">
        <v>777.5</v>
      </c>
      <c r="D1670">
        <v>3.0900656273567567E-3</v>
      </c>
      <c r="E1670">
        <v>1</v>
      </c>
      <c r="F1670">
        <v>769.20599375000006</v>
      </c>
      <c r="G1670">
        <v>17.847372454832833</v>
      </c>
      <c r="H1670">
        <v>804.90073865966576</v>
      </c>
      <c r="I1670">
        <v>733.51124884033436</v>
      </c>
    </row>
    <row r="1671" spans="1:9" x14ac:dyDescent="0.25">
      <c r="A1671" s="1">
        <v>42601</v>
      </c>
      <c r="B1671" t="s">
        <v>0</v>
      </c>
      <c r="C1671">
        <v>775.419983</v>
      </c>
      <c r="D1671">
        <v>2.675263022508036E-3</v>
      </c>
      <c r="E1671">
        <v>1</v>
      </c>
      <c r="F1671">
        <v>770.83999340000003</v>
      </c>
      <c r="G1671">
        <v>16.670141900399987</v>
      </c>
      <c r="H1671">
        <v>804.18027720079999</v>
      </c>
      <c r="I1671">
        <v>737.49970959920006</v>
      </c>
    </row>
    <row r="1672" spans="1:9" x14ac:dyDescent="0.25">
      <c r="A1672" s="1">
        <v>42604</v>
      </c>
      <c r="B1672" t="s">
        <v>0</v>
      </c>
      <c r="C1672">
        <v>772.15002400000003</v>
      </c>
      <c r="D1672">
        <v>4.2170166770127866E-3</v>
      </c>
      <c r="E1672">
        <v>1</v>
      </c>
      <c r="F1672">
        <v>772.45899359999999</v>
      </c>
      <c r="G1672">
        <v>15.559019837697878</v>
      </c>
      <c r="H1672">
        <v>803.57703327539571</v>
      </c>
      <c r="I1672">
        <v>741.34095392460426</v>
      </c>
    </row>
    <row r="1673" spans="1:9" x14ac:dyDescent="0.25">
      <c r="A1673" s="1">
        <v>42605</v>
      </c>
      <c r="B1673" t="s">
        <v>0</v>
      </c>
      <c r="C1673">
        <v>772.080017</v>
      </c>
      <c r="D1673">
        <v>9.0665023407462004E-5</v>
      </c>
      <c r="E1673">
        <v>1</v>
      </c>
      <c r="F1673">
        <v>774.14199529999996</v>
      </c>
      <c r="G1673">
        <v>13.838060427375304</v>
      </c>
      <c r="H1673">
        <v>801.81811615475056</v>
      </c>
      <c r="I1673">
        <v>746.46587444524937</v>
      </c>
    </row>
    <row r="1674" spans="1:9" x14ac:dyDescent="0.25">
      <c r="A1674" s="1">
        <v>42606</v>
      </c>
      <c r="B1674" t="s">
        <v>0</v>
      </c>
      <c r="C1674">
        <v>769.64001499999995</v>
      </c>
      <c r="D1674">
        <v>3.1602967908442182E-3</v>
      </c>
      <c r="E1674">
        <v>1</v>
      </c>
      <c r="F1674">
        <v>775.53549505000001</v>
      </c>
      <c r="G1674">
        <v>11.394877688345611</v>
      </c>
      <c r="H1674">
        <v>798.32525042669124</v>
      </c>
      <c r="I1674">
        <v>752.74573967330878</v>
      </c>
    </row>
    <row r="1675" spans="1:9" x14ac:dyDescent="0.25">
      <c r="A1675" s="1">
        <v>42607</v>
      </c>
      <c r="B1675" t="s">
        <v>0</v>
      </c>
      <c r="C1675">
        <v>769.40997300000004</v>
      </c>
      <c r="D1675">
        <v>2.9889558172194587E-4</v>
      </c>
      <c r="E1675">
        <v>1</v>
      </c>
      <c r="F1675">
        <v>776.71049504999996</v>
      </c>
      <c r="G1675">
        <v>8.7152929678666258</v>
      </c>
      <c r="H1675">
        <v>794.1410809857332</v>
      </c>
      <c r="I1675">
        <v>759.27990911426673</v>
      </c>
    </row>
    <row r="1676" spans="1:9" x14ac:dyDescent="0.25">
      <c r="A1676" s="1">
        <v>42608</v>
      </c>
      <c r="B1676" t="s">
        <v>0</v>
      </c>
      <c r="C1676">
        <v>769.53997800000002</v>
      </c>
      <c r="D1676">
        <v>-1.6896713658789918E-4</v>
      </c>
      <c r="E1676">
        <v>0</v>
      </c>
      <c r="F1676">
        <v>776.74799504999987</v>
      </c>
      <c r="G1676">
        <v>5.58471225294962</v>
      </c>
      <c r="H1676">
        <v>787.91741955589907</v>
      </c>
      <c r="I1676">
        <v>765.57857054410067</v>
      </c>
    </row>
    <row r="1677" spans="1:9" x14ac:dyDescent="0.25">
      <c r="A1677" s="1">
        <v>42611</v>
      </c>
      <c r="B1677" t="s">
        <v>0</v>
      </c>
      <c r="C1677">
        <v>772.15002400000003</v>
      </c>
      <c r="D1677">
        <v>-3.3916964350356482E-3</v>
      </c>
      <c r="E1677">
        <v>0</v>
      </c>
      <c r="F1677">
        <v>776.71149600000012</v>
      </c>
      <c r="G1677">
        <v>5.533680226589401</v>
      </c>
      <c r="H1677">
        <v>787.77885645317895</v>
      </c>
      <c r="I1677">
        <v>765.6441355468213</v>
      </c>
    </row>
    <row r="1678" spans="1:9" x14ac:dyDescent="0.25">
      <c r="A1678" s="1">
        <v>42612</v>
      </c>
      <c r="B1678" t="s">
        <v>0</v>
      </c>
      <c r="C1678">
        <v>769.09002699999996</v>
      </c>
      <c r="D1678">
        <v>3.9629565562249681E-3</v>
      </c>
      <c r="E1678">
        <v>1</v>
      </c>
      <c r="F1678">
        <v>776.61249699999996</v>
      </c>
      <c r="G1678">
        <v>5.5621715928522617</v>
      </c>
      <c r="H1678">
        <v>787.73684018570452</v>
      </c>
      <c r="I1678">
        <v>765.4881538142954</v>
      </c>
    </row>
    <row r="1679" spans="1:9" x14ac:dyDescent="0.25">
      <c r="A1679" s="1">
        <v>42613</v>
      </c>
      <c r="B1679" t="s">
        <v>0</v>
      </c>
      <c r="C1679">
        <v>767.04998799999998</v>
      </c>
      <c r="D1679">
        <v>2.6525360209877992E-3</v>
      </c>
      <c r="E1679">
        <v>1</v>
      </c>
      <c r="F1679">
        <v>776.30599674999996</v>
      </c>
      <c r="G1679">
        <v>5.6855178485888862</v>
      </c>
      <c r="H1679">
        <v>787.67703244717768</v>
      </c>
      <c r="I1679">
        <v>764.93496105282225</v>
      </c>
    </row>
    <row r="1680" spans="1:9" x14ac:dyDescent="0.25">
      <c r="A1680" s="1">
        <v>42614</v>
      </c>
      <c r="B1680" t="s">
        <v>0</v>
      </c>
      <c r="C1680">
        <v>768.78002900000001</v>
      </c>
      <c r="D1680">
        <v>-2.2554475289295337E-3</v>
      </c>
      <c r="E1680">
        <v>0</v>
      </c>
      <c r="F1680">
        <v>776.16449894999982</v>
      </c>
      <c r="G1680">
        <v>6.0116740397979651</v>
      </c>
      <c r="H1680">
        <v>788.18784702959579</v>
      </c>
      <c r="I1680">
        <v>764.14115087040386</v>
      </c>
    </row>
    <row r="1681" spans="1:9" x14ac:dyDescent="0.25">
      <c r="A1681" s="1">
        <v>42615</v>
      </c>
      <c r="B1681" t="s">
        <v>0</v>
      </c>
      <c r="C1681">
        <v>771.46002199999998</v>
      </c>
      <c r="D1681">
        <v>-3.4860335842568663E-3</v>
      </c>
      <c r="E1681">
        <v>0</v>
      </c>
      <c r="F1681">
        <v>775.62650150000002</v>
      </c>
      <c r="G1681">
        <v>6.1740591164219234</v>
      </c>
      <c r="H1681">
        <v>787.97461973284385</v>
      </c>
      <c r="I1681">
        <v>763.27838326715619</v>
      </c>
    </row>
    <row r="1682" spans="1:9" x14ac:dyDescent="0.25">
      <c r="A1682" s="1">
        <v>42619</v>
      </c>
      <c r="B1682" t="s">
        <v>0</v>
      </c>
      <c r="C1682">
        <v>780.080017</v>
      </c>
      <c r="D1682">
        <v>-1.1173612052705976E-2</v>
      </c>
      <c r="E1682">
        <v>0</v>
      </c>
      <c r="F1682">
        <v>775.54250185000001</v>
      </c>
      <c r="G1682">
        <v>6.0679772151102638</v>
      </c>
      <c r="H1682">
        <v>787.67845628022053</v>
      </c>
      <c r="I1682">
        <v>763.40654741977949</v>
      </c>
    </row>
    <row r="1683" spans="1:9" x14ac:dyDescent="0.25">
      <c r="A1683" s="1">
        <v>42620</v>
      </c>
      <c r="B1683" t="s">
        <v>0</v>
      </c>
      <c r="C1683">
        <v>780.34997599999997</v>
      </c>
      <c r="D1683">
        <v>-3.4606578058257276E-4</v>
      </c>
      <c r="E1683">
        <v>0</v>
      </c>
      <c r="F1683">
        <v>775.34700014999987</v>
      </c>
      <c r="G1683">
        <v>5.9962613522809711</v>
      </c>
      <c r="H1683">
        <v>787.33952285456178</v>
      </c>
      <c r="I1683">
        <v>763.35447744543796</v>
      </c>
    </row>
    <row r="1684" spans="1:9" x14ac:dyDescent="0.25">
      <c r="A1684" s="1">
        <v>42621</v>
      </c>
      <c r="B1684" t="s">
        <v>0</v>
      </c>
      <c r="C1684">
        <v>775.32000700000003</v>
      </c>
      <c r="D1684">
        <v>6.445786063559689E-3</v>
      </c>
      <c r="E1684">
        <v>1</v>
      </c>
      <c r="F1684">
        <v>774.87900085000001</v>
      </c>
      <c r="G1684">
        <v>5.7839065248440145</v>
      </c>
      <c r="H1684">
        <v>786.4468138996881</v>
      </c>
      <c r="I1684">
        <v>763.31118780031193</v>
      </c>
    </row>
    <row r="1685" spans="1:9" x14ac:dyDescent="0.25">
      <c r="A1685" s="1">
        <v>42622</v>
      </c>
      <c r="B1685" t="s">
        <v>0</v>
      </c>
      <c r="C1685">
        <v>759.65997300000004</v>
      </c>
      <c r="D1685">
        <v>2.0198155417908616E-2</v>
      </c>
      <c r="E1685">
        <v>1</v>
      </c>
      <c r="F1685">
        <v>773.61950070000012</v>
      </c>
      <c r="G1685">
        <v>5.4996970171984705</v>
      </c>
      <c r="H1685">
        <v>784.61889473439703</v>
      </c>
      <c r="I1685">
        <v>762.6201066656032</v>
      </c>
    </row>
    <row r="1686" spans="1:9" x14ac:dyDescent="0.25">
      <c r="A1686" s="1">
        <v>42625</v>
      </c>
      <c r="B1686" t="s">
        <v>0</v>
      </c>
      <c r="C1686">
        <v>769.02002000000005</v>
      </c>
      <c r="D1686">
        <v>-1.232136394265439E-2</v>
      </c>
      <c r="E1686">
        <v>0</v>
      </c>
      <c r="F1686">
        <v>772.90950315000009</v>
      </c>
      <c r="G1686">
        <v>5.8470510267267022</v>
      </c>
      <c r="H1686">
        <v>784.60360520345353</v>
      </c>
      <c r="I1686">
        <v>761.21540109654666</v>
      </c>
    </row>
    <row r="1687" spans="1:9" x14ac:dyDescent="0.25">
      <c r="A1687" s="1">
        <v>42626</v>
      </c>
      <c r="B1687" t="s">
        <v>0</v>
      </c>
      <c r="C1687">
        <v>759.69000200000005</v>
      </c>
      <c r="D1687">
        <v>1.213234734773224E-2</v>
      </c>
      <c r="E1687">
        <v>1</v>
      </c>
      <c r="F1687">
        <v>771.77200315000005</v>
      </c>
      <c r="G1687">
        <v>5.560847826865821</v>
      </c>
      <c r="H1687">
        <v>782.8936988037317</v>
      </c>
      <c r="I1687">
        <v>760.6503074962684</v>
      </c>
    </row>
    <row r="1688" spans="1:9" x14ac:dyDescent="0.25">
      <c r="A1688" s="1">
        <v>42627</v>
      </c>
      <c r="B1688" t="s">
        <v>0</v>
      </c>
      <c r="C1688">
        <v>762.48999000000003</v>
      </c>
      <c r="D1688">
        <v>-3.6856981040010906E-3</v>
      </c>
      <c r="E1688">
        <v>0</v>
      </c>
      <c r="F1688">
        <v>771.03950190000012</v>
      </c>
      <c r="G1688">
        <v>5.7504794801007426</v>
      </c>
      <c r="H1688">
        <v>782.54046086020162</v>
      </c>
      <c r="I1688">
        <v>759.53854293979862</v>
      </c>
    </row>
    <row r="1689" spans="1:9" x14ac:dyDescent="0.25">
      <c r="A1689" s="1">
        <v>42628</v>
      </c>
      <c r="B1689" t="s">
        <v>0</v>
      </c>
      <c r="C1689">
        <v>771.76000999999997</v>
      </c>
      <c r="D1689">
        <v>-1.2157562881579509E-2</v>
      </c>
      <c r="E1689">
        <v>0</v>
      </c>
      <c r="F1689">
        <v>770.63200375000019</v>
      </c>
      <c r="G1689">
        <v>5.9184426731667887</v>
      </c>
      <c r="H1689">
        <v>782.46888909633378</v>
      </c>
      <c r="I1689">
        <v>758.79511840366661</v>
      </c>
    </row>
    <row r="1690" spans="1:9" x14ac:dyDescent="0.25">
      <c r="A1690" s="1">
        <v>42629</v>
      </c>
      <c r="B1690" t="s">
        <v>0</v>
      </c>
      <c r="C1690">
        <v>768.88000499999998</v>
      </c>
      <c r="D1690">
        <v>3.7317365018692573E-3</v>
      </c>
      <c r="E1690">
        <v>1</v>
      </c>
      <c r="F1690">
        <v>770.20100400000024</v>
      </c>
      <c r="G1690">
        <v>5.5653668966983938</v>
      </c>
      <c r="H1690">
        <v>781.331737793397</v>
      </c>
      <c r="I1690">
        <v>759.07027020660348</v>
      </c>
    </row>
    <row r="1691" spans="1:9" x14ac:dyDescent="0.25">
      <c r="A1691" s="1">
        <v>42632</v>
      </c>
      <c r="B1691" t="s">
        <v>0</v>
      </c>
      <c r="C1691">
        <v>765.70001200000002</v>
      </c>
      <c r="D1691">
        <v>4.1358768329525846E-3</v>
      </c>
      <c r="E1691">
        <v>1</v>
      </c>
      <c r="F1691">
        <v>769.71500545000004</v>
      </c>
      <c r="G1691">
        <v>5.3509801039592588</v>
      </c>
      <c r="H1691">
        <v>780.41696565791858</v>
      </c>
      <c r="I1691">
        <v>759.01304524208149</v>
      </c>
    </row>
    <row r="1692" spans="1:9" x14ac:dyDescent="0.25">
      <c r="A1692" s="1">
        <v>42633</v>
      </c>
      <c r="B1692" t="s">
        <v>0</v>
      </c>
      <c r="C1692">
        <v>771.40997300000004</v>
      </c>
      <c r="D1692">
        <v>-7.4571776289850981E-3</v>
      </c>
      <c r="E1692">
        <v>0</v>
      </c>
      <c r="F1692">
        <v>769.67800290000014</v>
      </c>
      <c r="G1692">
        <v>5.2738057832604461</v>
      </c>
      <c r="H1692">
        <v>780.22561446652105</v>
      </c>
      <c r="I1692">
        <v>759.13039133347922</v>
      </c>
    </row>
    <row r="1693" spans="1:9" x14ac:dyDescent="0.25">
      <c r="A1693" s="1">
        <v>42634</v>
      </c>
      <c r="B1693" t="s">
        <v>0</v>
      </c>
      <c r="C1693">
        <v>776.21997099999999</v>
      </c>
      <c r="D1693">
        <v>-6.2353329206957893E-3</v>
      </c>
      <c r="E1693">
        <v>0</v>
      </c>
      <c r="F1693">
        <v>769.88500060000001</v>
      </c>
      <c r="G1693">
        <v>5.2631090709559745</v>
      </c>
      <c r="H1693">
        <v>780.41121874191197</v>
      </c>
      <c r="I1693">
        <v>759.35878245808806</v>
      </c>
    </row>
    <row r="1694" spans="1:9" x14ac:dyDescent="0.25">
      <c r="A1694" s="1">
        <v>42635</v>
      </c>
      <c r="B1694" t="s">
        <v>0</v>
      </c>
      <c r="C1694">
        <v>787.21002199999998</v>
      </c>
      <c r="D1694">
        <v>-1.4158423398771318E-2</v>
      </c>
      <c r="E1694">
        <v>0</v>
      </c>
      <c r="F1694">
        <v>770.76350094999998</v>
      </c>
      <c r="G1694">
        <v>5.4988878517714355</v>
      </c>
      <c r="H1694">
        <v>781.76127665354284</v>
      </c>
      <c r="I1694">
        <v>759.76572524645712</v>
      </c>
    </row>
    <row r="1695" spans="1:9" x14ac:dyDescent="0.25">
      <c r="A1695" s="1">
        <v>42636</v>
      </c>
      <c r="B1695" t="s">
        <v>0</v>
      </c>
      <c r="C1695">
        <v>786.90002400000003</v>
      </c>
      <c r="D1695">
        <v>3.9379325889724319E-4</v>
      </c>
      <c r="E1695">
        <v>1</v>
      </c>
      <c r="F1695">
        <v>771.63800350000008</v>
      </c>
      <c r="G1695">
        <v>6.6681192261932747</v>
      </c>
      <c r="H1695">
        <v>784.97424195238659</v>
      </c>
      <c r="I1695">
        <v>758.30176504761357</v>
      </c>
    </row>
    <row r="1696" spans="1:9" x14ac:dyDescent="0.25">
      <c r="A1696" s="1">
        <v>42639</v>
      </c>
      <c r="B1696" t="s">
        <v>0</v>
      </c>
      <c r="C1696">
        <v>774.21002199999998</v>
      </c>
      <c r="D1696">
        <v>1.6126574676531016E-2</v>
      </c>
      <c r="E1696">
        <v>1</v>
      </c>
      <c r="F1696">
        <v>771.87150570000006</v>
      </c>
      <c r="G1696">
        <v>7.4777399516035379</v>
      </c>
      <c r="H1696">
        <v>786.82698560320716</v>
      </c>
      <c r="I1696">
        <v>756.91602579679295</v>
      </c>
    </row>
    <row r="1697" spans="1:9" x14ac:dyDescent="0.25">
      <c r="A1697" s="1">
        <v>42640</v>
      </c>
      <c r="B1697" t="s">
        <v>0</v>
      </c>
      <c r="C1697">
        <v>783.01000999999997</v>
      </c>
      <c r="D1697">
        <v>-1.1366409307473398E-2</v>
      </c>
      <c r="E1697">
        <v>0</v>
      </c>
      <c r="F1697">
        <v>772.41450499999996</v>
      </c>
      <c r="G1697">
        <v>7.4975379210166722</v>
      </c>
      <c r="H1697">
        <v>787.40958084203328</v>
      </c>
      <c r="I1697">
        <v>757.41942915796665</v>
      </c>
    </row>
    <row r="1698" spans="1:9" x14ac:dyDescent="0.25">
      <c r="A1698" s="1">
        <v>42641</v>
      </c>
      <c r="B1698" t="s">
        <v>0</v>
      </c>
      <c r="C1698">
        <v>781.55999799999995</v>
      </c>
      <c r="D1698">
        <v>1.8518435032522959E-3</v>
      </c>
      <c r="E1698">
        <v>1</v>
      </c>
      <c r="F1698">
        <v>773.03800354999998</v>
      </c>
      <c r="G1698">
        <v>7.8874307679508835</v>
      </c>
      <c r="H1698">
        <v>788.81286508590176</v>
      </c>
      <c r="I1698">
        <v>757.26314201409821</v>
      </c>
    </row>
    <row r="1699" spans="1:9" x14ac:dyDescent="0.25">
      <c r="A1699" s="1">
        <v>42642</v>
      </c>
      <c r="B1699" t="s">
        <v>0</v>
      </c>
      <c r="C1699">
        <v>775.01000999999997</v>
      </c>
      <c r="D1699">
        <v>8.3806592158776078E-3</v>
      </c>
      <c r="E1699">
        <v>1</v>
      </c>
      <c r="F1699">
        <v>773.43600464999986</v>
      </c>
      <c r="G1699">
        <v>8.0760053568050196</v>
      </c>
      <c r="H1699">
        <v>789.58801536360988</v>
      </c>
      <c r="I1699">
        <v>757.28399393638983</v>
      </c>
    </row>
    <row r="1700" spans="1:9" x14ac:dyDescent="0.25">
      <c r="A1700" s="1">
        <v>42643</v>
      </c>
      <c r="B1700" t="s">
        <v>0</v>
      </c>
      <c r="C1700">
        <v>777.28997800000002</v>
      </c>
      <c r="D1700">
        <v>-2.9418561961542323E-3</v>
      </c>
      <c r="E1700">
        <v>0</v>
      </c>
      <c r="F1700">
        <v>773.86150209999983</v>
      </c>
      <c r="G1700">
        <v>7.9679184742621088</v>
      </c>
      <c r="H1700">
        <v>789.79733904852401</v>
      </c>
      <c r="I1700">
        <v>757.92566515147564</v>
      </c>
    </row>
    <row r="1701" spans="1:9" x14ac:dyDescent="0.25">
      <c r="A1701" s="1">
        <v>42646</v>
      </c>
      <c r="B1701" t="s">
        <v>0</v>
      </c>
      <c r="C1701">
        <v>772.55999799999995</v>
      </c>
      <c r="D1701">
        <v>6.0852193311053708E-3</v>
      </c>
      <c r="E1701">
        <v>1</v>
      </c>
      <c r="F1701">
        <v>773.91650089999996</v>
      </c>
      <c r="G1701">
        <v>7.9238503006450003</v>
      </c>
      <c r="H1701">
        <v>789.76420150129002</v>
      </c>
      <c r="I1701">
        <v>758.0688002987099</v>
      </c>
    </row>
    <row r="1702" spans="1:9" x14ac:dyDescent="0.25">
      <c r="A1702" s="1">
        <v>42647</v>
      </c>
      <c r="B1702" t="s">
        <v>0</v>
      </c>
      <c r="C1702">
        <v>776.42999299999997</v>
      </c>
      <c r="D1702">
        <v>-5.0093132054709584E-3</v>
      </c>
      <c r="E1702">
        <v>0</v>
      </c>
      <c r="F1702">
        <v>773.7339996999998</v>
      </c>
      <c r="G1702">
        <v>7.9127113464103793</v>
      </c>
      <c r="H1702">
        <v>789.55942239282058</v>
      </c>
      <c r="I1702">
        <v>757.90857700717902</v>
      </c>
    </row>
    <row r="1703" spans="1:9" x14ac:dyDescent="0.25">
      <c r="A1703" s="1">
        <v>42648</v>
      </c>
      <c r="B1703" t="s">
        <v>0</v>
      </c>
      <c r="C1703">
        <v>776.46997099999999</v>
      </c>
      <c r="D1703">
        <v>-5.1489510143149723E-5</v>
      </c>
      <c r="E1703">
        <v>0</v>
      </c>
      <c r="F1703">
        <v>773.53999944999998</v>
      </c>
      <c r="G1703">
        <v>7.8101510333474877</v>
      </c>
      <c r="H1703">
        <v>789.16030151669497</v>
      </c>
      <c r="I1703">
        <v>757.91969738330499</v>
      </c>
    </row>
    <row r="1704" spans="1:9" x14ac:dyDescent="0.25">
      <c r="A1704" s="1">
        <v>42649</v>
      </c>
      <c r="B1704" t="s">
        <v>0</v>
      </c>
      <c r="C1704">
        <v>776.85998500000005</v>
      </c>
      <c r="D1704">
        <v>-5.022911568592582E-4</v>
      </c>
      <c r="E1704">
        <v>0</v>
      </c>
      <c r="F1704">
        <v>773.6169983499999</v>
      </c>
      <c r="G1704">
        <v>7.6886172767223231</v>
      </c>
      <c r="H1704">
        <v>788.99423290344453</v>
      </c>
      <c r="I1704">
        <v>758.23976379655528</v>
      </c>
    </row>
    <row r="1705" spans="1:9" x14ac:dyDescent="0.25">
      <c r="A1705" s="1">
        <v>42650</v>
      </c>
      <c r="B1705" t="s">
        <v>0</v>
      </c>
      <c r="C1705">
        <v>775.080017</v>
      </c>
      <c r="D1705">
        <v>2.2912339860059255E-3</v>
      </c>
      <c r="E1705">
        <v>1</v>
      </c>
      <c r="F1705">
        <v>774.3880005499999</v>
      </c>
      <c r="G1705">
        <v>7.7517814867179329</v>
      </c>
      <c r="H1705">
        <v>789.89156352343582</v>
      </c>
      <c r="I1705">
        <v>758.88443757656398</v>
      </c>
    </row>
    <row r="1706" spans="1:9" x14ac:dyDescent="0.25">
      <c r="A1706" s="1">
        <v>42653</v>
      </c>
      <c r="B1706" t="s">
        <v>0</v>
      </c>
      <c r="C1706">
        <v>785.94000200000005</v>
      </c>
      <c r="D1706">
        <v>-1.4011437221713396E-2</v>
      </c>
      <c r="E1706">
        <v>0</v>
      </c>
      <c r="F1706">
        <v>775.23399964999987</v>
      </c>
      <c r="G1706">
        <v>7.0699388439858</v>
      </c>
      <c r="H1706">
        <v>789.37387733797152</v>
      </c>
      <c r="I1706">
        <v>761.09412196202823</v>
      </c>
    </row>
    <row r="1707" spans="1:9" x14ac:dyDescent="0.25">
      <c r="A1707" s="1">
        <v>42654</v>
      </c>
      <c r="B1707" t="s">
        <v>0</v>
      </c>
      <c r="C1707">
        <v>783.07000700000003</v>
      </c>
      <c r="D1707">
        <v>3.6516718740574002E-3</v>
      </c>
      <c r="E1707">
        <v>1</v>
      </c>
      <c r="F1707">
        <v>776.40299989999983</v>
      </c>
      <c r="G1707">
        <v>7.4263614242493468</v>
      </c>
      <c r="H1707">
        <v>791.25572274849856</v>
      </c>
      <c r="I1707">
        <v>761.5502770515011</v>
      </c>
    </row>
    <row r="1708" spans="1:9" x14ac:dyDescent="0.25">
      <c r="A1708" s="1">
        <v>42655</v>
      </c>
      <c r="B1708" t="s">
        <v>0</v>
      </c>
      <c r="C1708">
        <v>786.14001499999995</v>
      </c>
      <c r="D1708">
        <v>-3.9204770615099242E-3</v>
      </c>
      <c r="E1708">
        <v>0</v>
      </c>
      <c r="F1708">
        <v>777.58550114999991</v>
      </c>
      <c r="G1708">
        <v>6.6936826525562862</v>
      </c>
      <c r="H1708">
        <v>790.97286645511247</v>
      </c>
      <c r="I1708">
        <v>764.19813584488736</v>
      </c>
    </row>
    <row r="1709" spans="1:9" x14ac:dyDescent="0.25">
      <c r="A1709" s="1">
        <v>42656</v>
      </c>
      <c r="B1709" t="s">
        <v>0</v>
      </c>
      <c r="C1709">
        <v>778.19000200000005</v>
      </c>
      <c r="D1709">
        <v>1.011271891559915E-2</v>
      </c>
      <c r="E1709">
        <v>1</v>
      </c>
      <c r="F1709">
        <v>777.90700074999984</v>
      </c>
      <c r="G1709">
        <v>6.097049447268458</v>
      </c>
      <c r="H1709">
        <v>790.1010996445367</v>
      </c>
      <c r="I1709">
        <v>765.71290185546297</v>
      </c>
    </row>
    <row r="1710" spans="1:9" x14ac:dyDescent="0.25">
      <c r="A1710" s="1">
        <v>42657</v>
      </c>
      <c r="B1710" t="s">
        <v>0</v>
      </c>
      <c r="C1710">
        <v>778.53002900000001</v>
      </c>
      <c r="D1710">
        <v>-4.3694598893081592E-4</v>
      </c>
      <c r="E1710">
        <v>0</v>
      </c>
      <c r="F1710">
        <v>778.38950194999995</v>
      </c>
      <c r="G1710">
        <v>5.9599957291749703</v>
      </c>
      <c r="H1710">
        <v>790.30949340834991</v>
      </c>
      <c r="I1710">
        <v>766.46951049165</v>
      </c>
    </row>
    <row r="1711" spans="1:9" x14ac:dyDescent="0.25">
      <c r="A1711" s="1">
        <v>42660</v>
      </c>
      <c r="B1711" t="s">
        <v>0</v>
      </c>
      <c r="C1711">
        <v>779.96002199999998</v>
      </c>
      <c r="D1711">
        <v>-1.836785925697373E-3</v>
      </c>
      <c r="E1711">
        <v>0</v>
      </c>
      <c r="F1711">
        <v>779.10250245000009</v>
      </c>
      <c r="G1711">
        <v>5.613321617836486</v>
      </c>
      <c r="H1711">
        <v>790.3291456856731</v>
      </c>
      <c r="I1711">
        <v>767.87585921432708</v>
      </c>
    </row>
    <row r="1712" spans="1:9" x14ac:dyDescent="0.25">
      <c r="A1712" s="1">
        <v>42661</v>
      </c>
      <c r="B1712" t="s">
        <v>0</v>
      </c>
      <c r="C1712">
        <v>795.26000999999997</v>
      </c>
      <c r="D1712">
        <v>-1.9616374645417385E-2</v>
      </c>
      <c r="E1712">
        <v>0</v>
      </c>
      <c r="F1712">
        <v>780.29500430000007</v>
      </c>
      <c r="G1712">
        <v>4.8976391989752024</v>
      </c>
      <c r="H1712">
        <v>790.09028269795044</v>
      </c>
      <c r="I1712">
        <v>770.4997259020497</v>
      </c>
    </row>
    <row r="1713" spans="1:9" x14ac:dyDescent="0.25">
      <c r="A1713" s="1">
        <v>42662</v>
      </c>
      <c r="B1713" t="s">
        <v>0</v>
      </c>
      <c r="C1713">
        <v>801.5</v>
      </c>
      <c r="D1713">
        <v>-7.8464777827820555E-3</v>
      </c>
      <c r="E1713">
        <v>0</v>
      </c>
      <c r="F1713">
        <v>781.5590057500001</v>
      </c>
      <c r="G1713">
        <v>5.7301788897811265</v>
      </c>
      <c r="H1713">
        <v>793.01936352956238</v>
      </c>
      <c r="I1713">
        <v>770.09864797043781</v>
      </c>
    </row>
    <row r="1714" spans="1:9" x14ac:dyDescent="0.25">
      <c r="A1714" s="1">
        <v>42663</v>
      </c>
      <c r="B1714" t="s">
        <v>0</v>
      </c>
      <c r="C1714">
        <v>796.96997099999999</v>
      </c>
      <c r="D1714">
        <v>5.6519388646288377E-3</v>
      </c>
      <c r="E1714">
        <v>1</v>
      </c>
      <c r="F1714">
        <v>782.04700320000006</v>
      </c>
      <c r="G1714">
        <v>7.1784392176113663</v>
      </c>
      <c r="H1714">
        <v>796.40388163522277</v>
      </c>
      <c r="I1714">
        <v>767.69012476477735</v>
      </c>
    </row>
    <row r="1715" spans="1:9" x14ac:dyDescent="0.25">
      <c r="A1715" s="1">
        <v>42664</v>
      </c>
      <c r="B1715" t="s">
        <v>0</v>
      </c>
      <c r="C1715">
        <v>799.36999500000002</v>
      </c>
      <c r="D1715">
        <v>-3.0114359227218996E-3</v>
      </c>
      <c r="E1715">
        <v>0</v>
      </c>
      <c r="F1715">
        <v>782.67050175000008</v>
      </c>
      <c r="G1715">
        <v>7.8562491231074869</v>
      </c>
      <c r="H1715">
        <v>798.38299999621506</v>
      </c>
      <c r="I1715">
        <v>766.95800350378511</v>
      </c>
    </row>
    <row r="1716" spans="1:9" x14ac:dyDescent="0.25">
      <c r="A1716" s="1">
        <v>42667</v>
      </c>
      <c r="B1716" t="s">
        <v>0</v>
      </c>
      <c r="C1716">
        <v>813.10998500000005</v>
      </c>
      <c r="D1716">
        <v>-1.7188523569739485E-2</v>
      </c>
      <c r="E1716">
        <v>0</v>
      </c>
      <c r="F1716">
        <v>784.61549990000003</v>
      </c>
      <c r="G1716">
        <v>8.8630062002126682</v>
      </c>
      <c r="H1716">
        <v>802.34151230042539</v>
      </c>
      <c r="I1716">
        <v>766.88948749957467</v>
      </c>
    </row>
    <row r="1717" spans="1:9" x14ac:dyDescent="0.25">
      <c r="A1717" s="1">
        <v>42668</v>
      </c>
      <c r="B1717" t="s">
        <v>0</v>
      </c>
      <c r="C1717">
        <v>807.669983</v>
      </c>
      <c r="D1717">
        <v>6.6903642807928983E-3</v>
      </c>
      <c r="E1717">
        <v>1</v>
      </c>
      <c r="F1717">
        <v>785.84849855000016</v>
      </c>
      <c r="G1717">
        <v>10.735746369733549</v>
      </c>
      <c r="H1717">
        <v>807.31999128946723</v>
      </c>
      <c r="I1717">
        <v>764.37700581053309</v>
      </c>
    </row>
    <row r="1718" spans="1:9" x14ac:dyDescent="0.25">
      <c r="A1718" s="1">
        <v>42669</v>
      </c>
      <c r="B1718" t="s">
        <v>0</v>
      </c>
      <c r="C1718">
        <v>799.07000700000003</v>
      </c>
      <c r="D1718">
        <v>1.0647883641851241E-2</v>
      </c>
      <c r="E1718">
        <v>1</v>
      </c>
      <c r="F1718">
        <v>786.72399900000005</v>
      </c>
      <c r="G1718">
        <v>11.807995573798818</v>
      </c>
      <c r="H1718">
        <v>810.33999014759763</v>
      </c>
      <c r="I1718">
        <v>763.10800785240247</v>
      </c>
    </row>
    <row r="1719" spans="1:9" x14ac:dyDescent="0.25">
      <c r="A1719" s="1">
        <v>42670</v>
      </c>
      <c r="B1719" t="s">
        <v>0</v>
      </c>
      <c r="C1719">
        <v>795.34997599999997</v>
      </c>
      <c r="D1719">
        <v>4.6554506706695383E-3</v>
      </c>
      <c r="E1719">
        <v>1</v>
      </c>
      <c r="F1719">
        <v>787.74099730000012</v>
      </c>
      <c r="G1719">
        <v>12.114078395547006</v>
      </c>
      <c r="H1719">
        <v>811.96915409109408</v>
      </c>
      <c r="I1719">
        <v>763.51284050890615</v>
      </c>
    </row>
    <row r="1720" spans="1:9" x14ac:dyDescent="0.25">
      <c r="A1720" s="1">
        <v>42671</v>
      </c>
      <c r="B1720" t="s">
        <v>0</v>
      </c>
      <c r="C1720">
        <v>795.36999500000002</v>
      </c>
      <c r="D1720">
        <v>-2.5170051680554182E-5</v>
      </c>
      <c r="E1720">
        <v>0</v>
      </c>
      <c r="F1720">
        <v>788.64499814999999</v>
      </c>
      <c r="G1720">
        <v>11.93143071351771</v>
      </c>
      <c r="H1720">
        <v>812.50785957703545</v>
      </c>
      <c r="I1720">
        <v>764.78213672296454</v>
      </c>
    </row>
    <row r="1721" spans="1:9" x14ac:dyDescent="0.25">
      <c r="A1721" s="1">
        <v>42674</v>
      </c>
      <c r="B1721" t="s">
        <v>0</v>
      </c>
      <c r="C1721">
        <v>784.53997800000002</v>
      </c>
      <c r="D1721">
        <v>1.3616325820789855E-2</v>
      </c>
      <c r="E1721">
        <v>1</v>
      </c>
      <c r="F1721">
        <v>789.24399715000004</v>
      </c>
      <c r="G1721">
        <v>11.769974242739659</v>
      </c>
      <c r="H1721">
        <v>812.78394563547931</v>
      </c>
      <c r="I1721">
        <v>765.70404866452077</v>
      </c>
    </row>
    <row r="1722" spans="1:9" x14ac:dyDescent="0.25">
      <c r="A1722" s="1">
        <v>42675</v>
      </c>
      <c r="B1722" t="s">
        <v>0</v>
      </c>
      <c r="C1722">
        <v>783.60998500000005</v>
      </c>
      <c r="D1722">
        <v>1.1853991206041098E-3</v>
      </c>
      <c r="E1722">
        <v>1</v>
      </c>
      <c r="F1722">
        <v>789.60299674999999</v>
      </c>
      <c r="G1722">
        <v>11.218278513830603</v>
      </c>
      <c r="H1722">
        <v>812.03955377766124</v>
      </c>
      <c r="I1722">
        <v>767.16643972233874</v>
      </c>
    </row>
    <row r="1723" spans="1:9" x14ac:dyDescent="0.25">
      <c r="A1723" s="1">
        <v>42676</v>
      </c>
      <c r="B1723" t="s">
        <v>0</v>
      </c>
      <c r="C1723">
        <v>768.70001200000002</v>
      </c>
      <c r="D1723">
        <v>1.9027288173210345E-2</v>
      </c>
      <c r="E1723">
        <v>1</v>
      </c>
      <c r="F1723">
        <v>789.2144988</v>
      </c>
      <c r="G1723">
        <v>10.914216031073128</v>
      </c>
      <c r="H1723">
        <v>811.04293086214625</v>
      </c>
      <c r="I1723">
        <v>767.38606673785375</v>
      </c>
    </row>
    <row r="1724" spans="1:9" x14ac:dyDescent="0.25">
      <c r="A1724" s="1">
        <v>42677</v>
      </c>
      <c r="B1724" t="s">
        <v>0</v>
      </c>
      <c r="C1724">
        <v>762.13000499999998</v>
      </c>
      <c r="D1724">
        <v>8.5469063320374097E-3</v>
      </c>
      <c r="E1724">
        <v>1</v>
      </c>
      <c r="F1724">
        <v>788.47799979999991</v>
      </c>
      <c r="G1724">
        <v>11.514495270790416</v>
      </c>
      <c r="H1724">
        <v>811.50699034158072</v>
      </c>
      <c r="I1724">
        <v>765.4490092584191</v>
      </c>
    </row>
    <row r="1725" spans="1:9" x14ac:dyDescent="0.25">
      <c r="A1725" s="1">
        <v>42678</v>
      </c>
      <c r="B1725" t="s">
        <v>0</v>
      </c>
      <c r="C1725">
        <v>762.02002000000005</v>
      </c>
      <c r="D1725">
        <v>1.4431264912596878E-4</v>
      </c>
      <c r="E1725">
        <v>1</v>
      </c>
      <c r="F1725">
        <v>787.82499994999989</v>
      </c>
      <c r="G1725">
        <v>12.687471704384029</v>
      </c>
      <c r="H1725">
        <v>813.199943358768</v>
      </c>
      <c r="I1725">
        <v>762.45005654123179</v>
      </c>
    </row>
    <row r="1726" spans="1:9" x14ac:dyDescent="0.25">
      <c r="A1726" s="1">
        <v>42681</v>
      </c>
      <c r="B1726" t="s">
        <v>0</v>
      </c>
      <c r="C1726">
        <v>782.52002000000005</v>
      </c>
      <c r="D1726">
        <v>-2.6902180339041484E-2</v>
      </c>
      <c r="E1726">
        <v>0</v>
      </c>
      <c r="F1726">
        <v>787.65400084999987</v>
      </c>
      <c r="G1726">
        <v>13.644570309575583</v>
      </c>
      <c r="H1726">
        <v>814.94314146915099</v>
      </c>
      <c r="I1726">
        <v>760.36486023084876</v>
      </c>
    </row>
    <row r="1727" spans="1:9" x14ac:dyDescent="0.25">
      <c r="A1727" s="1">
        <v>42682</v>
      </c>
      <c r="B1727" t="s">
        <v>0</v>
      </c>
      <c r="C1727">
        <v>790.51000999999997</v>
      </c>
      <c r="D1727">
        <v>-1.0210588605771287E-2</v>
      </c>
      <c r="E1727">
        <v>0</v>
      </c>
      <c r="F1727">
        <v>788.02600099999995</v>
      </c>
      <c r="G1727">
        <v>13.692468054009465</v>
      </c>
      <c r="H1727">
        <v>815.41093710801886</v>
      </c>
      <c r="I1727">
        <v>760.64106489198105</v>
      </c>
    </row>
    <row r="1728" spans="1:9" x14ac:dyDescent="0.25">
      <c r="A1728" s="1">
        <v>42683</v>
      </c>
      <c r="B1728" t="s">
        <v>0</v>
      </c>
      <c r="C1728">
        <v>785.30999799999995</v>
      </c>
      <c r="D1728">
        <v>6.5780470003156764E-3</v>
      </c>
      <c r="E1728">
        <v>1</v>
      </c>
      <c r="F1728">
        <v>787.98450014999992</v>
      </c>
      <c r="G1728">
        <v>13.658910093408727</v>
      </c>
      <c r="H1728">
        <v>815.30232033681739</v>
      </c>
      <c r="I1728">
        <v>760.66667996318245</v>
      </c>
    </row>
    <row r="1729" spans="1:9" x14ac:dyDescent="0.25">
      <c r="A1729" s="1">
        <v>42684</v>
      </c>
      <c r="B1729" t="s">
        <v>0</v>
      </c>
      <c r="C1729">
        <v>762.55999799999995</v>
      </c>
      <c r="D1729">
        <v>2.8969451627941709E-2</v>
      </c>
      <c r="E1729">
        <v>1</v>
      </c>
      <c r="F1729">
        <v>787.20299994999993</v>
      </c>
      <c r="G1729">
        <v>13.68810101206563</v>
      </c>
      <c r="H1729">
        <v>814.57920197413114</v>
      </c>
      <c r="I1729">
        <v>759.82679792586873</v>
      </c>
    </row>
    <row r="1730" spans="1:9" x14ac:dyDescent="0.25">
      <c r="A1730" s="1">
        <v>42685</v>
      </c>
      <c r="B1730" t="s">
        <v>0</v>
      </c>
      <c r="C1730">
        <v>754.02002000000005</v>
      </c>
      <c r="D1730">
        <v>1.1199089937051623E-2</v>
      </c>
      <c r="E1730">
        <v>1</v>
      </c>
      <c r="F1730">
        <v>785.97749950000002</v>
      </c>
      <c r="G1730">
        <v>14.668610408709897</v>
      </c>
      <c r="H1730">
        <v>815.31472031741987</v>
      </c>
      <c r="I1730">
        <v>756.64027868258017</v>
      </c>
    </row>
    <row r="1731" spans="1:9" x14ac:dyDescent="0.25">
      <c r="A1731" s="1">
        <v>42688</v>
      </c>
      <c r="B1731" t="s">
        <v>0</v>
      </c>
      <c r="C1731">
        <v>736.080017</v>
      </c>
      <c r="D1731">
        <v>2.3792475695804529E-2</v>
      </c>
      <c r="E1731">
        <v>1</v>
      </c>
      <c r="F1731">
        <v>783.78349924999998</v>
      </c>
      <c r="G1731">
        <v>16.379027821477681</v>
      </c>
      <c r="H1731">
        <v>816.54155489295533</v>
      </c>
      <c r="I1731">
        <v>751.02544360704462</v>
      </c>
    </row>
    <row r="1732" spans="1:9" x14ac:dyDescent="0.25">
      <c r="A1732" s="1">
        <v>42689</v>
      </c>
      <c r="B1732" t="s">
        <v>0</v>
      </c>
      <c r="C1732">
        <v>758.48999000000003</v>
      </c>
      <c r="D1732">
        <v>-3.0445022935597553E-2</v>
      </c>
      <c r="E1732">
        <v>0</v>
      </c>
      <c r="F1732">
        <v>781.94499825000014</v>
      </c>
      <c r="G1732">
        <v>19.613842059333511</v>
      </c>
      <c r="H1732">
        <v>821.17268236866721</v>
      </c>
      <c r="I1732">
        <v>742.71731413133307</v>
      </c>
    </row>
    <row r="1733" spans="1:9" x14ac:dyDescent="0.25">
      <c r="A1733" s="1">
        <v>42690</v>
      </c>
      <c r="B1733" t="s">
        <v>0</v>
      </c>
      <c r="C1733">
        <v>764.47997999999995</v>
      </c>
      <c r="D1733">
        <v>-7.8972564951053873E-3</v>
      </c>
      <c r="E1733">
        <v>0</v>
      </c>
      <c r="F1733">
        <v>780.09399725000014</v>
      </c>
      <c r="G1733">
        <v>20.168574534054898</v>
      </c>
      <c r="H1733">
        <v>820.43114631811</v>
      </c>
      <c r="I1733">
        <v>739.75684818189029</v>
      </c>
    </row>
    <row r="1734" spans="1:9" x14ac:dyDescent="0.25">
      <c r="A1734" s="1">
        <v>42691</v>
      </c>
      <c r="B1734" t="s">
        <v>0</v>
      </c>
      <c r="C1734">
        <v>771.22997999999995</v>
      </c>
      <c r="D1734">
        <v>-8.8295314155905046E-3</v>
      </c>
      <c r="E1734">
        <v>0</v>
      </c>
      <c r="F1734">
        <v>778.80699770000012</v>
      </c>
      <c r="G1734">
        <v>19.942587485703623</v>
      </c>
      <c r="H1734">
        <v>818.69217267140732</v>
      </c>
      <c r="I1734">
        <v>738.92182272859293</v>
      </c>
    </row>
    <row r="1735" spans="1:9" x14ac:dyDescent="0.25">
      <c r="A1735" s="1">
        <v>42692</v>
      </c>
      <c r="B1735" t="s">
        <v>0</v>
      </c>
      <c r="C1735">
        <v>760.53997800000002</v>
      </c>
      <c r="D1735">
        <v>1.3860978277841243E-2</v>
      </c>
      <c r="E1735">
        <v>1</v>
      </c>
      <c r="F1735">
        <v>776.86549685000011</v>
      </c>
      <c r="G1735">
        <v>19.69396103078234</v>
      </c>
      <c r="H1735">
        <v>816.25341891156484</v>
      </c>
      <c r="I1735">
        <v>737.47757478843539</v>
      </c>
    </row>
    <row r="1736" spans="1:9" x14ac:dyDescent="0.25">
      <c r="A1736" s="1">
        <v>42695</v>
      </c>
      <c r="B1736" t="s">
        <v>0</v>
      </c>
      <c r="C1736">
        <v>769.20001200000002</v>
      </c>
      <c r="D1736">
        <v>-1.1386691364697723E-2</v>
      </c>
      <c r="E1736">
        <v>0</v>
      </c>
      <c r="F1736">
        <v>774.66999820000001</v>
      </c>
      <c r="G1736">
        <v>19.510915453690099</v>
      </c>
      <c r="H1736">
        <v>813.69182910738016</v>
      </c>
      <c r="I1736">
        <v>735.64816729261986</v>
      </c>
    </row>
    <row r="1737" spans="1:9" x14ac:dyDescent="0.25">
      <c r="A1737" s="1">
        <v>42696</v>
      </c>
      <c r="B1737" t="s">
        <v>0</v>
      </c>
      <c r="C1737">
        <v>768.27002000000005</v>
      </c>
      <c r="D1737">
        <v>1.2090379426566756E-3</v>
      </c>
      <c r="E1737">
        <v>1</v>
      </c>
      <c r="F1737">
        <v>772.70000004999997</v>
      </c>
      <c r="G1737">
        <v>17.668365027479123</v>
      </c>
      <c r="H1737">
        <v>808.03673010495822</v>
      </c>
      <c r="I1737">
        <v>737.36326999504172</v>
      </c>
    </row>
    <row r="1738" spans="1:9" x14ac:dyDescent="0.25">
      <c r="A1738" s="1">
        <v>42697</v>
      </c>
      <c r="B1738" t="s">
        <v>0</v>
      </c>
      <c r="C1738">
        <v>760.98999000000003</v>
      </c>
      <c r="D1738">
        <v>9.4758741204036701E-3</v>
      </c>
      <c r="E1738">
        <v>1</v>
      </c>
      <c r="F1738">
        <v>770.7959992000001</v>
      </c>
      <c r="G1738">
        <v>15.988514401502503</v>
      </c>
      <c r="H1738">
        <v>802.77302800300515</v>
      </c>
      <c r="I1738">
        <v>738.81897039699504</v>
      </c>
    </row>
    <row r="1739" spans="1:9" x14ac:dyDescent="0.25">
      <c r="A1739" s="1">
        <v>42699</v>
      </c>
      <c r="B1739" t="s">
        <v>0</v>
      </c>
      <c r="C1739">
        <v>761.67999299999997</v>
      </c>
      <c r="D1739">
        <v>-9.0671757719169637E-4</v>
      </c>
      <c r="E1739">
        <v>0</v>
      </c>
      <c r="F1739">
        <v>769.11250005000022</v>
      </c>
      <c r="G1739">
        <v>14.943348925957139</v>
      </c>
      <c r="H1739">
        <v>798.9991979019145</v>
      </c>
      <c r="I1739">
        <v>739.22580219808594</v>
      </c>
    </row>
    <row r="1740" spans="1:9" x14ac:dyDescent="0.25">
      <c r="A1740" s="1">
        <v>42702</v>
      </c>
      <c r="B1740" t="s">
        <v>0</v>
      </c>
      <c r="C1740">
        <v>768.23999000000003</v>
      </c>
      <c r="D1740">
        <v>-8.6125368399955684E-3</v>
      </c>
      <c r="E1740">
        <v>0</v>
      </c>
      <c r="F1740">
        <v>767.75599980000004</v>
      </c>
      <c r="G1740">
        <v>13.909910887285683</v>
      </c>
      <c r="H1740">
        <v>795.57582157457136</v>
      </c>
      <c r="I1740">
        <v>739.93617802542872</v>
      </c>
    </row>
    <row r="1741" spans="1:9" x14ac:dyDescent="0.25">
      <c r="A1741" s="1">
        <v>42703</v>
      </c>
      <c r="B1741" t="s">
        <v>0</v>
      </c>
      <c r="C1741">
        <v>770.84002699999996</v>
      </c>
      <c r="D1741">
        <v>-3.384407260548789E-3</v>
      </c>
      <c r="E1741">
        <v>0</v>
      </c>
      <c r="F1741">
        <v>767.07100225000011</v>
      </c>
      <c r="G1741">
        <v>12.48358595581167</v>
      </c>
      <c r="H1741">
        <v>792.03817416162349</v>
      </c>
      <c r="I1741">
        <v>742.10383033837672</v>
      </c>
    </row>
    <row r="1742" spans="1:9" x14ac:dyDescent="0.25">
      <c r="A1742" s="1">
        <v>42704</v>
      </c>
      <c r="B1742" t="s">
        <v>0</v>
      </c>
      <c r="C1742">
        <v>758.03997800000002</v>
      </c>
      <c r="D1742">
        <v>1.6605324777718044E-2</v>
      </c>
      <c r="E1742">
        <v>1</v>
      </c>
      <c r="F1742">
        <v>765.79250190000016</v>
      </c>
      <c r="G1742">
        <v>11.955187290531645</v>
      </c>
      <c r="H1742">
        <v>789.70287648106341</v>
      </c>
      <c r="I1742">
        <v>741.88212731893691</v>
      </c>
    </row>
    <row r="1743" spans="1:9" x14ac:dyDescent="0.25">
      <c r="A1743" s="1">
        <v>42705</v>
      </c>
      <c r="B1743" t="s">
        <v>0</v>
      </c>
      <c r="C1743">
        <v>747.919983</v>
      </c>
      <c r="D1743">
        <v>1.3350212777300271E-2</v>
      </c>
      <c r="E1743">
        <v>1</v>
      </c>
      <c r="F1743">
        <v>764.75350044999993</v>
      </c>
      <c r="G1743">
        <v>11.451548947843529</v>
      </c>
      <c r="H1743">
        <v>787.65659834568703</v>
      </c>
      <c r="I1743">
        <v>741.85040255431284</v>
      </c>
    </row>
    <row r="1744" spans="1:9" x14ac:dyDescent="0.25">
      <c r="A1744" s="1">
        <v>42706</v>
      </c>
      <c r="B1744" t="s">
        <v>0</v>
      </c>
      <c r="C1744">
        <v>750.5</v>
      </c>
      <c r="D1744">
        <v>-3.4495896066999428E-3</v>
      </c>
      <c r="E1744">
        <v>0</v>
      </c>
      <c r="F1744">
        <v>764.17200019999996</v>
      </c>
      <c r="G1744">
        <v>12.036018181353198</v>
      </c>
      <c r="H1744">
        <v>788.24403656270636</v>
      </c>
      <c r="I1744">
        <v>740.09996383729356</v>
      </c>
    </row>
    <row r="1745" spans="1:9" x14ac:dyDescent="0.25">
      <c r="A1745" s="1">
        <v>42709</v>
      </c>
      <c r="B1745" t="s">
        <v>0</v>
      </c>
      <c r="C1745">
        <v>762.52002000000005</v>
      </c>
      <c r="D1745">
        <v>-1.60160159893405E-2</v>
      </c>
      <c r="E1745">
        <v>0</v>
      </c>
      <c r="F1745">
        <v>764.19700020000005</v>
      </c>
      <c r="G1745">
        <v>12.409836860952829</v>
      </c>
      <c r="H1745">
        <v>789.01667392190575</v>
      </c>
      <c r="I1745">
        <v>739.37732647809435</v>
      </c>
    </row>
    <row r="1746" spans="1:9" x14ac:dyDescent="0.25">
      <c r="A1746" s="1">
        <v>42710</v>
      </c>
      <c r="B1746" t="s">
        <v>0</v>
      </c>
      <c r="C1746">
        <v>759.10998500000005</v>
      </c>
      <c r="D1746">
        <v>4.472059631955622E-3</v>
      </c>
      <c r="E1746">
        <v>1</v>
      </c>
      <c r="F1746">
        <v>763.02649845000008</v>
      </c>
      <c r="G1746">
        <v>12.461050367132637</v>
      </c>
      <c r="H1746">
        <v>787.94859918426539</v>
      </c>
      <c r="I1746">
        <v>738.10439771573476</v>
      </c>
    </row>
    <row r="1747" spans="1:9" x14ac:dyDescent="0.25">
      <c r="A1747" s="1">
        <v>42711</v>
      </c>
      <c r="B1747" t="s">
        <v>0</v>
      </c>
      <c r="C1747">
        <v>771.19000200000005</v>
      </c>
      <c r="D1747">
        <v>-1.5913394947637261E-2</v>
      </c>
      <c r="E1747">
        <v>0</v>
      </c>
      <c r="F1747">
        <v>762.06049805000009</v>
      </c>
      <c r="G1747">
        <v>11.746404461970579</v>
      </c>
      <c r="H1747">
        <v>785.55330697394129</v>
      </c>
      <c r="I1747">
        <v>738.56768912605889</v>
      </c>
    </row>
    <row r="1748" spans="1:9" x14ac:dyDescent="0.25">
      <c r="A1748" s="1">
        <v>42712</v>
      </c>
      <c r="B1748" t="s">
        <v>0</v>
      </c>
      <c r="C1748">
        <v>776.419983</v>
      </c>
      <c r="D1748">
        <v>-6.7817022866434309E-3</v>
      </c>
      <c r="E1748">
        <v>0</v>
      </c>
      <c r="F1748">
        <v>761.6159973</v>
      </c>
      <c r="G1748">
        <v>10.09327767922526</v>
      </c>
      <c r="H1748">
        <v>781.80255265845051</v>
      </c>
      <c r="I1748">
        <v>741.4294419415495</v>
      </c>
    </row>
    <row r="1749" spans="1:9" x14ac:dyDescent="0.25">
      <c r="A1749" s="1">
        <v>42713</v>
      </c>
      <c r="B1749" t="s">
        <v>0</v>
      </c>
      <c r="C1749">
        <v>789.28997800000002</v>
      </c>
      <c r="D1749">
        <v>-1.6576073879850176E-2</v>
      </c>
      <c r="E1749">
        <v>0</v>
      </c>
      <c r="F1749">
        <v>762.95249630000001</v>
      </c>
      <c r="G1749">
        <v>9.3031231346606482</v>
      </c>
      <c r="H1749">
        <v>781.55874256932134</v>
      </c>
      <c r="I1749">
        <v>744.34625003067868</v>
      </c>
    </row>
    <row r="1750" spans="1:9" x14ac:dyDescent="0.25">
      <c r="A1750" s="1">
        <v>42716</v>
      </c>
      <c r="B1750" t="s">
        <v>0</v>
      </c>
      <c r="C1750">
        <v>789.27002000000005</v>
      </c>
      <c r="D1750">
        <v>2.5286017251284753E-5</v>
      </c>
      <c r="E1750">
        <v>1</v>
      </c>
      <c r="F1750">
        <v>764.71499629999994</v>
      </c>
      <c r="G1750">
        <v>11.150334106105275</v>
      </c>
      <c r="H1750">
        <v>787.01566451221049</v>
      </c>
      <c r="I1750">
        <v>742.41432808778939</v>
      </c>
    </row>
    <row r="1751" spans="1:9" x14ac:dyDescent="0.25">
      <c r="A1751" s="1">
        <v>42717</v>
      </c>
      <c r="B1751" t="s">
        <v>0</v>
      </c>
      <c r="C1751">
        <v>796.09997599999997</v>
      </c>
      <c r="D1751">
        <v>-8.6535099863541305E-3</v>
      </c>
      <c r="E1751">
        <v>0</v>
      </c>
      <c r="F1751">
        <v>767.71599424999999</v>
      </c>
      <c r="G1751">
        <v>12.560424870050335</v>
      </c>
      <c r="H1751">
        <v>792.83684399010065</v>
      </c>
      <c r="I1751">
        <v>742.59514450989934</v>
      </c>
    </row>
    <row r="1752" spans="1:9" x14ac:dyDescent="0.25">
      <c r="A1752" s="1">
        <v>42718</v>
      </c>
      <c r="B1752" t="s">
        <v>0</v>
      </c>
      <c r="C1752">
        <v>797.07000700000003</v>
      </c>
      <c r="D1752">
        <v>-1.2184788710508172E-3</v>
      </c>
      <c r="E1752">
        <v>0</v>
      </c>
      <c r="F1752">
        <v>769.64499510000007</v>
      </c>
      <c r="G1752">
        <v>12.317714291481625</v>
      </c>
      <c r="H1752">
        <v>794.28042368296337</v>
      </c>
      <c r="I1752">
        <v>745.00956651703677</v>
      </c>
    </row>
    <row r="1753" spans="1:9" x14ac:dyDescent="0.25">
      <c r="A1753" s="1">
        <v>42719</v>
      </c>
      <c r="B1753" t="s">
        <v>0</v>
      </c>
      <c r="C1753">
        <v>797.84997599999997</v>
      </c>
      <c r="D1753">
        <v>-9.7854516309749595E-4</v>
      </c>
      <c r="E1753">
        <v>0</v>
      </c>
      <c r="F1753">
        <v>771.31349490000002</v>
      </c>
      <c r="G1753">
        <v>13.634325575395227</v>
      </c>
      <c r="H1753">
        <v>798.58214605079047</v>
      </c>
      <c r="I1753">
        <v>744.04484374920958</v>
      </c>
    </row>
    <row r="1754" spans="1:9" x14ac:dyDescent="0.25">
      <c r="A1754" s="1">
        <v>42720</v>
      </c>
      <c r="B1754" t="s">
        <v>0</v>
      </c>
      <c r="C1754">
        <v>790.79998799999998</v>
      </c>
      <c r="D1754">
        <v>8.8362326403077871E-3</v>
      </c>
      <c r="E1754">
        <v>1</v>
      </c>
      <c r="F1754">
        <v>772.29199529999994</v>
      </c>
      <c r="G1754">
        <v>14.823180903327831</v>
      </c>
      <c r="H1754">
        <v>801.93835710665564</v>
      </c>
      <c r="I1754">
        <v>742.64563349334423</v>
      </c>
    </row>
    <row r="1755" spans="1:9" x14ac:dyDescent="0.25">
      <c r="A1755" s="1">
        <v>42723</v>
      </c>
      <c r="B1755" t="s">
        <v>0</v>
      </c>
      <c r="C1755">
        <v>794.20001200000002</v>
      </c>
      <c r="D1755">
        <v>-4.2994740156723802E-3</v>
      </c>
      <c r="E1755">
        <v>0</v>
      </c>
      <c r="F1755">
        <v>773.97499700000003</v>
      </c>
      <c r="G1755">
        <v>15.479989750619247</v>
      </c>
      <c r="H1755">
        <v>804.93497650123857</v>
      </c>
      <c r="I1755">
        <v>743.01501749876149</v>
      </c>
    </row>
    <row r="1756" spans="1:9" x14ac:dyDescent="0.25">
      <c r="A1756" s="1">
        <v>42724</v>
      </c>
      <c r="B1756" t="s">
        <v>0</v>
      </c>
      <c r="C1756">
        <v>796.419983</v>
      </c>
      <c r="D1756">
        <v>-2.7952291191856425E-3</v>
      </c>
      <c r="E1756">
        <v>0</v>
      </c>
      <c r="F1756">
        <v>775.33599555000001</v>
      </c>
      <c r="G1756">
        <v>15.903143542814803</v>
      </c>
      <c r="H1756">
        <v>807.14228263562961</v>
      </c>
      <c r="I1756">
        <v>743.5297084643704</v>
      </c>
    </row>
    <row r="1757" spans="1:9" x14ac:dyDescent="0.25">
      <c r="A1757" s="1">
        <v>42725</v>
      </c>
      <c r="B1757" t="s">
        <v>0</v>
      </c>
      <c r="C1757">
        <v>794.55999799999995</v>
      </c>
      <c r="D1757">
        <v>2.3354323594364803E-3</v>
      </c>
      <c r="E1757">
        <v>1</v>
      </c>
      <c r="F1757">
        <v>776.65049445</v>
      </c>
      <c r="G1757">
        <v>16.582584042747008</v>
      </c>
      <c r="H1757">
        <v>809.81566253549397</v>
      </c>
      <c r="I1757">
        <v>743.48532636450602</v>
      </c>
    </row>
    <row r="1758" spans="1:9" x14ac:dyDescent="0.25">
      <c r="A1758" s="1">
        <v>42726</v>
      </c>
      <c r="B1758" t="s">
        <v>0</v>
      </c>
      <c r="C1758">
        <v>791.26000999999997</v>
      </c>
      <c r="D1758">
        <v>4.1532269536679912E-3</v>
      </c>
      <c r="E1758">
        <v>1</v>
      </c>
      <c r="F1758">
        <v>778.1639954499999</v>
      </c>
      <c r="G1758">
        <v>17.023474295271996</v>
      </c>
      <c r="H1758">
        <v>812.21094404054384</v>
      </c>
      <c r="I1758">
        <v>744.11704685945597</v>
      </c>
    </row>
    <row r="1759" spans="1:9" x14ac:dyDescent="0.25">
      <c r="A1759" s="1">
        <v>42727</v>
      </c>
      <c r="B1759" t="s">
        <v>0</v>
      </c>
      <c r="C1759">
        <v>789.90997300000004</v>
      </c>
      <c r="D1759">
        <v>1.7061863141547232E-3</v>
      </c>
      <c r="E1759">
        <v>1</v>
      </c>
      <c r="F1759">
        <v>779.57549445000006</v>
      </c>
      <c r="G1759">
        <v>16.900265181459339</v>
      </c>
      <c r="H1759">
        <v>813.37602481291879</v>
      </c>
      <c r="I1759">
        <v>745.77496408708134</v>
      </c>
    </row>
    <row r="1760" spans="1:9" x14ac:dyDescent="0.25">
      <c r="A1760" s="1">
        <v>42731</v>
      </c>
      <c r="B1760" t="s">
        <v>0</v>
      </c>
      <c r="C1760">
        <v>791.54998799999998</v>
      </c>
      <c r="D1760">
        <v>-2.0762049550676434E-3</v>
      </c>
      <c r="E1760">
        <v>0</v>
      </c>
      <c r="F1760">
        <v>780.74099434999994</v>
      </c>
      <c r="G1760">
        <v>16.622423919459507</v>
      </c>
      <c r="H1760">
        <v>813.98584218891892</v>
      </c>
      <c r="I1760">
        <v>747.49614651108095</v>
      </c>
    </row>
    <row r="1761" spans="1:9" x14ac:dyDescent="0.25">
      <c r="A1761" s="1">
        <v>42732</v>
      </c>
      <c r="B1761" t="s">
        <v>0</v>
      </c>
      <c r="C1761">
        <v>785.04998799999998</v>
      </c>
      <c r="D1761">
        <v>8.2117365909176159E-3</v>
      </c>
      <c r="E1761">
        <v>1</v>
      </c>
      <c r="F1761">
        <v>781.45149239999989</v>
      </c>
      <c r="G1761">
        <v>16.578231091875402</v>
      </c>
      <c r="H1761">
        <v>814.60795458375071</v>
      </c>
      <c r="I1761">
        <v>748.29503021624907</v>
      </c>
    </row>
    <row r="1762" spans="1:9" x14ac:dyDescent="0.25">
      <c r="A1762" s="1">
        <v>42733</v>
      </c>
      <c r="B1762" t="s">
        <v>0</v>
      </c>
      <c r="C1762">
        <v>782.78997800000002</v>
      </c>
      <c r="D1762">
        <v>2.878810310866428E-3</v>
      </c>
      <c r="E1762">
        <v>1</v>
      </c>
      <c r="F1762">
        <v>782.68899239999996</v>
      </c>
      <c r="G1762">
        <v>16.47381106538543</v>
      </c>
      <c r="H1762">
        <v>815.63661453077077</v>
      </c>
      <c r="I1762">
        <v>749.74137026922915</v>
      </c>
    </row>
    <row r="1763" spans="1:9" x14ac:dyDescent="0.25">
      <c r="A1763" s="1">
        <v>42734</v>
      </c>
      <c r="B1763" t="s">
        <v>0</v>
      </c>
      <c r="C1763">
        <v>771.82000700000003</v>
      </c>
      <c r="D1763">
        <v>1.4013938998079491E-2</v>
      </c>
      <c r="E1763">
        <v>1</v>
      </c>
      <c r="F1763">
        <v>783.88399359999983</v>
      </c>
      <c r="G1763">
        <v>15.570365867442442</v>
      </c>
      <c r="H1763">
        <v>815.02472533488469</v>
      </c>
      <c r="I1763">
        <v>752.74326186511496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functions.main">
                <anchor moveWithCells="1" sizeWithCells="1">
                  <from>
                    <xdr:col>10</xdr:col>
                    <xdr:colOff>200025</xdr:colOff>
                    <xdr:row>15</xdr:row>
                    <xdr:rowOff>180975</xdr:rowOff>
                  </from>
                  <to>
                    <xdr:col>17</xdr:col>
                    <xdr:colOff>733425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E28EA-1BC2-4CC2-94E0-AD4AAD3B4A21}">
  <sheetPr codeName="Feuil1"/>
  <dimension ref="B1:U1766"/>
  <sheetViews>
    <sheetView zoomScale="85" zoomScaleNormal="85" workbookViewId="0">
      <selection activeCell="R7" sqref="R7"/>
    </sheetView>
  </sheetViews>
  <sheetFormatPr baseColWidth="10" defaultRowHeight="15" x14ac:dyDescent="0.25"/>
  <cols>
    <col min="7" max="7" width="11.28515625" bestFit="1" customWidth="1"/>
    <col min="11" max="11" width="13.42578125" customWidth="1"/>
    <col min="12" max="12" width="23" customWidth="1"/>
    <col min="13" max="13" width="22.85546875" customWidth="1"/>
    <col min="18" max="18" width="14.42578125" customWidth="1"/>
    <col min="19" max="19" width="15.28515625" customWidth="1"/>
    <col min="20" max="20" width="13.28515625" bestFit="1" customWidth="1"/>
  </cols>
  <sheetData>
    <row r="1" spans="2:21" ht="24" thickBot="1" x14ac:dyDescent="0.4">
      <c r="B1" s="86" t="s">
        <v>38</v>
      </c>
      <c r="C1" s="87"/>
      <c r="D1" s="87"/>
      <c r="E1" s="87"/>
      <c r="F1" s="87"/>
      <c r="G1" s="87"/>
      <c r="H1" s="87"/>
      <c r="I1" s="87"/>
      <c r="J1" s="88"/>
      <c r="O1" s="86" t="s">
        <v>39</v>
      </c>
      <c r="P1" s="87"/>
      <c r="Q1" s="87"/>
      <c r="R1" s="87"/>
      <c r="S1" s="87"/>
      <c r="T1" s="88"/>
      <c r="U1" s="42"/>
    </row>
    <row r="2" spans="2:21" ht="15.75" thickBot="1" x14ac:dyDescent="0.3"/>
    <row r="3" spans="2:21" ht="45.75" thickBot="1" x14ac:dyDescent="0.3">
      <c r="B3" s="43" t="s">
        <v>40</v>
      </c>
      <c r="C3" s="44" t="s">
        <v>41</v>
      </c>
      <c r="D3" s="44" t="s">
        <v>42</v>
      </c>
      <c r="E3" s="44" t="s">
        <v>43</v>
      </c>
      <c r="F3" s="44" t="s">
        <v>44</v>
      </c>
      <c r="G3" s="44" t="s">
        <v>45</v>
      </c>
      <c r="H3" s="44" t="s">
        <v>46</v>
      </c>
      <c r="I3" s="44" t="s">
        <v>25</v>
      </c>
      <c r="J3" s="45" t="s">
        <v>32</v>
      </c>
      <c r="O3" s="43" t="s">
        <v>40</v>
      </c>
      <c r="P3" s="44" t="s">
        <v>41</v>
      </c>
      <c r="Q3" s="46" t="s">
        <v>47</v>
      </c>
      <c r="R3" s="46" t="s">
        <v>48</v>
      </c>
      <c r="S3" s="44" t="s">
        <v>45</v>
      </c>
      <c r="T3" s="45" t="s">
        <v>46</v>
      </c>
    </row>
    <row r="4" spans="2:21" x14ac:dyDescent="0.25">
      <c r="B4" s="47"/>
      <c r="C4" s="48"/>
      <c r="D4" s="48"/>
      <c r="E4" s="48"/>
      <c r="F4" s="48"/>
      <c r="G4" s="48">
        <f>SQRT(s0)</f>
        <v>1.6001316384385234E-2</v>
      </c>
      <c r="H4" s="49">
        <f ca="1">_xlfn.NORM.INV(RAND(),0,1)</f>
        <v>0.4915889854724419</v>
      </c>
      <c r="I4" s="48"/>
      <c r="J4" s="50"/>
      <c r="L4" s="51" t="s">
        <v>18</v>
      </c>
      <c r="M4" s="52">
        <v>2</v>
      </c>
      <c r="O4" s="53">
        <v>42226</v>
      </c>
      <c r="P4">
        <v>633.72997999999995</v>
      </c>
      <c r="Q4" s="54"/>
      <c r="S4" s="55">
        <f>M35</f>
        <v>2.140143024965024E-4</v>
      </c>
      <c r="T4" s="56">
        <f ca="1">_xlfn.NORM.INV(RAND(),0,1)</f>
        <v>0.75965825664385656</v>
      </c>
    </row>
    <row r="5" spans="2:21" x14ac:dyDescent="0.25">
      <c r="B5" s="53">
        <v>40182</v>
      </c>
      <c r="C5">
        <v>312.20530839999998</v>
      </c>
      <c r="G5">
        <f ca="1">SQRT(A_0+A_1*POWER(H4,2)+B_1*POWER(G4,2))</f>
        <v>9.0352571925073136E-3</v>
      </c>
      <c r="H5">
        <f ca="1">_xlfn.NORM.INV(RAND(),0,1)</f>
        <v>-6.609627904552659E-2</v>
      </c>
      <c r="J5" s="57">
        <v>0</v>
      </c>
      <c r="L5" s="58" t="s">
        <v>49</v>
      </c>
      <c r="M5" s="59">
        <f>_xlfn.VAR.P(D6:D1413)</f>
        <v>2.5604212603319533E-4</v>
      </c>
      <c r="O5" s="53">
        <v>42227</v>
      </c>
      <c r="P5">
        <v>660.78002900000001</v>
      </c>
      <c r="Q5" s="54">
        <f t="shared" ref="Q5:Q68" si="0">(P5-P4)/P4</f>
        <v>4.2683871449477676E-2</v>
      </c>
      <c r="S5">
        <f ca="1">SQRT(A_0+A_1*POWER(S4,2)+B_1*POWER(T4,2))</f>
        <v>0.17307382852548753</v>
      </c>
      <c r="T5" s="56">
        <f t="shared" ref="T5:T68" ca="1" si="1">_xlfn.NORM.INV(RAND(),0,1)</f>
        <v>-0.99321112217814167</v>
      </c>
    </row>
    <row r="6" spans="2:21" x14ac:dyDescent="0.25">
      <c r="B6" s="53">
        <v>40183</v>
      </c>
      <c r="C6">
        <v>310.83045859999999</v>
      </c>
      <c r="D6" s="54">
        <f>(C6-C5)/C5</f>
        <v>-4.4036720805481116E-3</v>
      </c>
      <c r="G6">
        <f t="shared" ref="G6:G68" ca="1" si="2">SQRT(A_0+A_1*POWER(H5,2)+B_1*POWER(G5,2))</f>
        <v>2.5439926736299701E-3</v>
      </c>
      <c r="H6">
        <f ca="1">_xlfn.NORM.INV(RAND(),0,1)</f>
        <v>1.3058693564622501</v>
      </c>
      <c r="J6" s="60">
        <v>1</v>
      </c>
      <c r="L6" s="61"/>
      <c r="M6" s="62"/>
      <c r="O6" s="53">
        <v>42228</v>
      </c>
      <c r="P6">
        <v>659.55999799999995</v>
      </c>
      <c r="Q6" s="54">
        <f t="shared" si="0"/>
        <v>-1.846349687423835E-3</v>
      </c>
      <c r="S6">
        <f t="shared" ref="S6:S68" ca="1" si="3">SQRT(A_0+A_1*POWER(S5,2)+B_1*POWER(T5,2))</f>
        <v>0.22630129589993692</v>
      </c>
      <c r="T6" s="56">
        <f t="shared" ca="1" si="1"/>
        <v>-1.1394345767665084</v>
      </c>
    </row>
    <row r="7" spans="2:21" x14ac:dyDescent="0.25">
      <c r="B7" s="53">
        <v>40184</v>
      </c>
      <c r="C7">
        <v>302.99481259999999</v>
      </c>
      <c r="D7" s="54">
        <f t="shared" ref="D7:D70" si="4">(C7-C6)/C6</f>
        <v>-2.520874574291156E-2</v>
      </c>
      <c r="G7">
        <f ca="1">SQRT(A_0+A_1*POWER(H6,2)+B_1*POWER(G6,2))</f>
        <v>2.1828043687858546E-2</v>
      </c>
      <c r="H7">
        <f ca="1">_xlfn.NORM.INV(RAND(),0,1)</f>
        <v>-2.1094934464324178</v>
      </c>
      <c r="J7" s="57">
        <v>2</v>
      </c>
      <c r="L7" s="58" t="s">
        <v>50</v>
      </c>
      <c r="M7" s="63">
        <v>1.0174026382234101E-6</v>
      </c>
      <c r="O7" s="53">
        <v>42229</v>
      </c>
      <c r="P7">
        <v>656.45001200000002</v>
      </c>
      <c r="Q7" s="54">
        <f t="shared" si="0"/>
        <v>-4.7152435099618271E-3</v>
      </c>
      <c r="S7">
        <f t="shared" ca="1" si="3"/>
        <v>0.25962374236663882</v>
      </c>
      <c r="T7" s="56">
        <f t="shared" ca="1" si="1"/>
        <v>0.65957818058156192</v>
      </c>
    </row>
    <row r="8" spans="2:21" x14ac:dyDescent="0.25">
      <c r="B8" s="53">
        <v>40185</v>
      </c>
      <c r="C8">
        <v>295.94124210000001</v>
      </c>
      <c r="D8" s="54">
        <f t="shared" si="4"/>
        <v>-2.3279509109325188E-2</v>
      </c>
      <c r="E8" s="54">
        <f t="shared" ref="E8:E71" ca="1" si="5">((E_1*D7)+(E_2*D6)+(G8*H8))</f>
        <v>-1.5789215734369894E-2</v>
      </c>
      <c r="F8" s="64">
        <f ca="1">D8-E8</f>
        <v>-7.4902933749552945E-3</v>
      </c>
      <c r="G8">
        <f ca="1">SQRT(A_0+A_1*POWER(H7,2)+B_1*POWER(G7,2))</f>
        <v>3.5574530153472311E-2</v>
      </c>
      <c r="H8">
        <f ca="1">_xlfn.NORM.INV(RAND(),0,1)</f>
        <v>-0.38822730506105996</v>
      </c>
      <c r="I8">
        <f ca="1">LN(_xlfn.NORM.DIST(F8,AVERAGE($F$8:$F$1413),_xlfn.STDEV.S($F$8:$F$1413),FALSE))</f>
        <v>2.71782288169591</v>
      </c>
      <c r="J8" s="60">
        <v>3</v>
      </c>
      <c r="L8" s="58" t="s">
        <v>51</v>
      </c>
      <c r="M8" s="63">
        <v>2.78608818569722E-4</v>
      </c>
      <c r="O8" s="53">
        <v>42230</v>
      </c>
      <c r="P8">
        <v>657.11999500000002</v>
      </c>
      <c r="Q8" s="54">
        <f t="shared" si="0"/>
        <v>1.0206154128305537E-3</v>
      </c>
      <c r="R8">
        <f t="shared" ref="R8:R71" ca="1" si="6">((E_1*Q7)+(E_2*Q6)+(S8*T8))</f>
        <v>0.26959164563350979</v>
      </c>
      <c r="S8">
        <f t="shared" ca="1" si="3"/>
        <v>0.15033577243484206</v>
      </c>
      <c r="T8" s="56">
        <f t="shared" ca="1" si="1"/>
        <v>1.7987798588307713</v>
      </c>
    </row>
    <row r="9" spans="2:21" x14ac:dyDescent="0.25">
      <c r="B9" s="53">
        <v>40186</v>
      </c>
      <c r="C9">
        <v>299.88646990000001</v>
      </c>
      <c r="D9" s="54">
        <f t="shared" si="4"/>
        <v>1.3331118609912727E-2</v>
      </c>
      <c r="E9" s="54">
        <f t="shared" ca="1" si="5"/>
        <v>-4.418728998591543E-3</v>
      </c>
      <c r="F9" s="64">
        <f t="shared" ref="F9:F72" ca="1" si="7">D9-E9</f>
        <v>1.774984760850427E-2</v>
      </c>
      <c r="G9">
        <f t="shared" ca="1" si="2"/>
        <v>1.042583454966951E-2</v>
      </c>
      <c r="H9">
        <f t="shared" ref="H9:H72" ca="1" si="8">_xlfn.NORM.INV(RAND(),0,1)</f>
        <v>0.66214601420588315</v>
      </c>
      <c r="I9">
        <f t="shared" ref="I9:I72" ca="1" si="9">LN(_xlfn.NORM.DIST(F9,AVERAGE($F$8:$F$1413),_xlfn.STDEV.S($F$8:$F$1413),FALSE))</f>
        <v>2.5457572560829105</v>
      </c>
      <c r="J9" s="57">
        <v>4</v>
      </c>
      <c r="L9" s="58" t="s">
        <v>52</v>
      </c>
      <c r="M9" s="63">
        <v>5.19052784537773E-2</v>
      </c>
      <c r="O9" s="53">
        <v>42233</v>
      </c>
      <c r="P9">
        <v>660.86999500000002</v>
      </c>
      <c r="Q9" s="54">
        <f t="shared" si="0"/>
        <v>5.706720277169469E-3</v>
      </c>
      <c r="R9">
        <f t="shared" ca="1" si="6"/>
        <v>0.10490159060926044</v>
      </c>
      <c r="S9">
        <f t="shared" ca="1" si="3"/>
        <v>0.40982008162050859</v>
      </c>
      <c r="T9" s="56">
        <f t="shared" ca="1" si="1"/>
        <v>0.26113723587281107</v>
      </c>
    </row>
    <row r="10" spans="2:21" x14ac:dyDescent="0.25">
      <c r="B10" s="53">
        <v>40189</v>
      </c>
      <c r="C10">
        <v>299.43316099999998</v>
      </c>
      <c r="D10" s="54">
        <f t="shared" si="4"/>
        <v>-1.5116017076435115E-3</v>
      </c>
      <c r="E10" s="54">
        <f t="shared" ca="1" si="5"/>
        <v>-1.3425588011360724E-2</v>
      </c>
      <c r="F10" s="64">
        <f t="shared" ca="1" si="7"/>
        <v>1.1913986303717213E-2</v>
      </c>
      <c r="G10">
        <f t="shared" ca="1" si="2"/>
        <v>1.1349533664985818E-2</v>
      </c>
      <c r="H10">
        <f t="shared" ca="1" si="8"/>
        <v>-0.26173092644594093</v>
      </c>
      <c r="I10">
        <f t="shared" ca="1" si="9"/>
        <v>2.6770254420335537</v>
      </c>
      <c r="J10" s="60">
        <v>5</v>
      </c>
      <c r="L10" s="61"/>
      <c r="M10" s="65"/>
      <c r="O10" s="53">
        <v>42234</v>
      </c>
      <c r="P10">
        <v>656.13000499999998</v>
      </c>
      <c r="Q10" s="54">
        <f t="shared" si="0"/>
        <v>-7.1723486250878047E-3</v>
      </c>
      <c r="R10">
        <f t="shared" ca="1" si="6"/>
        <v>-7.0912589446122682E-3</v>
      </c>
      <c r="S10">
        <f t="shared" ca="1" si="3"/>
        <v>5.9894651231254099E-2</v>
      </c>
      <c r="T10" s="56">
        <f t="shared" ca="1" si="1"/>
        <v>-0.12605025589443353</v>
      </c>
    </row>
    <row r="11" spans="2:21" x14ac:dyDescent="0.25">
      <c r="B11" s="53">
        <v>40190</v>
      </c>
      <c r="C11">
        <v>294.13801649999999</v>
      </c>
      <c r="D11" s="54">
        <f t="shared" si="4"/>
        <v>-1.7683894737363415E-2</v>
      </c>
      <c r="E11" s="54">
        <f t="shared" ca="1" si="5"/>
        <v>-1.5462474626339994E-4</v>
      </c>
      <c r="F11" s="64">
        <f t="shared" ca="1" si="7"/>
        <v>-1.7529269991100015E-2</v>
      </c>
      <c r="G11">
        <f t="shared" ca="1" si="2"/>
        <v>5.1758074263300036E-3</v>
      </c>
      <c r="H11">
        <f t="shared" ca="1" si="8"/>
        <v>-1.1866498419866132</v>
      </c>
      <c r="I11">
        <f t="shared" ca="1" si="9"/>
        <v>2.5001380491808005</v>
      </c>
      <c r="J11" s="57">
        <v>6</v>
      </c>
      <c r="L11" s="58" t="s">
        <v>53</v>
      </c>
      <c r="M11" s="63">
        <v>1.7233473762219101E-5</v>
      </c>
      <c r="O11" s="53">
        <v>42235</v>
      </c>
      <c r="P11">
        <v>660.90002400000003</v>
      </c>
      <c r="Q11" s="54">
        <f t="shared" si="0"/>
        <v>7.269929684133326E-3</v>
      </c>
      <c r="R11">
        <f t="shared" ca="1" si="6"/>
        <v>2.4785133003856707E-2</v>
      </c>
      <c r="S11">
        <f t="shared" ca="1" si="3"/>
        <v>2.875278353157595E-2</v>
      </c>
      <c r="T11" s="56">
        <f t="shared" ca="1" si="1"/>
        <v>0.77287314499706394</v>
      </c>
    </row>
    <row r="12" spans="2:21" x14ac:dyDescent="0.25">
      <c r="B12" s="53">
        <v>40191</v>
      </c>
      <c r="C12">
        <v>292.44932360000001</v>
      </c>
      <c r="D12" s="54">
        <f t="shared" si="4"/>
        <v>-5.7411582497700637E-3</v>
      </c>
      <c r="E12" s="54">
        <f t="shared" ca="1" si="5"/>
        <v>2.0898751759172829E-2</v>
      </c>
      <c r="F12" s="64">
        <f t="shared" ca="1" si="7"/>
        <v>-2.6639910008942891E-2</v>
      </c>
      <c r="G12">
        <f t="shared" ca="1" si="2"/>
        <v>1.9867750610140879E-2</v>
      </c>
      <c r="H12">
        <f t="shared" ca="1" si="8"/>
        <v>1.0860790201855672</v>
      </c>
      <c r="I12">
        <f t="shared" ca="1" si="9"/>
        <v>2.1616371541544632</v>
      </c>
      <c r="J12" s="60">
        <v>7</v>
      </c>
      <c r="L12" s="58" t="s">
        <v>54</v>
      </c>
      <c r="M12" s="63">
        <v>0.44912002838536003</v>
      </c>
      <c r="O12" s="53">
        <v>42236</v>
      </c>
      <c r="P12">
        <v>646.830017</v>
      </c>
      <c r="Q12" s="54">
        <f t="shared" si="0"/>
        <v>-2.1289160976032936E-2</v>
      </c>
      <c r="R12">
        <f t="shared" ca="1" si="6"/>
        <v>0.3090584094065737</v>
      </c>
      <c r="S12">
        <f t="shared" ca="1" si="3"/>
        <v>0.17608514459913835</v>
      </c>
      <c r="T12" s="56">
        <f t="shared" ca="1" si="1"/>
        <v>1.7734575523076148</v>
      </c>
    </row>
    <row r="13" spans="2:21" x14ac:dyDescent="0.25">
      <c r="B13" s="53">
        <v>40192</v>
      </c>
      <c r="C13">
        <v>293.82417340000001</v>
      </c>
      <c r="D13" s="54">
        <f t="shared" si="4"/>
        <v>4.7011556842595226E-3</v>
      </c>
      <c r="E13" s="54">
        <f t="shared" ca="1" si="5"/>
        <v>-1.2205722827855293E-2</v>
      </c>
      <c r="F13" s="64">
        <f t="shared" ca="1" si="7"/>
        <v>1.6906878512114816E-2</v>
      </c>
      <c r="G13">
        <f t="shared" ca="1" si="2"/>
        <v>1.871212949539006E-2</v>
      </c>
      <c r="H13">
        <f t="shared" ca="1" si="8"/>
        <v>-0.22784325976352396</v>
      </c>
      <c r="I13">
        <f t="shared" ca="1" si="9"/>
        <v>2.5681186983901716</v>
      </c>
      <c r="J13" s="57">
        <v>8</v>
      </c>
      <c r="L13" s="61"/>
      <c r="M13" s="62"/>
      <c r="O13" s="53">
        <v>42237</v>
      </c>
      <c r="P13">
        <v>612.47997999999995</v>
      </c>
      <c r="Q13" s="54">
        <f t="shared" si="0"/>
        <v>-5.3105199352552687E-2</v>
      </c>
      <c r="R13">
        <f t="shared" ca="1" si="6"/>
        <v>-0.16977541495716458</v>
      </c>
      <c r="S13">
        <f t="shared" ca="1" si="3"/>
        <v>0.40405399414178811</v>
      </c>
      <c r="T13" s="56">
        <f t="shared" ca="1" si="1"/>
        <v>-0.42825989002930848</v>
      </c>
    </row>
    <row r="14" spans="2:21" x14ac:dyDescent="0.25">
      <c r="B14" s="53">
        <v>40193</v>
      </c>
      <c r="C14">
        <v>288.91754859999998</v>
      </c>
      <c r="D14" s="54">
        <f t="shared" si="4"/>
        <v>-1.6699186943071414E-2</v>
      </c>
      <c r="E14" s="54">
        <f t="shared" ca="1" si="5"/>
        <v>4.3994538506742066E-3</v>
      </c>
      <c r="F14" s="64">
        <f t="shared" ca="1" si="7"/>
        <v>-2.109864079374562E-2</v>
      </c>
      <c r="G14">
        <f t="shared" ca="1" si="2"/>
        <v>5.8012936556131652E-3</v>
      </c>
      <c r="H14">
        <f t="shared" ca="1" si="8"/>
        <v>1.202807925915125</v>
      </c>
      <c r="I14">
        <f t="shared" ca="1" si="9"/>
        <v>2.3834988395828258</v>
      </c>
      <c r="J14" s="60">
        <v>9</v>
      </c>
      <c r="L14" s="58" t="s">
        <v>25</v>
      </c>
      <c r="M14" s="57">
        <f ca="1">SUM(I8:I1413)</f>
        <v>3198.923040017653</v>
      </c>
      <c r="O14" s="53">
        <v>42240</v>
      </c>
      <c r="P14">
        <v>589.60998500000005</v>
      </c>
      <c r="Q14" s="54">
        <f t="shared" si="0"/>
        <v>-3.7339987831112302E-2</v>
      </c>
      <c r="R14">
        <f t="shared" ca="1" si="6"/>
        <v>-0.19161516933653791</v>
      </c>
      <c r="S14">
        <f t="shared" ca="1" si="3"/>
        <v>9.7807311393899379E-2</v>
      </c>
      <c r="T14" s="56">
        <f t="shared" ca="1" si="1"/>
        <v>-1.8613420916401671</v>
      </c>
    </row>
    <row r="15" spans="2:21" ht="15.75" thickBot="1" x14ac:dyDescent="0.3">
      <c r="B15" s="53">
        <v>40197</v>
      </c>
      <c r="C15">
        <v>292.7133316</v>
      </c>
      <c r="D15" s="54">
        <f t="shared" si="4"/>
        <v>1.3137945474039748E-2</v>
      </c>
      <c r="E15" s="54">
        <f t="shared" ca="1" si="5"/>
        <v>1.6690478176502467E-2</v>
      </c>
      <c r="F15" s="64">
        <f t="shared" ca="1" si="7"/>
        <v>-3.5525327024627188E-3</v>
      </c>
      <c r="G15">
        <f t="shared" ca="1" si="2"/>
        <v>2.0145488865586342E-2</v>
      </c>
      <c r="H15">
        <f t="shared" ca="1" si="8"/>
        <v>0.72370459135639009</v>
      </c>
      <c r="I15">
        <f t="shared" ca="1" si="9"/>
        <v>2.7587461117313223</v>
      </c>
      <c r="J15" s="57">
        <v>10</v>
      </c>
      <c r="L15" s="66" t="s">
        <v>26</v>
      </c>
      <c r="M15" s="67">
        <f ca="1">_xlfn.STDEV.S(H5:H1413)</f>
        <v>1.0311432236240272</v>
      </c>
      <c r="O15" s="53">
        <v>42241</v>
      </c>
      <c r="P15">
        <v>582.05999799999995</v>
      </c>
      <c r="Q15" s="54">
        <f t="shared" si="0"/>
        <v>-1.2805052818093134E-2</v>
      </c>
      <c r="R15">
        <f t="shared" ca="1" si="6"/>
        <v>0.52336493012525653</v>
      </c>
      <c r="S15">
        <f t="shared" ca="1" si="3"/>
        <v>0.42406888447839525</v>
      </c>
      <c r="T15" s="56">
        <f t="shared" ca="1" si="1"/>
        <v>1.290394561573792</v>
      </c>
    </row>
    <row r="16" spans="2:21" x14ac:dyDescent="0.25">
      <c r="B16" s="53">
        <v>40198</v>
      </c>
      <c r="C16">
        <v>289.121803</v>
      </c>
      <c r="D16" s="54">
        <f t="shared" si="4"/>
        <v>-1.2269781428704846E-2</v>
      </c>
      <c r="E16" s="54">
        <f t="shared" ca="1" si="5"/>
        <v>-1.832602841080452E-2</v>
      </c>
      <c r="F16" s="64">
        <f t="shared" ca="1" si="7"/>
        <v>6.0562469820996737E-3</v>
      </c>
      <c r="G16">
        <f t="shared" ca="1" si="2"/>
        <v>1.2961619624800871E-2</v>
      </c>
      <c r="H16">
        <f t="shared" ca="1" si="8"/>
        <v>-0.83525946777849469</v>
      </c>
      <c r="I16">
        <f t="shared" ca="1" si="9"/>
        <v>2.7534478814379026</v>
      </c>
      <c r="J16" s="60">
        <v>11</v>
      </c>
      <c r="O16" s="53">
        <v>42242</v>
      </c>
      <c r="P16">
        <v>628.61999500000002</v>
      </c>
      <c r="Q16" s="54">
        <f t="shared" si="0"/>
        <v>7.9991748548231392E-2</v>
      </c>
      <c r="R16">
        <f t="shared" ca="1" si="6"/>
        <v>0.10928437383574244</v>
      </c>
      <c r="S16">
        <f t="shared" ca="1" si="3"/>
        <v>0.29407403960607104</v>
      </c>
      <c r="T16" s="56">
        <f t="shared" ca="1" si="1"/>
        <v>0.42864963896425495</v>
      </c>
    </row>
    <row r="17" spans="2:20" x14ac:dyDescent="0.25">
      <c r="B17" s="53">
        <v>40199</v>
      </c>
      <c r="C17">
        <v>290.40198709999999</v>
      </c>
      <c r="D17" s="54">
        <f t="shared" si="4"/>
        <v>4.4278365959138175E-3</v>
      </c>
      <c r="E17" s="54">
        <f t="shared" ca="1" si="5"/>
        <v>3.6804653797079859E-3</v>
      </c>
      <c r="F17" s="64">
        <f t="shared" ca="1" si="7"/>
        <v>7.473712162058316E-4</v>
      </c>
      <c r="G17">
        <f t="shared" ca="1" si="2"/>
        <v>1.4286757925207722E-2</v>
      </c>
      <c r="H17">
        <f t="shared" ca="1" si="8"/>
        <v>-0.15537728189857761</v>
      </c>
      <c r="I17">
        <f t="shared" ca="1" si="9"/>
        <v>2.7748170542291724</v>
      </c>
      <c r="J17" s="57">
        <v>12</v>
      </c>
      <c r="O17" s="53">
        <v>42243</v>
      </c>
      <c r="P17">
        <v>637.60998500000005</v>
      </c>
      <c r="Q17" s="54">
        <f t="shared" si="0"/>
        <v>1.4301151842934991E-2</v>
      </c>
      <c r="R17">
        <f t="shared" ca="1" si="6"/>
        <v>0.10186365213456067</v>
      </c>
      <c r="S17">
        <f t="shared" ca="1" si="3"/>
        <v>9.7786572979150541E-2</v>
      </c>
      <c r="T17" s="56">
        <f t="shared" ca="1" si="1"/>
        <v>1.1004913660993472</v>
      </c>
    </row>
    <row r="18" spans="2:20" x14ac:dyDescent="0.25">
      <c r="B18" s="53">
        <v>40200</v>
      </c>
      <c r="C18">
        <v>273.97852769999997</v>
      </c>
      <c r="D18" s="54">
        <f t="shared" si="4"/>
        <v>-5.6554225279266394E-2</v>
      </c>
      <c r="E18" s="54">
        <f t="shared" ca="1" si="5"/>
        <v>-1.2195543795190205E-2</v>
      </c>
      <c r="F18" s="64">
        <f t="shared" ca="1" si="7"/>
        <v>-4.4358681484076193E-2</v>
      </c>
      <c r="G18">
        <f t="shared" ca="1" si="2"/>
        <v>4.2822968456435661E-3</v>
      </c>
      <c r="H18">
        <f t="shared" ca="1" si="8"/>
        <v>-1.5610817651407489</v>
      </c>
      <c r="I18">
        <f t="shared" ca="1" si="9"/>
        <v>1.1192548942113631</v>
      </c>
      <c r="J18" s="60">
        <v>13</v>
      </c>
      <c r="O18" s="53">
        <v>42244</v>
      </c>
      <c r="P18">
        <v>630.38000499999998</v>
      </c>
      <c r="Q18" s="54">
        <f t="shared" si="0"/>
        <v>-1.133918879893336E-2</v>
      </c>
      <c r="R18">
        <f t="shared" ca="1" si="6"/>
        <v>4.6065999156349645E-2</v>
      </c>
      <c r="S18">
        <f t="shared" ca="1" si="3"/>
        <v>0.25072931792695935</v>
      </c>
      <c r="T18" s="56">
        <f t="shared" ca="1" si="1"/>
        <v>4.0441446589035084E-2</v>
      </c>
    </row>
    <row r="19" spans="2:20" x14ac:dyDescent="0.25">
      <c r="B19" s="53">
        <v>40203</v>
      </c>
      <c r="C19">
        <v>268.99222159999999</v>
      </c>
      <c r="D19" s="54">
        <f t="shared" si="4"/>
        <v>-1.8199623678027303E-2</v>
      </c>
      <c r="E19" s="54">
        <f t="shared" ca="1" si="5"/>
        <v>-3.0712145960085802E-3</v>
      </c>
      <c r="F19" s="64">
        <f t="shared" ca="1" si="7"/>
        <v>-1.5128409082018722E-2</v>
      </c>
      <c r="G19">
        <f t="shared" ca="1" si="2"/>
        <v>2.6094680044381736E-2</v>
      </c>
      <c r="H19">
        <f t="shared" ca="1" si="8"/>
        <v>-0.19386595502568069</v>
      </c>
      <c r="I19">
        <f t="shared" ca="1" si="9"/>
        <v>2.5670130870978474</v>
      </c>
      <c r="J19" s="57">
        <v>14</v>
      </c>
      <c r="O19" s="53">
        <v>42247</v>
      </c>
      <c r="P19">
        <v>618.25</v>
      </c>
      <c r="Q19" s="54">
        <f t="shared" si="0"/>
        <v>-1.924236952915406E-2</v>
      </c>
      <c r="R19">
        <f t="shared" ca="1" si="6"/>
        <v>6.6540423265776562E-3</v>
      </c>
      <c r="S19">
        <f t="shared" ca="1" si="3"/>
        <v>1.0169750853249112E-2</v>
      </c>
      <c r="T19" s="56">
        <f t="shared" ca="1" si="1"/>
        <v>2.2744315164230571E-2</v>
      </c>
    </row>
    <row r="20" spans="2:20" x14ac:dyDescent="0.25">
      <c r="B20" s="53">
        <v>40204</v>
      </c>
      <c r="C20">
        <v>270.19769819999999</v>
      </c>
      <c r="D20" s="54">
        <f t="shared" si="4"/>
        <v>4.481455236250583E-3</v>
      </c>
      <c r="E20" s="54">
        <f t="shared" ca="1" si="5"/>
        <v>-2.5297090652808218E-2</v>
      </c>
      <c r="F20" s="64">
        <f t="shared" ca="1" si="7"/>
        <v>2.9778545889058802E-2</v>
      </c>
      <c r="G20">
        <f t="shared" ca="1" si="2"/>
        <v>6.8434363349024301E-3</v>
      </c>
      <c r="H20">
        <f t="shared" ca="1" si="8"/>
        <v>1.5030205240676737E-2</v>
      </c>
      <c r="I20">
        <f t="shared" ca="1" si="9"/>
        <v>2.1015891949898524</v>
      </c>
      <c r="J20" s="60">
        <v>15</v>
      </c>
      <c r="O20" s="53">
        <v>42248</v>
      </c>
      <c r="P20">
        <v>597.78997800000002</v>
      </c>
      <c r="Q20" s="54">
        <f t="shared" si="0"/>
        <v>-3.3093444399514726E-2</v>
      </c>
      <c r="R20">
        <f t="shared" ca="1" si="6"/>
        <v>3.3273390440231899E-3</v>
      </c>
      <c r="S20">
        <f t="shared" ca="1" si="3"/>
        <v>5.2817628654083819E-3</v>
      </c>
      <c r="T20" s="56">
        <f t="shared" ca="1" si="1"/>
        <v>1.5942267130704375</v>
      </c>
    </row>
    <row r="21" spans="2:20" x14ac:dyDescent="0.25">
      <c r="B21" s="53">
        <v>40205</v>
      </c>
      <c r="C21">
        <v>270.0383046</v>
      </c>
      <c r="D21" s="54">
        <f t="shared" si="4"/>
        <v>-5.8991472193077013E-4</v>
      </c>
      <c r="E21" s="54">
        <f t="shared" ca="1" si="5"/>
        <v>-7.6900842866445881E-3</v>
      </c>
      <c r="F21" s="64">
        <f t="shared" ca="1" si="7"/>
        <v>7.1001695647138182E-3</v>
      </c>
      <c r="G21">
        <f t="shared" ca="1" si="2"/>
        <v>1.873820313411929E-3</v>
      </c>
      <c r="H21">
        <f t="shared" ca="1" si="8"/>
        <v>0.25811118693233565</v>
      </c>
      <c r="I21">
        <f t="shared" ca="1" si="9"/>
        <v>2.7438882188994724</v>
      </c>
      <c r="J21" s="57">
        <v>16</v>
      </c>
      <c r="O21" s="53">
        <v>42249</v>
      </c>
      <c r="P21">
        <v>614.34002699999996</v>
      </c>
      <c r="Q21" s="54">
        <f t="shared" si="0"/>
        <v>2.7685390536941964E-2</v>
      </c>
      <c r="R21">
        <f t="shared" ca="1" si="6"/>
        <v>-7.8374284805491176E-2</v>
      </c>
      <c r="S21">
        <f t="shared" ca="1" si="3"/>
        <v>0.3632097783005645</v>
      </c>
      <c r="T21" s="56">
        <f t="shared" ca="1" si="1"/>
        <v>-0.19198706947709338</v>
      </c>
    </row>
    <row r="22" spans="2:20" x14ac:dyDescent="0.25">
      <c r="B22" s="53">
        <v>40206</v>
      </c>
      <c r="C22">
        <v>266.14785649999999</v>
      </c>
      <c r="D22" s="54">
        <f t="shared" si="4"/>
        <v>-1.4407023128673629E-2</v>
      </c>
      <c r="E22" s="54">
        <f t="shared" ca="1" si="5"/>
        <v>-4.5532624423075419E-3</v>
      </c>
      <c r="F22" s="64">
        <f t="shared" ca="1" si="7"/>
        <v>-9.8537606863660868E-3</v>
      </c>
      <c r="G22">
        <f t="shared" ca="1" si="2"/>
        <v>4.4453298979087851E-3</v>
      </c>
      <c r="H22">
        <f t="shared" ca="1" si="8"/>
        <v>-1.4770475374682688</v>
      </c>
      <c r="I22">
        <f t="shared" ca="1" si="9"/>
        <v>2.6812290424778658</v>
      </c>
      <c r="J22" s="60">
        <v>17</v>
      </c>
      <c r="O22" s="53">
        <v>42250</v>
      </c>
      <c r="P22">
        <v>606.25</v>
      </c>
      <c r="Q22" s="54">
        <f t="shared" si="0"/>
        <v>-1.3168647075636444E-2</v>
      </c>
      <c r="R22">
        <f t="shared" ca="1" si="6"/>
        <v>-6.1350119243011189E-2</v>
      </c>
      <c r="S22">
        <f t="shared" ca="1" si="3"/>
        <v>4.4169563269409649E-2</v>
      </c>
      <c r="T22" s="56">
        <f t="shared" ca="1" si="1"/>
        <v>-1.0524819407163803</v>
      </c>
    </row>
    <row r="23" spans="2:20" x14ac:dyDescent="0.25">
      <c r="B23" s="53">
        <v>40207</v>
      </c>
      <c r="C23">
        <v>263.98098249999998</v>
      </c>
      <c r="D23" s="54">
        <f t="shared" si="4"/>
        <v>-8.1416173269086879E-3</v>
      </c>
      <c r="E23" s="54">
        <f t="shared" ca="1" si="5"/>
        <v>-2.1195292382970216E-2</v>
      </c>
      <c r="F23" s="64">
        <f t="shared" ca="1" si="7"/>
        <v>1.3053675056061528E-2</v>
      </c>
      <c r="G23">
        <f t="shared" ca="1" si="2"/>
        <v>2.4695656348616153E-2</v>
      </c>
      <c r="H23">
        <f t="shared" ca="1" si="8"/>
        <v>-0.84752157577012477</v>
      </c>
      <c r="I23">
        <f t="shared" ca="1" si="9"/>
        <v>2.655713888663227</v>
      </c>
      <c r="J23" s="57">
        <v>18</v>
      </c>
      <c r="O23" s="53">
        <v>42251</v>
      </c>
      <c r="P23">
        <v>600.70001200000002</v>
      </c>
      <c r="Q23" s="54">
        <f t="shared" si="0"/>
        <v>-9.1546193814432738E-3</v>
      </c>
      <c r="R23">
        <f t="shared" ca="1" si="6"/>
        <v>0.24770850830762534</v>
      </c>
      <c r="S23">
        <f t="shared" ca="1" si="3"/>
        <v>0.23978737335048961</v>
      </c>
      <c r="T23" s="56">
        <f t="shared" ca="1" si="1"/>
        <v>0.98118040403009255</v>
      </c>
    </row>
    <row r="24" spans="2:20" x14ac:dyDescent="0.25">
      <c r="B24" s="53">
        <v>40210</v>
      </c>
      <c r="C24">
        <v>265.5152258</v>
      </c>
      <c r="D24" s="54">
        <f t="shared" si="4"/>
        <v>5.8119463207923104E-3</v>
      </c>
      <c r="E24" s="54">
        <f t="shared" ca="1" si="5"/>
        <v>4.3218144229031294E-2</v>
      </c>
      <c r="F24" s="64">
        <f t="shared" ca="1" si="7"/>
        <v>-3.7406197908238986E-2</v>
      </c>
      <c r="G24">
        <f t="shared" ca="1" si="2"/>
        <v>1.5257649611226165E-2</v>
      </c>
      <c r="H24">
        <f t="shared" ca="1" si="8"/>
        <v>3.2566462358211887</v>
      </c>
      <c r="I24">
        <f t="shared" ca="1" si="9"/>
        <v>1.5887357726658442</v>
      </c>
      <c r="J24" s="60">
        <v>19</v>
      </c>
      <c r="O24" s="53">
        <v>42255</v>
      </c>
      <c r="P24">
        <v>614.65997300000004</v>
      </c>
      <c r="Q24" s="54">
        <f t="shared" si="0"/>
        <v>2.3239488465334041E-2</v>
      </c>
      <c r="R24">
        <f t="shared" ca="1" si="6"/>
        <v>8.4472520440700055E-2</v>
      </c>
      <c r="S24">
        <f t="shared" ca="1" si="3"/>
        <v>0.22357778563468766</v>
      </c>
      <c r="T24" s="56">
        <f t="shared" ca="1" si="1"/>
        <v>0.40427532233764202</v>
      </c>
    </row>
    <row r="25" spans="2:20" x14ac:dyDescent="0.25">
      <c r="B25" s="53">
        <v>40211</v>
      </c>
      <c r="C25">
        <v>264.56878280000001</v>
      </c>
      <c r="D25" s="54">
        <f t="shared" si="4"/>
        <v>-3.5645526434438771E-3</v>
      </c>
      <c r="E25" s="54">
        <f t="shared" ca="1" si="5"/>
        <v>3.46696419172694E-2</v>
      </c>
      <c r="F25" s="64">
        <f t="shared" ca="1" si="7"/>
        <v>-3.823419456071328E-2</v>
      </c>
      <c r="G25">
        <f t="shared" ca="1" si="2"/>
        <v>5.4478938495275714E-2</v>
      </c>
      <c r="H25">
        <f t="shared" ca="1" si="8"/>
        <v>0.70350315591285784</v>
      </c>
      <c r="I25">
        <f t="shared" ca="1" si="9"/>
        <v>1.5369203578342092</v>
      </c>
      <c r="J25" s="57">
        <v>20</v>
      </c>
      <c r="O25" s="53">
        <v>42256</v>
      </c>
      <c r="P25">
        <v>612.71997099999999</v>
      </c>
      <c r="Q25" s="54">
        <f t="shared" si="0"/>
        <v>-3.156219837337691E-3</v>
      </c>
      <c r="R25">
        <f t="shared" ca="1" si="6"/>
        <v>-2.3973755360890768E-2</v>
      </c>
      <c r="S25">
        <f t="shared" ca="1" si="3"/>
        <v>9.2186045381914078E-2</v>
      </c>
      <c r="T25" s="56">
        <f t="shared" ca="1" si="1"/>
        <v>-0.21546246895900961</v>
      </c>
    </row>
    <row r="26" spans="2:20" x14ac:dyDescent="0.25">
      <c r="B26" s="53">
        <v>40212</v>
      </c>
      <c r="C26">
        <v>269.40066969999998</v>
      </c>
      <c r="D26" s="54">
        <f t="shared" si="4"/>
        <v>1.8263254072770265E-2</v>
      </c>
      <c r="E26" s="54">
        <f t="shared" ca="1" si="5"/>
        <v>2.804412845866969E-3</v>
      </c>
      <c r="F26" s="64">
        <f t="shared" ca="1" si="7"/>
        <v>1.5458841226903296E-2</v>
      </c>
      <c r="G26">
        <f t="shared" ca="1" si="2"/>
        <v>1.7116018060020437E-2</v>
      </c>
      <c r="H26">
        <f t="shared" ca="1" si="8"/>
        <v>1.1346843538137787E-2</v>
      </c>
      <c r="I26">
        <f t="shared" ca="1" si="9"/>
        <v>2.6038506909865116</v>
      </c>
      <c r="J26" s="60">
        <v>21</v>
      </c>
      <c r="O26" s="53">
        <v>42257</v>
      </c>
      <c r="P26">
        <v>621.34997599999997</v>
      </c>
      <c r="Q26" s="54">
        <f t="shared" si="0"/>
        <v>1.4084745737788238E-2</v>
      </c>
      <c r="R26">
        <f t="shared" ca="1" si="6"/>
        <v>3.7472522642347406E-2</v>
      </c>
      <c r="S26">
        <f t="shared" ca="1" si="3"/>
        <v>4.9122700069275493E-2</v>
      </c>
      <c r="T26" s="56">
        <f t="shared" ca="1" si="1"/>
        <v>0.55036179358301762</v>
      </c>
    </row>
    <row r="27" spans="2:20" x14ac:dyDescent="0.25">
      <c r="B27" s="53">
        <v>40213</v>
      </c>
      <c r="C27">
        <v>262.40688310000002</v>
      </c>
      <c r="D27" s="54">
        <f t="shared" si="4"/>
        <v>-2.596053902831098E-2</v>
      </c>
      <c r="E27" s="54">
        <f t="shared" ca="1" si="5"/>
        <v>1.3747178955250371E-3</v>
      </c>
      <c r="F27" s="64">
        <f t="shared" ca="1" si="7"/>
        <v>-2.7335256923836017E-2</v>
      </c>
      <c r="G27">
        <f t="shared" ca="1" si="2"/>
        <v>4.0322877105903486E-3</v>
      </c>
      <c r="H27">
        <f t="shared" ca="1" si="8"/>
        <v>0.73787272986633767</v>
      </c>
      <c r="I27">
        <f t="shared" ca="1" si="9"/>
        <v>2.1302933714472641</v>
      </c>
      <c r="J27" s="57">
        <v>22</v>
      </c>
      <c r="O27" s="53">
        <v>42258</v>
      </c>
      <c r="P27">
        <v>625.77002000000005</v>
      </c>
      <c r="Q27" s="54">
        <f t="shared" si="0"/>
        <v>7.1136141799739531E-3</v>
      </c>
      <c r="R27">
        <f t="shared" ca="1" si="6"/>
        <v>1.25271247475553E-2</v>
      </c>
      <c r="S27">
        <f t="shared" ca="1" si="3"/>
        <v>0.12539417896972738</v>
      </c>
      <c r="T27" s="56">
        <f t="shared" ca="1" si="1"/>
        <v>0.11120455252361573</v>
      </c>
    </row>
    <row r="28" spans="2:20" x14ac:dyDescent="0.25">
      <c r="B28" s="53">
        <v>40214</v>
      </c>
      <c r="C28">
        <v>264.65346879999998</v>
      </c>
      <c r="D28" s="54">
        <f t="shared" si="4"/>
        <v>8.5614587295098615E-3</v>
      </c>
      <c r="E28" s="54">
        <f t="shared" ca="1" si="5"/>
        <v>1.2154516535461811E-2</v>
      </c>
      <c r="F28" s="64">
        <f t="shared" ca="1" si="7"/>
        <v>-3.5930578059519495E-3</v>
      </c>
      <c r="G28">
        <f t="shared" ca="1" si="2"/>
        <v>1.2391595436137695E-2</v>
      </c>
      <c r="H28">
        <f t="shared" ca="1" si="8"/>
        <v>0.31897189982748103</v>
      </c>
      <c r="I28">
        <f t="shared" ca="1" si="9"/>
        <v>2.7584525464618213</v>
      </c>
      <c r="J28" s="60">
        <v>23</v>
      </c>
      <c r="O28" s="53">
        <v>42261</v>
      </c>
      <c r="P28">
        <v>623.23999000000003</v>
      </c>
      <c r="Q28" s="54">
        <f t="shared" si="0"/>
        <v>-4.0430668123091137E-3</v>
      </c>
      <c r="R28">
        <f t="shared" ca="1" si="6"/>
        <v>-3.317369255854289E-2</v>
      </c>
      <c r="S28">
        <f t="shared" ca="1" si="3"/>
        <v>2.5441743744339114E-2</v>
      </c>
      <c r="T28" s="56">
        <f t="shared" ca="1" si="1"/>
        <v>-1.552549108005659</v>
      </c>
    </row>
    <row r="29" spans="2:20" x14ac:dyDescent="0.25">
      <c r="B29" s="53">
        <v>40217</v>
      </c>
      <c r="C29">
        <v>265.73940850000002</v>
      </c>
      <c r="D29" s="54">
        <f t="shared" si="4"/>
        <v>4.1032513381515142E-3</v>
      </c>
      <c r="E29" s="54">
        <f t="shared" ca="1" si="5"/>
        <v>-1.3608635043210329E-2</v>
      </c>
      <c r="F29" s="64">
        <f t="shared" ca="1" si="7"/>
        <v>1.7711886381361841E-2</v>
      </c>
      <c r="G29">
        <f t="shared" ca="1" si="2"/>
        <v>6.1101604291438497E-3</v>
      </c>
      <c r="H29">
        <f t="shared" ca="1" si="8"/>
        <v>-0.31903983278284931</v>
      </c>
      <c r="I29">
        <f t="shared" ca="1" si="9"/>
        <v>2.5467889415188796</v>
      </c>
      <c r="J29" s="57">
        <v>24</v>
      </c>
      <c r="O29" s="53">
        <v>42262</v>
      </c>
      <c r="P29">
        <v>635.14001499999995</v>
      </c>
      <c r="Q29" s="54">
        <f t="shared" si="0"/>
        <v>1.9093808470152747E-2</v>
      </c>
      <c r="R29">
        <f t="shared" ca="1" si="6"/>
        <v>0.48451437996092833</v>
      </c>
      <c r="S29">
        <f t="shared" ca="1" si="3"/>
        <v>0.35371476390306655</v>
      </c>
      <c r="T29" s="56">
        <f t="shared" ca="1" si="1"/>
        <v>1.3607562707404675</v>
      </c>
    </row>
    <row r="30" spans="2:20" x14ac:dyDescent="0.25">
      <c r="B30" s="53">
        <v>40218</v>
      </c>
      <c r="C30">
        <v>267.2188726</v>
      </c>
      <c r="D30" s="54">
        <f t="shared" si="4"/>
        <v>5.5673492627645879E-3</v>
      </c>
      <c r="E30" s="54">
        <f t="shared" ca="1" si="5"/>
        <v>4.0565624749934253E-4</v>
      </c>
      <c r="F30" s="64">
        <f t="shared" ca="1" si="7"/>
        <v>5.1616930152652458E-3</v>
      </c>
      <c r="G30">
        <f t="shared" ca="1" si="2"/>
        <v>5.5958761820689377E-3</v>
      </c>
      <c r="H30">
        <f t="shared" ca="1" si="8"/>
        <v>-0.61465567526563936</v>
      </c>
      <c r="I30">
        <f t="shared" ca="1" si="9"/>
        <v>2.7602387963477901</v>
      </c>
      <c r="J30" s="60">
        <v>25</v>
      </c>
      <c r="O30" s="53">
        <v>42263</v>
      </c>
      <c r="P30">
        <v>635.97997999999995</v>
      </c>
      <c r="Q30" s="54">
        <f t="shared" si="0"/>
        <v>1.3224879241784295E-3</v>
      </c>
      <c r="R30">
        <f t="shared" ca="1" si="6"/>
        <v>0.26643010097885655</v>
      </c>
      <c r="S30">
        <f t="shared" ca="1" si="3"/>
        <v>0.31007528135086138</v>
      </c>
      <c r="T30" s="56">
        <f t="shared" ca="1" si="1"/>
        <v>0.86509828529088018</v>
      </c>
    </row>
    <row r="31" spans="2:20" x14ac:dyDescent="0.25">
      <c r="B31" s="53">
        <v>40219</v>
      </c>
      <c r="C31">
        <v>266.22756820000001</v>
      </c>
      <c r="D31" s="54">
        <f t="shared" si="4"/>
        <v>-3.7097095364363496E-3</v>
      </c>
      <c r="E31" s="54">
        <f t="shared" ca="1" si="5"/>
        <v>-4.3875733701344444E-3</v>
      </c>
      <c r="F31" s="64">
        <f t="shared" ca="1" si="7"/>
        <v>6.7786383369809484E-4</v>
      </c>
      <c r="G31">
        <f t="shared" ca="1" si="2"/>
        <v>1.038757011555887E-2</v>
      </c>
      <c r="H31">
        <f t="shared" ca="1" si="8"/>
        <v>-0.59980549859610266</v>
      </c>
      <c r="I31">
        <f t="shared" ca="1" si="9"/>
        <v>2.7747948201080224</v>
      </c>
      <c r="J31" s="57">
        <v>26</v>
      </c>
      <c r="O31" s="53">
        <v>42264</v>
      </c>
      <c r="P31">
        <v>642.90002400000003</v>
      </c>
      <c r="Q31" s="54">
        <f t="shared" si="0"/>
        <v>1.0880914836344496E-2</v>
      </c>
      <c r="R31">
        <f t="shared" ca="1" si="6"/>
        <v>-0.10324177928481312</v>
      </c>
      <c r="S31">
        <f t="shared" ca="1" si="3"/>
        <v>0.19716353067187797</v>
      </c>
      <c r="T31" s="56">
        <f t="shared" ca="1" si="1"/>
        <v>-0.56712929362206088</v>
      </c>
    </row>
    <row r="32" spans="2:20" x14ac:dyDescent="0.25">
      <c r="B32" s="53">
        <v>40220</v>
      </c>
      <c r="C32">
        <v>267.19894429999999</v>
      </c>
      <c r="D32" s="54">
        <f t="shared" si="4"/>
        <v>3.6486683425296235E-3</v>
      </c>
      <c r="E32" s="54">
        <f t="shared" ca="1" si="5"/>
        <v>-2.4010199351797181E-2</v>
      </c>
      <c r="F32" s="64">
        <f t="shared" ca="1" si="7"/>
        <v>2.7658867694326805E-2</v>
      </c>
      <c r="G32">
        <f t="shared" ca="1" si="2"/>
        <v>1.0336934911238259E-2</v>
      </c>
      <c r="H32">
        <f t="shared" ca="1" si="8"/>
        <v>-2.5646425857550041</v>
      </c>
      <c r="I32">
        <f t="shared" ca="1" si="9"/>
        <v>2.1968283364154706</v>
      </c>
      <c r="J32" s="60">
        <v>27</v>
      </c>
      <c r="O32" s="53">
        <v>42265</v>
      </c>
      <c r="P32">
        <v>629.25</v>
      </c>
      <c r="Q32" s="54">
        <f t="shared" si="0"/>
        <v>-2.1231954410379724E-2</v>
      </c>
      <c r="R32">
        <f t="shared" ca="1" si="6"/>
        <v>6.1452936793575566E-2</v>
      </c>
      <c r="S32">
        <f t="shared" ca="1" si="3"/>
        <v>0.1292533756682826</v>
      </c>
      <c r="T32" s="56">
        <f t="shared" ca="1" si="1"/>
        <v>0.47084877395974278</v>
      </c>
    </row>
    <row r="33" spans="2:20" ht="15.75" thickBot="1" x14ac:dyDescent="0.3">
      <c r="B33" s="53">
        <v>40221</v>
      </c>
      <c r="C33">
        <v>265.56506100000001</v>
      </c>
      <c r="D33" s="54">
        <f t="shared" si="4"/>
        <v>-6.1148568692154801E-3</v>
      </c>
      <c r="E33" s="54">
        <f t="shared" ca="1" si="5"/>
        <v>5.3177127108086704E-2</v>
      </c>
      <c r="F33" s="64">
        <f t="shared" ca="1" si="7"/>
        <v>-5.9291983977302183E-2</v>
      </c>
      <c r="G33">
        <f t="shared" ca="1" si="2"/>
        <v>4.2884529820773037E-2</v>
      </c>
      <c r="H33">
        <f t="shared" ca="1" si="8"/>
        <v>1.2788567185035697</v>
      </c>
      <c r="I33">
        <f t="shared" ca="1" si="9"/>
        <v>-0.15318267437441682</v>
      </c>
      <c r="J33" s="57">
        <v>28</v>
      </c>
      <c r="O33" s="53">
        <v>42268</v>
      </c>
      <c r="P33">
        <v>635.44000200000005</v>
      </c>
      <c r="Q33" s="54">
        <f t="shared" si="0"/>
        <v>9.8371108462456096E-3</v>
      </c>
      <c r="R33">
        <f t="shared" ca="1" si="6"/>
        <v>4.6300219713350306E-2</v>
      </c>
      <c r="S33">
        <f t="shared" ca="1" si="3"/>
        <v>0.10729863868888474</v>
      </c>
      <c r="T33" s="56">
        <f t="shared" ca="1" si="1"/>
        <v>0.38596714123840942</v>
      </c>
    </row>
    <row r="34" spans="2:20" x14ac:dyDescent="0.25">
      <c r="B34" s="53">
        <v>40225</v>
      </c>
      <c r="C34">
        <v>269.63977490000002</v>
      </c>
      <c r="D34" s="54">
        <f t="shared" si="4"/>
        <v>1.5343561704451799E-2</v>
      </c>
      <c r="E34" s="54">
        <f t="shared" ca="1" si="5"/>
        <v>-3.3122439989034377E-3</v>
      </c>
      <c r="F34" s="64">
        <f t="shared" ca="1" si="7"/>
        <v>1.8655805703355236E-2</v>
      </c>
      <c r="G34">
        <f t="shared" ca="1" si="2"/>
        <v>2.3497513328053093E-2</v>
      </c>
      <c r="H34">
        <f t="shared" ca="1" si="8"/>
        <v>-0.21069585445592751</v>
      </c>
      <c r="I34">
        <f t="shared" ca="1" si="9"/>
        <v>2.5204448635415342</v>
      </c>
      <c r="J34" s="60">
        <v>29</v>
      </c>
      <c r="L34" s="51" t="s">
        <v>18</v>
      </c>
      <c r="M34" s="52">
        <v>2</v>
      </c>
      <c r="O34" s="53">
        <v>42269</v>
      </c>
      <c r="P34">
        <v>622.69000200000005</v>
      </c>
      <c r="Q34" s="54">
        <f t="shared" si="0"/>
        <v>-2.0064836900211391E-2</v>
      </c>
      <c r="R34">
        <f t="shared" ca="1" si="6"/>
        <v>3.1295544299367692E-2</v>
      </c>
      <c r="S34">
        <f t="shared" ca="1" si="3"/>
        <v>8.7957872135387846E-2</v>
      </c>
      <c r="T34" s="56">
        <f t="shared" ca="1" si="1"/>
        <v>0.46421167029136207</v>
      </c>
    </row>
    <row r="35" spans="2:20" ht="15.75" thickBot="1" x14ac:dyDescent="0.3">
      <c r="B35" s="53">
        <v>40226</v>
      </c>
      <c r="C35">
        <v>268.10055729999999</v>
      </c>
      <c r="D35" s="54">
        <f t="shared" si="4"/>
        <v>-5.7084219142775625E-3</v>
      </c>
      <c r="E35" s="54">
        <f t="shared" ca="1" si="5"/>
        <v>6.0997451132616589E-3</v>
      </c>
      <c r="F35" s="64">
        <f t="shared" ca="1" si="7"/>
        <v>-1.1808167027539222E-2</v>
      </c>
      <c r="G35">
        <f t="shared" ca="1" si="2"/>
        <v>6.4841527074433695E-3</v>
      </c>
      <c r="H35">
        <f t="shared" ca="1" si="8"/>
        <v>1.3642160788276487</v>
      </c>
      <c r="I35">
        <f t="shared" ca="1" si="9"/>
        <v>2.6441511839981877</v>
      </c>
      <c r="J35" s="57">
        <v>30</v>
      </c>
      <c r="L35" s="66" t="s">
        <v>55</v>
      </c>
      <c r="M35" s="68">
        <f>_xlfn.VAR.P(Q5:Q356)</f>
        <v>2.140143024965024E-4</v>
      </c>
      <c r="O35" s="53">
        <v>42270</v>
      </c>
      <c r="P35">
        <v>622.35998500000005</v>
      </c>
      <c r="Q35" s="54">
        <f t="shared" si="0"/>
        <v>-5.2998602665857159E-4</v>
      </c>
      <c r="R35">
        <f t="shared" ca="1" si="6"/>
        <v>1.2898291233661617E-2</v>
      </c>
      <c r="S35">
        <f t="shared" ca="1" si="3"/>
        <v>0.10577509061714836</v>
      </c>
      <c r="T35" s="56">
        <f t="shared" ca="1" si="1"/>
        <v>8.0175714986636337E-2</v>
      </c>
    </row>
    <row r="36" spans="2:20" x14ac:dyDescent="0.25">
      <c r="B36" s="53">
        <v>40227</v>
      </c>
      <c r="C36">
        <v>270.59619750000002</v>
      </c>
      <c r="D36" s="54">
        <f t="shared" si="4"/>
        <v>9.3085975841797532E-3</v>
      </c>
      <c r="E36" s="54">
        <f t="shared" ca="1" si="5"/>
        <v>-4.894874963793356E-2</v>
      </c>
      <c r="F36" s="64">
        <f t="shared" ca="1" si="7"/>
        <v>5.8257347222113315E-2</v>
      </c>
      <c r="G36">
        <f t="shared" ca="1" si="2"/>
        <v>2.2841071681427665E-2</v>
      </c>
      <c r="H36">
        <f t="shared" ca="1" si="8"/>
        <v>-2.4447080640105923</v>
      </c>
      <c r="I36">
        <f t="shared" ca="1" si="9"/>
        <v>0.11802123765372441</v>
      </c>
      <c r="J36" s="60">
        <v>31</v>
      </c>
      <c r="O36" s="53">
        <v>42271</v>
      </c>
      <c r="P36">
        <v>625.79998799999998</v>
      </c>
      <c r="Q36" s="54">
        <f t="shared" si="0"/>
        <v>5.5273524694874673E-3</v>
      </c>
      <c r="R36">
        <f t="shared" ca="1" si="6"/>
        <v>5.3340841783617362E-3</v>
      </c>
      <c r="S36">
        <f t="shared" ca="1" si="3"/>
        <v>1.837904381345886E-2</v>
      </c>
      <c r="T36" s="56">
        <f t="shared" ca="1" si="1"/>
        <v>0.78054188104864164</v>
      </c>
    </row>
    <row r="37" spans="2:20" x14ac:dyDescent="0.25">
      <c r="B37" s="53">
        <v>40228</v>
      </c>
      <c r="C37">
        <v>269.37079260000002</v>
      </c>
      <c r="D37" s="54">
        <f t="shared" si="4"/>
        <v>-4.5285370279454897E-3</v>
      </c>
      <c r="E37" s="54">
        <f t="shared" ca="1" si="5"/>
        <v>-2.2588800539790153E-2</v>
      </c>
      <c r="F37" s="64">
        <f t="shared" ca="1" si="7"/>
        <v>1.8060263511844664E-2</v>
      </c>
      <c r="G37">
        <f t="shared" ca="1" si="2"/>
        <v>4.1148875021571253E-2</v>
      </c>
      <c r="H37">
        <f t="shared" ca="1" si="8"/>
        <v>-0.48665229211220801</v>
      </c>
      <c r="I37">
        <f t="shared" ca="1" si="9"/>
        <v>2.5372336103861253</v>
      </c>
      <c r="J37" s="57">
        <v>32</v>
      </c>
      <c r="O37" s="53">
        <v>42272</v>
      </c>
      <c r="P37">
        <v>611.96997099999999</v>
      </c>
      <c r="Q37" s="54">
        <f t="shared" si="0"/>
        <v>-2.2099739957169826E-2</v>
      </c>
      <c r="R37">
        <f t="shared" ca="1" si="6"/>
        <v>-4.1575225306684942E-2</v>
      </c>
      <c r="S37">
        <f t="shared" ca="1" si="3"/>
        <v>0.17783187421121024</v>
      </c>
      <c r="T37" s="56">
        <f t="shared" ca="1" si="1"/>
        <v>-0.23245154113224839</v>
      </c>
    </row>
    <row r="38" spans="2:20" x14ac:dyDescent="0.25">
      <c r="B38" s="53">
        <v>40231</v>
      </c>
      <c r="C38">
        <v>270.38699910000003</v>
      </c>
      <c r="D38" s="54">
        <f t="shared" si="4"/>
        <v>3.772519248250561E-3</v>
      </c>
      <c r="E38" s="54">
        <f t="shared" ca="1" si="5"/>
        <v>1.6883792118404819E-2</v>
      </c>
      <c r="F38" s="64">
        <f t="shared" ca="1" si="7"/>
        <v>-1.3111272870154258E-2</v>
      </c>
      <c r="G38">
        <f t="shared" ca="1" si="2"/>
        <v>1.2445401790170459E-2</v>
      </c>
      <c r="H38">
        <f t="shared" ca="1" si="8"/>
        <v>1.0207137353835627</v>
      </c>
      <c r="I38">
        <f t="shared" ca="1" si="9"/>
        <v>2.6160000851892811</v>
      </c>
      <c r="J38" s="60">
        <v>33</v>
      </c>
      <c r="O38" s="53">
        <v>42275</v>
      </c>
      <c r="P38">
        <v>594.89001499999995</v>
      </c>
      <c r="Q38" s="54">
        <f t="shared" si="0"/>
        <v>-2.7909794286295198E-2</v>
      </c>
      <c r="R38">
        <f t="shared" ca="1" si="6"/>
        <v>9.7659017298333026E-2</v>
      </c>
      <c r="S38">
        <f t="shared" ca="1" si="3"/>
        <v>5.3051516529562123E-2</v>
      </c>
      <c r="T38" s="56">
        <f t="shared" ca="1" si="1"/>
        <v>1.7940477423033472</v>
      </c>
    </row>
    <row r="39" spans="2:20" x14ac:dyDescent="0.25">
      <c r="B39" s="53">
        <v>40232</v>
      </c>
      <c r="C39">
        <v>266.53640660000002</v>
      </c>
      <c r="D39" s="54">
        <f t="shared" si="4"/>
        <v>-1.4241041591559291E-2</v>
      </c>
      <c r="E39" s="54">
        <f t="shared" ca="1" si="5"/>
        <v>-3.3560204748683767E-3</v>
      </c>
      <c r="F39" s="64">
        <f t="shared" ca="1" si="7"/>
        <v>-1.0885021116690914E-2</v>
      </c>
      <c r="G39">
        <f t="shared" ca="1" si="2"/>
        <v>1.7301078740168327E-2</v>
      </c>
      <c r="H39">
        <f t="shared" ca="1" si="8"/>
        <v>-7.6424645526580751E-2</v>
      </c>
      <c r="I39">
        <f t="shared" ca="1" si="9"/>
        <v>2.6624336702766551</v>
      </c>
      <c r="J39" s="57">
        <v>34</v>
      </c>
      <c r="O39" s="53">
        <v>42276</v>
      </c>
      <c r="P39">
        <v>594.96997099999999</v>
      </c>
      <c r="Q39" s="54">
        <f t="shared" si="0"/>
        <v>1.3440467646786496E-4</v>
      </c>
      <c r="R39">
        <f t="shared" ca="1" si="6"/>
        <v>-0.32645662441825279</v>
      </c>
      <c r="S39">
        <f t="shared" ca="1" si="3"/>
        <v>0.40873525632514229</v>
      </c>
      <c r="T39" s="56">
        <f t="shared" ca="1" si="1"/>
        <v>-0.77441498549583654</v>
      </c>
    </row>
    <row r="40" spans="2:20" x14ac:dyDescent="0.25">
      <c r="B40" s="53">
        <v>40233</v>
      </c>
      <c r="C40">
        <v>264.74312980000002</v>
      </c>
      <c r="D40" s="54">
        <f t="shared" si="4"/>
        <v>-6.7280744978723698E-3</v>
      </c>
      <c r="E40" s="54">
        <f t="shared" ca="1" si="5"/>
        <v>3.7944929270435704E-3</v>
      </c>
      <c r="F40" s="64">
        <f t="shared" ca="1" si="7"/>
        <v>-1.0522567424915939E-2</v>
      </c>
      <c r="G40">
        <f t="shared" ca="1" si="2"/>
        <v>4.263959276899155E-3</v>
      </c>
      <c r="H40">
        <f t="shared" ca="1" si="8"/>
        <v>0.49259954455499655</v>
      </c>
      <c r="I40">
        <f t="shared" ca="1" si="9"/>
        <v>2.6692354556725952</v>
      </c>
      <c r="J40" s="60">
        <v>35</v>
      </c>
      <c r="O40" s="53">
        <v>42277</v>
      </c>
      <c r="P40">
        <v>608.419983</v>
      </c>
      <c r="Q40" s="54">
        <f t="shared" si="0"/>
        <v>2.2606203095248342E-2</v>
      </c>
      <c r="R40">
        <f t="shared" ca="1" si="6"/>
        <v>2.9090007920407564E-2</v>
      </c>
      <c r="S40">
        <f t="shared" ca="1" si="3"/>
        <v>0.17656761426051198</v>
      </c>
      <c r="T40" s="56">
        <f t="shared" ca="1" si="1"/>
        <v>0.23574455247961992</v>
      </c>
    </row>
    <row r="41" spans="2:20" x14ac:dyDescent="0.25">
      <c r="B41" s="53">
        <v>40234</v>
      </c>
      <c r="C41">
        <v>262.2325361</v>
      </c>
      <c r="D41" s="54">
        <f t="shared" si="4"/>
        <v>-9.483130693123714E-3</v>
      </c>
      <c r="E41" s="54">
        <f t="shared" ca="1" si="5"/>
        <v>-1.0704803273448773E-2</v>
      </c>
      <c r="F41" s="64">
        <f t="shared" ca="1" si="7"/>
        <v>1.2216725803250589E-3</v>
      </c>
      <c r="G41">
        <f t="shared" ca="1" si="2"/>
        <v>8.3406679346988248E-3</v>
      </c>
      <c r="H41">
        <f t="shared" ca="1" si="8"/>
        <v>-0.51659535606135232</v>
      </c>
      <c r="I41">
        <f t="shared" ca="1" si="9"/>
        <v>2.7747603999155004</v>
      </c>
      <c r="J41" s="57">
        <v>36</v>
      </c>
      <c r="O41" s="53">
        <v>42278</v>
      </c>
      <c r="P41">
        <v>611.28997800000002</v>
      </c>
      <c r="Q41" s="54">
        <f t="shared" si="0"/>
        <v>4.7171281026120032E-3</v>
      </c>
      <c r="R41">
        <f t="shared" ca="1" si="6"/>
        <v>1.408664952311821E-2</v>
      </c>
      <c r="S41">
        <f t="shared" ca="1" si="3"/>
        <v>5.3799301461837458E-2</v>
      </c>
      <c r="T41" s="56">
        <f t="shared" ca="1" si="1"/>
        <v>0.2607077736418047</v>
      </c>
    </row>
    <row r="42" spans="2:20" x14ac:dyDescent="0.25">
      <c r="B42" s="53">
        <v>40235</v>
      </c>
      <c r="C42">
        <v>262.41686220000003</v>
      </c>
      <c r="D42" s="54">
        <f t="shared" si="4"/>
        <v>7.0291086964788404E-4</v>
      </c>
      <c r="E42" s="54">
        <f t="shared" ca="1" si="5"/>
        <v>2.713703148336322E-4</v>
      </c>
      <c r="F42" s="64">
        <f t="shared" ca="1" si="7"/>
        <v>4.3154055481425184E-4</v>
      </c>
      <c r="G42">
        <f t="shared" ca="1" si="2"/>
        <v>8.8871160348479462E-3</v>
      </c>
      <c r="H42">
        <f t="shared" ca="1" si="8"/>
        <v>0.37056416712322326</v>
      </c>
      <c r="I42">
        <f t="shared" ca="1" si="9"/>
        <v>2.774653176081245</v>
      </c>
      <c r="J42" s="60">
        <v>37</v>
      </c>
      <c r="O42" s="53">
        <v>42279</v>
      </c>
      <c r="P42">
        <v>626.90997300000004</v>
      </c>
      <c r="Q42" s="54">
        <f t="shared" si="0"/>
        <v>2.5552512820682979E-2</v>
      </c>
      <c r="R42">
        <f t="shared" ca="1" si="6"/>
        <v>-1.0501948097412587E-2</v>
      </c>
      <c r="S42">
        <f t="shared" ca="1" si="3"/>
        <v>5.9411698856657064E-2</v>
      </c>
      <c r="T42" s="56">
        <f t="shared" ca="1" si="1"/>
        <v>-0.34765758871116248</v>
      </c>
    </row>
    <row r="43" spans="2:20" x14ac:dyDescent="0.25">
      <c r="B43" s="53">
        <v>40238</v>
      </c>
      <c r="C43">
        <v>265.35085779999997</v>
      </c>
      <c r="D43" s="54">
        <f t="shared" si="4"/>
        <v>1.1180667185037112E-2</v>
      </c>
      <c r="E43" s="54">
        <f t="shared" ca="1" si="5"/>
        <v>-5.0465046241034636E-3</v>
      </c>
      <c r="F43" s="64">
        <f t="shared" ca="1" si="7"/>
        <v>1.6227171809140576E-2</v>
      </c>
      <c r="G43">
        <f t="shared" ca="1" si="2"/>
        <v>6.5859604657864754E-3</v>
      </c>
      <c r="H43">
        <f t="shared" ca="1" si="8"/>
        <v>-0.11956537178023524</v>
      </c>
      <c r="I43">
        <f t="shared" ca="1" si="9"/>
        <v>2.5853131504599909</v>
      </c>
      <c r="J43" s="57">
        <v>38</v>
      </c>
      <c r="O43" s="53">
        <v>42282</v>
      </c>
      <c r="P43">
        <v>641.46997099999999</v>
      </c>
      <c r="Q43" s="54">
        <f t="shared" si="0"/>
        <v>2.3225022135674254E-2</v>
      </c>
      <c r="R43">
        <f t="shared" ca="1" si="6"/>
        <v>-1.5384071404766518E-2</v>
      </c>
      <c r="S43">
        <f t="shared" ca="1" si="3"/>
        <v>7.9218519136241089E-2</v>
      </c>
      <c r="T43" s="56">
        <f t="shared" ca="1" si="1"/>
        <v>-0.22094667587216871</v>
      </c>
    </row>
    <row r="44" spans="2:20" x14ac:dyDescent="0.25">
      <c r="B44" s="53">
        <v>40239</v>
      </c>
      <c r="C44">
        <v>269.52023750000001</v>
      </c>
      <c r="D44" s="54">
        <f t="shared" si="4"/>
        <v>1.5712704811162048E-2</v>
      </c>
      <c r="E44" s="54">
        <f t="shared" ca="1" si="5"/>
        <v>9.8091558794754044E-4</v>
      </c>
      <c r="F44" s="64">
        <f t="shared" ca="1" si="7"/>
        <v>1.4731789223214508E-2</v>
      </c>
      <c r="G44">
        <f t="shared" ca="1" si="2"/>
        <v>2.6929064841269782E-3</v>
      </c>
      <c r="H44">
        <f t="shared" ca="1" si="8"/>
        <v>0.24695679571655302</v>
      </c>
      <c r="I44">
        <f t="shared" ca="1" si="9"/>
        <v>2.6205139633904326</v>
      </c>
      <c r="J44" s="60">
        <v>39</v>
      </c>
      <c r="O44" s="53">
        <v>42283</v>
      </c>
      <c r="P44">
        <v>645.44000200000005</v>
      </c>
      <c r="Q44" s="54">
        <f t="shared" si="0"/>
        <v>6.1889584539882737E-3</v>
      </c>
      <c r="R44">
        <f t="shared" ca="1" si="6"/>
        <v>3.921027885721217E-2</v>
      </c>
      <c r="S44">
        <f t="shared" ca="1" si="3"/>
        <v>5.0365149817587572E-2</v>
      </c>
      <c r="T44" s="56">
        <f t="shared" ca="1" si="1"/>
        <v>0.55065324786099412</v>
      </c>
    </row>
    <row r="45" spans="2:20" x14ac:dyDescent="0.25">
      <c r="B45" s="53">
        <v>40240</v>
      </c>
      <c r="C45">
        <v>271.64228100000003</v>
      </c>
      <c r="D45" s="54">
        <f t="shared" si="4"/>
        <v>7.8734106191191595E-3</v>
      </c>
      <c r="E45" s="54">
        <f t="shared" ca="1" si="5"/>
        <v>1.7314297801895539E-2</v>
      </c>
      <c r="F45" s="64">
        <f t="shared" ca="1" si="7"/>
        <v>-9.4408871827763793E-3</v>
      </c>
      <c r="G45">
        <f t="shared" ca="1" si="2"/>
        <v>4.2878323319045656E-3</v>
      </c>
      <c r="H45">
        <f t="shared" ca="1" si="8"/>
        <v>2.8668484451765424</v>
      </c>
      <c r="I45">
        <f t="shared" ca="1" si="9"/>
        <v>2.6882722316670136</v>
      </c>
      <c r="J45" s="57">
        <v>40</v>
      </c>
      <c r="O45" s="53">
        <v>42284</v>
      </c>
      <c r="P45">
        <v>642.35998500000005</v>
      </c>
      <c r="Q45" s="54">
        <f t="shared" si="0"/>
        <v>-4.7719648463932637E-3</v>
      </c>
      <c r="R45">
        <f t="shared" ca="1" si="6"/>
        <v>-0.14334326130129726</v>
      </c>
      <c r="S45">
        <f t="shared" ca="1" si="3"/>
        <v>0.12546071389290014</v>
      </c>
      <c r="T45" s="56">
        <f t="shared" ca="1" si="1"/>
        <v>-1.2256760366487691</v>
      </c>
    </row>
    <row r="46" spans="2:20" x14ac:dyDescent="0.25">
      <c r="B46" s="53">
        <v>40241</v>
      </c>
      <c r="C46">
        <v>276.25999519999999</v>
      </c>
      <c r="D46" s="54">
        <f t="shared" si="4"/>
        <v>1.699924688822638E-2</v>
      </c>
      <c r="E46" s="54">
        <f t="shared" ca="1" si="5"/>
        <v>-6.6214888890257742E-2</v>
      </c>
      <c r="F46" s="64">
        <f t="shared" ca="1" si="7"/>
        <v>8.3214135778484119E-2</v>
      </c>
      <c r="G46">
        <f t="shared" ca="1" si="2"/>
        <v>4.7872825692765776E-2</v>
      </c>
      <c r="H46">
        <f t="shared" ca="1" si="8"/>
        <v>-1.5305533765128327</v>
      </c>
      <c r="I46">
        <f t="shared" ca="1" si="9"/>
        <v>-2.6976023217456868</v>
      </c>
      <c r="J46" s="60">
        <v>41</v>
      </c>
      <c r="O46" s="53">
        <v>42285</v>
      </c>
      <c r="P46">
        <v>639.15997300000004</v>
      </c>
      <c r="Q46" s="54">
        <f t="shared" si="0"/>
        <v>-4.9816490359374035E-3</v>
      </c>
      <c r="R46">
        <f t="shared" ca="1" si="6"/>
        <v>-0.1166060713765522</v>
      </c>
      <c r="S46">
        <f t="shared" ca="1" si="3"/>
        <v>0.27925213553125217</v>
      </c>
      <c r="T46" s="56">
        <f t="shared" ca="1" si="1"/>
        <v>-0.42751893054795048</v>
      </c>
    </row>
    <row r="47" spans="2:20" x14ac:dyDescent="0.25">
      <c r="B47" s="53">
        <v>40242</v>
      </c>
      <c r="C47">
        <v>281.05202600000001</v>
      </c>
      <c r="D47" s="54">
        <f t="shared" si="4"/>
        <v>1.7346090216684477E-2</v>
      </c>
      <c r="E47" s="54">
        <f t="shared" ca="1" si="5"/>
        <v>2.7329982646935369E-2</v>
      </c>
      <c r="F47" s="64">
        <f t="shared" ca="1" si="7"/>
        <v>-9.9838924302508916E-3</v>
      </c>
      <c r="G47">
        <f t="shared" ca="1" si="2"/>
        <v>2.7796430561044763E-2</v>
      </c>
      <c r="H47">
        <f t="shared" ca="1" si="8"/>
        <v>0.85599419817079703</v>
      </c>
      <c r="I47">
        <f t="shared" ca="1" si="9"/>
        <v>2.6789520451102962</v>
      </c>
      <c r="J47" s="57">
        <v>42</v>
      </c>
      <c r="O47" s="53">
        <v>42286</v>
      </c>
      <c r="P47">
        <v>643.60998500000005</v>
      </c>
      <c r="Q47" s="54">
        <f t="shared" si="0"/>
        <v>6.9622820388973499E-3</v>
      </c>
      <c r="R47">
        <f t="shared" ca="1" si="6"/>
        <v>1.0428728256702033E-2</v>
      </c>
      <c r="S47">
        <f t="shared" ca="1" si="3"/>
        <v>9.7517167669997559E-2</v>
      </c>
      <c r="T47" s="56">
        <f t="shared" ca="1" si="1"/>
        <v>0.12892088024572529</v>
      </c>
    </row>
    <row r="48" spans="2:20" x14ac:dyDescent="0.25">
      <c r="B48" s="53">
        <v>40245</v>
      </c>
      <c r="C48">
        <v>280.19026910000002</v>
      </c>
      <c r="D48" s="54">
        <f t="shared" si="4"/>
        <v>-3.0661828426029169E-3</v>
      </c>
      <c r="E48" s="54">
        <f t="shared" ca="1" si="5"/>
        <v>2.095028180406705E-2</v>
      </c>
      <c r="F48" s="64">
        <f t="shared" ca="1" si="7"/>
        <v>-2.4016464646669969E-2</v>
      </c>
      <c r="G48">
        <f t="shared" ca="1" si="2"/>
        <v>1.566095531832699E-2</v>
      </c>
      <c r="H48">
        <f t="shared" ca="1" si="8"/>
        <v>0.85022148106919415</v>
      </c>
      <c r="I48">
        <f t="shared" ca="1" si="9"/>
        <v>2.2728589050648571</v>
      </c>
      <c r="J48" s="60">
        <v>43</v>
      </c>
      <c r="O48" s="53">
        <v>42289</v>
      </c>
      <c r="P48">
        <v>646.669983</v>
      </c>
      <c r="Q48" s="54">
        <f t="shared" si="0"/>
        <v>4.754429035155429E-3</v>
      </c>
      <c r="R48">
        <f t="shared" ca="1" si="6"/>
        <v>-1.4822232815953355E-2</v>
      </c>
      <c r="S48">
        <f t="shared" ca="1" si="3"/>
        <v>2.9434051489561873E-2</v>
      </c>
      <c r="T48" s="56">
        <f t="shared" ca="1" si="1"/>
        <v>-0.42756582281223071</v>
      </c>
    </row>
    <row r="49" spans="2:20" x14ac:dyDescent="0.25">
      <c r="B49" s="53">
        <v>40246</v>
      </c>
      <c r="C49">
        <v>279.04952040000001</v>
      </c>
      <c r="D49" s="54">
        <f t="shared" si="4"/>
        <v>-4.0713358949410325E-3</v>
      </c>
      <c r="E49" s="54">
        <f t="shared" ca="1" si="5"/>
        <v>1.9425586242016551E-2</v>
      </c>
      <c r="F49" s="64">
        <f t="shared" ca="1" si="7"/>
        <v>-2.3496922136957584E-2</v>
      </c>
      <c r="G49">
        <f t="shared" ca="1" si="2"/>
        <v>1.4667916146941053E-2</v>
      </c>
      <c r="H49">
        <f t="shared" ca="1" si="8"/>
        <v>0.7932389601867369</v>
      </c>
      <c r="I49">
        <f t="shared" ca="1" si="9"/>
        <v>2.2935658737216178</v>
      </c>
      <c r="J49" s="57">
        <v>44</v>
      </c>
      <c r="O49" s="53">
        <v>42290</v>
      </c>
      <c r="P49">
        <v>652.29998799999998</v>
      </c>
      <c r="Q49" s="54">
        <f t="shared" si="0"/>
        <v>8.7061486507871242E-3</v>
      </c>
      <c r="R49">
        <f t="shared" ca="1" si="6"/>
        <v>3.4013011439333482E-2</v>
      </c>
      <c r="S49">
        <f t="shared" ca="1" si="3"/>
        <v>9.7417627772738991E-2</v>
      </c>
      <c r="T49" s="56">
        <f t="shared" ca="1" si="1"/>
        <v>0.31704764223084508</v>
      </c>
    </row>
    <row r="50" spans="2:20" x14ac:dyDescent="0.25">
      <c r="B50" s="53">
        <v>40247</v>
      </c>
      <c r="C50">
        <v>287.14917389999999</v>
      </c>
      <c r="D50" s="54">
        <f t="shared" si="4"/>
        <v>2.9025864256600916E-2</v>
      </c>
      <c r="E50" s="54">
        <f t="shared" ca="1" si="5"/>
        <v>1.0525938878915155E-2</v>
      </c>
      <c r="F50" s="64">
        <f t="shared" ca="1" si="7"/>
        <v>1.8499925377685762E-2</v>
      </c>
      <c r="G50">
        <f t="shared" ca="1" si="2"/>
        <v>1.3692815280093525E-2</v>
      </c>
      <c r="H50">
        <f t="shared" ca="1" si="8"/>
        <v>0.86929480344225474</v>
      </c>
      <c r="I50">
        <f t="shared" ca="1" si="9"/>
        <v>2.5248946052844965</v>
      </c>
      <c r="J50" s="60">
        <v>45</v>
      </c>
      <c r="O50" s="53">
        <v>42291</v>
      </c>
      <c r="P50">
        <v>651.15997300000004</v>
      </c>
      <c r="Q50" s="54">
        <f t="shared" si="0"/>
        <v>-1.7476851463623644E-3</v>
      </c>
      <c r="R50">
        <f t="shared" ca="1" si="6"/>
        <v>9.249259438182876E-2</v>
      </c>
      <c r="S50">
        <f t="shared" ca="1" si="3"/>
        <v>7.2257448797847193E-2</v>
      </c>
      <c r="T50" s="56">
        <f t="shared" ca="1" si="1"/>
        <v>1.2504888637046827</v>
      </c>
    </row>
    <row r="51" spans="2:20" x14ac:dyDescent="0.25">
      <c r="B51" s="53">
        <v>40248</v>
      </c>
      <c r="C51">
        <v>289.4854206</v>
      </c>
      <c r="D51" s="54">
        <f t="shared" si="4"/>
        <v>8.1360035561641713E-3</v>
      </c>
      <c r="E51" s="54">
        <f t="shared" ca="1" si="5"/>
        <v>5.4144078130866427E-3</v>
      </c>
      <c r="F51" s="64">
        <f t="shared" ca="1" si="7"/>
        <v>2.7215957430775286E-3</v>
      </c>
      <c r="G51">
        <f t="shared" ca="1" si="2"/>
        <v>1.4875704268772709E-2</v>
      </c>
      <c r="H51">
        <f t="shared" ca="1" si="8"/>
        <v>0.48686273661155033</v>
      </c>
      <c r="I51">
        <f t="shared" ca="1" si="9"/>
        <v>2.7721889705206988</v>
      </c>
      <c r="J51" s="57">
        <v>46</v>
      </c>
      <c r="O51" s="53">
        <v>42292</v>
      </c>
      <c r="P51">
        <v>661.73999000000003</v>
      </c>
      <c r="Q51" s="54">
        <f t="shared" si="0"/>
        <v>1.6247953557796461E-2</v>
      </c>
      <c r="R51">
        <f t="shared" ca="1" si="6"/>
        <v>-0.15074995445698219</v>
      </c>
      <c r="S51">
        <f t="shared" ca="1" si="3"/>
        <v>0.2848998395287819</v>
      </c>
      <c r="T51" s="56">
        <f t="shared" ca="1" si="1"/>
        <v>-0.54285755416103099</v>
      </c>
    </row>
    <row r="52" spans="2:20" x14ac:dyDescent="0.25">
      <c r="B52" s="53">
        <v>40249</v>
      </c>
      <c r="C52">
        <v>288.68842239999998</v>
      </c>
      <c r="D52" s="54">
        <f t="shared" si="4"/>
        <v>-2.7531548854796408E-3</v>
      </c>
      <c r="E52" s="54">
        <f t="shared" ca="1" si="5"/>
        <v>1.1333172163402277E-2</v>
      </c>
      <c r="F52" s="64">
        <f t="shared" ca="1" si="7"/>
        <v>-1.4086327048881919E-2</v>
      </c>
      <c r="G52">
        <f t="shared" ca="1" si="2"/>
        <v>8.862475710758785E-3</v>
      </c>
      <c r="H52">
        <f t="shared" ca="1" si="8"/>
        <v>-0.19216583295887388</v>
      </c>
      <c r="I52">
        <f t="shared" ca="1" si="9"/>
        <v>2.5931413564932351</v>
      </c>
      <c r="J52" s="60">
        <v>47</v>
      </c>
      <c r="O52" s="53">
        <v>42293</v>
      </c>
      <c r="P52">
        <v>662.20001200000002</v>
      </c>
      <c r="Q52" s="54">
        <f t="shared" si="0"/>
        <v>6.9517031908556835E-4</v>
      </c>
      <c r="R52">
        <f t="shared" ca="1" si="6"/>
        <v>7.1260922225529339E-4</v>
      </c>
      <c r="S52">
        <f t="shared" ca="1" si="3"/>
        <v>0.12377327034621197</v>
      </c>
      <c r="T52" s="56">
        <f t="shared" ca="1" si="1"/>
        <v>1.2096712092432203E-2</v>
      </c>
    </row>
    <row r="53" spans="2:20" x14ac:dyDescent="0.25">
      <c r="B53" s="53">
        <v>40252</v>
      </c>
      <c r="C53">
        <v>280.53896359999999</v>
      </c>
      <c r="D53" s="54">
        <f t="shared" si="4"/>
        <v>-2.8229253990339417E-2</v>
      </c>
      <c r="E53" s="54">
        <f t="shared" ca="1" si="5"/>
        <v>7.7668945807969642E-3</v>
      </c>
      <c r="F53" s="64">
        <f t="shared" ca="1" si="7"/>
        <v>-3.599614857113638E-2</v>
      </c>
      <c r="G53">
        <f t="shared" ca="1" si="2"/>
        <v>3.9220668703573245E-3</v>
      </c>
      <c r="H53">
        <f t="shared" ca="1" si="8"/>
        <v>1.0486562353682902</v>
      </c>
      <c r="I53">
        <f t="shared" ca="1" si="9"/>
        <v>1.6744261566875742</v>
      </c>
      <c r="J53" s="57">
        <v>48</v>
      </c>
      <c r="O53" s="53">
        <v>42296</v>
      </c>
      <c r="P53">
        <v>666.09997599999997</v>
      </c>
      <c r="Q53" s="54">
        <f t="shared" si="0"/>
        <v>5.8894049068666495E-3</v>
      </c>
      <c r="R53">
        <f t="shared" ca="1" si="6"/>
        <v>6.0570174772689792E-4</v>
      </c>
      <c r="S53">
        <f t="shared" ca="1" si="3"/>
        <v>3.5890058074234382E-3</v>
      </c>
      <c r="T53" s="56">
        <f t="shared" ca="1" si="1"/>
        <v>-1.8644694254083793</v>
      </c>
    </row>
    <row r="54" spans="2:20" x14ac:dyDescent="0.25">
      <c r="B54" s="53">
        <v>40253</v>
      </c>
      <c r="C54">
        <v>281.54519099999999</v>
      </c>
      <c r="D54" s="54">
        <f t="shared" si="4"/>
        <v>3.5867652289280801E-3</v>
      </c>
      <c r="E54" s="54">
        <f t="shared" ca="1" si="5"/>
        <v>-1.7251787792166035E-2</v>
      </c>
      <c r="F54" s="64">
        <f t="shared" ca="1" si="7"/>
        <v>2.0838553021094115E-2</v>
      </c>
      <c r="G54">
        <f t="shared" ca="1" si="2"/>
        <v>1.755552217836347E-2</v>
      </c>
      <c r="H54">
        <f t="shared" ca="1" si="8"/>
        <v>-0.91223742256324392</v>
      </c>
      <c r="I54">
        <f t="shared" ca="1" si="9"/>
        <v>2.4540125068175396</v>
      </c>
      <c r="J54" s="60">
        <v>49</v>
      </c>
      <c r="O54" s="53">
        <v>42297</v>
      </c>
      <c r="P54">
        <v>650.28002900000001</v>
      </c>
      <c r="Q54" s="54">
        <f t="shared" si="0"/>
        <v>-2.3750108947609327E-2</v>
      </c>
      <c r="R54">
        <f t="shared" ca="1" si="6"/>
        <v>0.17903252598959837</v>
      </c>
      <c r="S54">
        <f t="shared" ca="1" si="3"/>
        <v>0.42477823621666982</v>
      </c>
      <c r="T54" s="56">
        <f t="shared" ca="1" si="1"/>
        <v>0.42073767990809186</v>
      </c>
    </row>
    <row r="55" spans="2:20" x14ac:dyDescent="0.25">
      <c r="B55" s="53">
        <v>40254</v>
      </c>
      <c r="C55">
        <v>281.72451239999998</v>
      </c>
      <c r="D55" s="54">
        <f t="shared" si="4"/>
        <v>6.3691871050282681E-4</v>
      </c>
      <c r="E55" s="54">
        <f t="shared" ca="1" si="5"/>
        <v>-6.000866574753432E-3</v>
      </c>
      <c r="F55" s="64">
        <f t="shared" ca="1" si="7"/>
        <v>6.6377852852562589E-3</v>
      </c>
      <c r="G55">
        <f t="shared" ca="1" si="2"/>
        <v>1.5775496928905668E-2</v>
      </c>
      <c r="H55">
        <f t="shared" ca="1" si="8"/>
        <v>0.423276363106242</v>
      </c>
      <c r="I55">
        <f t="shared" ca="1" si="9"/>
        <v>2.7483397098332283</v>
      </c>
      <c r="J55" s="57">
        <v>50</v>
      </c>
      <c r="O55" s="53">
        <v>42298</v>
      </c>
      <c r="P55">
        <v>642.60998500000005</v>
      </c>
      <c r="Q55" s="54">
        <f t="shared" si="0"/>
        <v>-1.1794986248916405E-2</v>
      </c>
      <c r="R55">
        <f t="shared" ca="1" si="6"/>
        <v>0.10508909669460316</v>
      </c>
      <c r="S55">
        <f t="shared" ca="1" si="3"/>
        <v>9.6122687984421556E-2</v>
      </c>
      <c r="T55" s="56">
        <f t="shared" ca="1" si="1"/>
        <v>1.0657677020969361</v>
      </c>
    </row>
    <row r="56" spans="2:20" x14ac:dyDescent="0.25">
      <c r="B56" s="53">
        <v>40255</v>
      </c>
      <c r="C56">
        <v>282.14294000000001</v>
      </c>
      <c r="D56" s="54">
        <f t="shared" si="4"/>
        <v>1.4852367528670521E-3</v>
      </c>
      <c r="E56" s="54">
        <f t="shared" ca="1" si="5"/>
        <v>1.3419211063569407E-2</v>
      </c>
      <c r="F56" s="64">
        <f t="shared" ca="1" si="7"/>
        <v>-1.1933974310702354E-2</v>
      </c>
      <c r="G56">
        <f t="shared" ca="1" si="2"/>
        <v>7.9906968168345915E-3</v>
      </c>
      <c r="H56">
        <f t="shared" ca="1" si="8"/>
        <v>1.4777574792904513</v>
      </c>
      <c r="I56">
        <f t="shared" ca="1" si="9"/>
        <v>2.6415530158260285</v>
      </c>
      <c r="J56" s="60">
        <v>51</v>
      </c>
      <c r="O56" s="53">
        <v>42299</v>
      </c>
      <c r="P56">
        <v>651.78997800000002</v>
      </c>
      <c r="Q56" s="54">
        <f t="shared" si="0"/>
        <v>1.4285481418406481E-2</v>
      </c>
      <c r="R56">
        <f t="shared" ca="1" si="6"/>
        <v>-0.22337051989227655</v>
      </c>
      <c r="S56">
        <f t="shared" ca="1" si="3"/>
        <v>0.24281837341761009</v>
      </c>
      <c r="T56" s="56">
        <f t="shared" ca="1" si="1"/>
        <v>-0.87597846911348576</v>
      </c>
    </row>
    <row r="57" spans="2:20" x14ac:dyDescent="0.25">
      <c r="B57" s="53">
        <v>40256</v>
      </c>
      <c r="C57">
        <v>278.95488510000001</v>
      </c>
      <c r="D57" s="54">
        <f t="shared" si="4"/>
        <v>-1.1299431770293446E-2</v>
      </c>
      <c r="E57" s="54">
        <f t="shared" ca="1" si="5"/>
        <v>4.4306387012059958E-3</v>
      </c>
      <c r="F57" s="64">
        <f t="shared" ca="1" si="7"/>
        <v>-1.5730070471499442E-2</v>
      </c>
      <c r="G57">
        <f t="shared" ca="1" si="2"/>
        <v>2.4753755460509258E-2</v>
      </c>
      <c r="H57">
        <f t="shared" ca="1" si="8"/>
        <v>0.16743157064345993</v>
      </c>
      <c r="I57">
        <f t="shared" ca="1" si="9"/>
        <v>2.5511285769371561</v>
      </c>
      <c r="J57" s="57">
        <v>52</v>
      </c>
      <c r="O57" s="53">
        <v>42300</v>
      </c>
      <c r="P57">
        <v>702</v>
      </c>
      <c r="Q57" s="54">
        <f t="shared" si="0"/>
        <v>7.7034050376270105E-2</v>
      </c>
      <c r="R57">
        <f t="shared" ca="1" si="6"/>
        <v>0.13408745219580481</v>
      </c>
      <c r="S57">
        <f t="shared" ca="1" si="3"/>
        <v>0.19961550890908158</v>
      </c>
      <c r="T57" s="56">
        <f t="shared" ca="1" si="1"/>
        <v>0.69826523664420803</v>
      </c>
    </row>
    <row r="58" spans="2:20" x14ac:dyDescent="0.25">
      <c r="B58" s="53">
        <v>40259</v>
      </c>
      <c r="C58">
        <v>277.70955190000001</v>
      </c>
      <c r="D58" s="54">
        <f t="shared" si="4"/>
        <v>-4.4642817405888997E-3</v>
      </c>
      <c r="E58" s="54">
        <f t="shared" ca="1" si="5"/>
        <v>-1.214109602163465E-4</v>
      </c>
      <c r="F58" s="64">
        <f t="shared" ca="1" si="7"/>
        <v>-4.3428707803725534E-3</v>
      </c>
      <c r="G58">
        <f t="shared" ca="1" si="2"/>
        <v>6.3743715485014623E-3</v>
      </c>
      <c r="H58">
        <f t="shared" ca="1" si="8"/>
        <v>-0.12366172858991054</v>
      </c>
      <c r="I58">
        <f t="shared" ca="1" si="9"/>
        <v>2.7525421237835648</v>
      </c>
      <c r="J58" s="60">
        <v>53</v>
      </c>
      <c r="O58" s="53">
        <v>42303</v>
      </c>
      <c r="P58">
        <v>712.78002900000001</v>
      </c>
      <c r="Q58" s="54">
        <f t="shared" si="0"/>
        <v>1.5356166666666685E-2</v>
      </c>
      <c r="R58">
        <f t="shared" ca="1" si="6"/>
        <v>0.15631795440353619</v>
      </c>
      <c r="S58">
        <f t="shared" ca="1" si="3"/>
        <v>0.15912196852972965</v>
      </c>
      <c r="T58" s="56">
        <f t="shared" ca="1" si="1"/>
        <v>0.94204924941655799</v>
      </c>
    </row>
    <row r="59" spans="2:20" x14ac:dyDescent="0.25">
      <c r="B59" s="53">
        <v>40260</v>
      </c>
      <c r="C59">
        <v>273.475414</v>
      </c>
      <c r="D59" s="54">
        <f t="shared" si="4"/>
        <v>-1.5246641215728407E-2</v>
      </c>
      <c r="E59" s="54">
        <f t="shared" ca="1" si="5"/>
        <v>-9.1644060608729629E-3</v>
      </c>
      <c r="F59" s="64">
        <f t="shared" ca="1" si="7"/>
        <v>-6.0822351548554445E-3</v>
      </c>
      <c r="G59">
        <f t="shared" ca="1" si="2"/>
        <v>2.7179032226494885E-3</v>
      </c>
      <c r="H59">
        <f t="shared" ca="1" si="8"/>
        <v>-1.5046628497653063</v>
      </c>
      <c r="I59">
        <f t="shared" ca="1" si="9"/>
        <v>2.7353337697262092</v>
      </c>
      <c r="J59" s="57">
        <v>54</v>
      </c>
      <c r="O59" s="53">
        <v>42304</v>
      </c>
      <c r="P59">
        <v>708.48999000000003</v>
      </c>
      <c r="Q59" s="54">
        <f t="shared" si="0"/>
        <v>-6.0187418634872819E-3</v>
      </c>
      <c r="R59">
        <f t="shared" ca="1" si="6"/>
        <v>3.1186840849779286E-2</v>
      </c>
      <c r="S59">
        <f t="shared" ca="1" si="3"/>
        <v>0.21464334006955868</v>
      </c>
      <c r="T59" s="56">
        <f t="shared" ca="1" si="1"/>
        <v>-1.5891285892403472E-2</v>
      </c>
    </row>
    <row r="60" spans="2:20" x14ac:dyDescent="0.25">
      <c r="B60" s="53">
        <v>40261</v>
      </c>
      <c r="C60">
        <v>277.62486580000001</v>
      </c>
      <c r="D60" s="54">
        <f t="shared" si="4"/>
        <v>1.5173034165330886E-2</v>
      </c>
      <c r="E60" s="54">
        <f t="shared" ca="1" si="5"/>
        <v>2.7111971089245042E-3</v>
      </c>
      <c r="F60" s="64">
        <f t="shared" ca="1" si="7"/>
        <v>1.2461837056406383E-2</v>
      </c>
      <c r="G60">
        <f t="shared" ca="1" si="2"/>
        <v>2.5143071796362382E-2</v>
      </c>
      <c r="H60">
        <f t="shared" ca="1" si="8"/>
        <v>0.18758480434565478</v>
      </c>
      <c r="I60">
        <f t="shared" ca="1" si="9"/>
        <v>2.667042878438135</v>
      </c>
      <c r="J60" s="60">
        <v>55</v>
      </c>
      <c r="O60" s="53">
        <v>42305</v>
      </c>
      <c r="P60">
        <v>712.95001200000002</v>
      </c>
      <c r="Q60" s="54">
        <f t="shared" si="0"/>
        <v>6.2951094058505764E-3</v>
      </c>
      <c r="R60">
        <f t="shared" ca="1" si="6"/>
        <v>-1.4311335447054025E-3</v>
      </c>
      <c r="S60">
        <f t="shared" ca="1" si="3"/>
        <v>5.1924171833365252E-3</v>
      </c>
      <c r="T60" s="56">
        <f t="shared" ca="1" si="1"/>
        <v>-1.6038371987567908</v>
      </c>
    </row>
    <row r="61" spans="2:20" x14ac:dyDescent="0.25">
      <c r="B61" s="53">
        <v>40262</v>
      </c>
      <c r="C61">
        <v>280.3895187</v>
      </c>
      <c r="D61" s="54">
        <f t="shared" si="4"/>
        <v>9.9582322787744593E-3</v>
      </c>
      <c r="E61" s="54">
        <f t="shared" ca="1" si="5"/>
        <v>-3.2146530653462723E-3</v>
      </c>
      <c r="F61" s="64">
        <f t="shared" ca="1" si="7"/>
        <v>1.3172885344120731E-2</v>
      </c>
      <c r="G61">
        <f t="shared" ca="1" si="2"/>
        <v>6.6056246272700389E-3</v>
      </c>
      <c r="H61">
        <f t="shared" ca="1" si="8"/>
        <v>0.54993397159750312</v>
      </c>
      <c r="I61">
        <f t="shared" ca="1" si="9"/>
        <v>2.6533634810190856</v>
      </c>
      <c r="J61" s="57">
        <v>56</v>
      </c>
      <c r="O61" s="53">
        <v>42306</v>
      </c>
      <c r="P61">
        <v>716.919983</v>
      </c>
      <c r="Q61" s="54">
        <f t="shared" si="0"/>
        <v>5.5683721623950074E-3</v>
      </c>
      <c r="R61">
        <f t="shared" ca="1" si="6"/>
        <v>-0.18118461326726112</v>
      </c>
      <c r="S61">
        <f t="shared" ca="1" si="3"/>
        <v>0.36539930048920671</v>
      </c>
      <c r="T61" s="56">
        <f t="shared" ca="1" si="1"/>
        <v>-0.48845628329976065</v>
      </c>
    </row>
    <row r="62" spans="2:20" x14ac:dyDescent="0.25">
      <c r="B62" s="53">
        <v>40263</v>
      </c>
      <c r="C62">
        <v>280.29488350000003</v>
      </c>
      <c r="D62" s="54">
        <f t="shared" si="4"/>
        <v>-3.3751332945232025E-4</v>
      </c>
      <c r="E62" s="54">
        <f t="shared" ca="1" si="5"/>
        <v>3.7092593161936445E-3</v>
      </c>
      <c r="F62" s="64">
        <f t="shared" ca="1" si="7"/>
        <v>-4.0467726456459643E-3</v>
      </c>
      <c r="G62">
        <f t="shared" ca="1" si="2"/>
        <v>9.3563446413965513E-3</v>
      </c>
      <c r="H62">
        <f t="shared" ca="1" si="8"/>
        <v>-0.33190588341805372</v>
      </c>
      <c r="I62">
        <f t="shared" ca="1" si="9"/>
        <v>2.7549846592029494</v>
      </c>
      <c r="J62" s="60">
        <v>57</v>
      </c>
      <c r="O62" s="53">
        <v>42307</v>
      </c>
      <c r="P62">
        <v>710.80999799999995</v>
      </c>
      <c r="Q62" s="54">
        <f t="shared" si="0"/>
        <v>-8.5225480456443785E-3</v>
      </c>
      <c r="R62">
        <f t="shared" ca="1" si="6"/>
        <v>-6.8092565447251899E-3</v>
      </c>
      <c r="S62">
        <f t="shared" ca="1" si="3"/>
        <v>0.11145525050150334</v>
      </c>
      <c r="T62" s="56">
        <f t="shared" ca="1" si="1"/>
        <v>-8.6461716059175908E-2</v>
      </c>
    </row>
    <row r="63" spans="2:20" x14ac:dyDescent="0.25">
      <c r="B63" s="53">
        <v>40266</v>
      </c>
      <c r="C63">
        <v>280.17531559999998</v>
      </c>
      <c r="D63" s="54">
        <f t="shared" si="4"/>
        <v>-4.2657896036853475E-4</v>
      </c>
      <c r="E63" s="54">
        <f t="shared" ca="1" si="5"/>
        <v>2.0950001889772033E-3</v>
      </c>
      <c r="F63" s="64">
        <f t="shared" ca="1" si="7"/>
        <v>-2.521579149345738E-3</v>
      </c>
      <c r="G63">
        <f t="shared" ca="1" si="2"/>
        <v>6.0210648472697479E-3</v>
      </c>
      <c r="H63">
        <f t="shared" ca="1" si="8"/>
        <v>-0.3948530066546172</v>
      </c>
      <c r="I63">
        <f t="shared" ca="1" si="9"/>
        <v>2.7653219608006387</v>
      </c>
      <c r="J63" s="57">
        <v>58</v>
      </c>
      <c r="O63" s="53">
        <v>42310</v>
      </c>
      <c r="P63">
        <v>721.10998500000005</v>
      </c>
      <c r="Q63" s="54">
        <f t="shared" si="0"/>
        <v>1.4490492577455419E-2</v>
      </c>
      <c r="R63">
        <f t="shared" ca="1" si="6"/>
        <v>1.8115999947877354E-2</v>
      </c>
      <c r="S63">
        <f t="shared" ca="1" si="3"/>
        <v>1.9811686657421782E-2</v>
      </c>
      <c r="T63" s="56">
        <f t="shared" ca="1" si="1"/>
        <v>0.78818525789174299</v>
      </c>
    </row>
    <row r="64" spans="2:20" x14ac:dyDescent="0.25">
      <c r="B64" s="53">
        <v>40267</v>
      </c>
      <c r="C64">
        <v>282.29735920000002</v>
      </c>
      <c r="D64" s="54">
        <f t="shared" si="4"/>
        <v>7.5739848653535013E-3</v>
      </c>
      <c r="E64" s="54">
        <f t="shared" ca="1" si="5"/>
        <v>-3.3953812174365196E-3</v>
      </c>
      <c r="F64" s="64">
        <f t="shared" ca="1" si="7"/>
        <v>1.0969366082790021E-2</v>
      </c>
      <c r="G64">
        <f t="shared" ca="1" si="2"/>
        <v>6.8071087677054436E-3</v>
      </c>
      <c r="H64">
        <f t="shared" ca="1" si="8"/>
        <v>-0.47652975449495566</v>
      </c>
      <c r="I64">
        <f t="shared" ca="1" si="9"/>
        <v>2.6930987122892955</v>
      </c>
      <c r="J64" s="60">
        <v>59</v>
      </c>
      <c r="O64" s="53">
        <v>42311</v>
      </c>
      <c r="P64">
        <v>722.15997300000004</v>
      </c>
      <c r="Q64" s="54">
        <f t="shared" si="0"/>
        <v>1.4560719194589779E-3</v>
      </c>
      <c r="R64">
        <f t="shared" ca="1" si="6"/>
        <v>0.13248297449092802</v>
      </c>
      <c r="S64">
        <f t="shared" ca="1" si="3"/>
        <v>0.17957325625566789</v>
      </c>
      <c r="T64" s="56">
        <f t="shared" ca="1" si="1"/>
        <v>0.75907946779952318</v>
      </c>
    </row>
    <row r="65" spans="2:20" x14ac:dyDescent="0.25">
      <c r="B65" s="53">
        <v>40268</v>
      </c>
      <c r="C65">
        <v>282.50161359999998</v>
      </c>
      <c r="D65" s="54">
        <f t="shared" si="4"/>
        <v>7.2354343157443168E-4</v>
      </c>
      <c r="E65" s="54">
        <f t="shared" ca="1" si="5"/>
        <v>1.5749983332471799E-2</v>
      </c>
      <c r="F65" s="64">
        <f t="shared" ca="1" si="7"/>
        <v>-1.5026439900897366E-2</v>
      </c>
      <c r="G65">
        <f t="shared" ca="1" si="2"/>
        <v>8.1663445380204171E-3</v>
      </c>
      <c r="H65">
        <f t="shared" ca="1" si="8"/>
        <v>1.9520898104375086</v>
      </c>
      <c r="I65">
        <f t="shared" ca="1" si="9"/>
        <v>2.5696472196432087</v>
      </c>
      <c r="J65" s="57">
        <v>60</v>
      </c>
      <c r="O65" s="53">
        <v>42312</v>
      </c>
      <c r="P65">
        <v>728.10998500000005</v>
      </c>
      <c r="Q65" s="54">
        <f t="shared" si="0"/>
        <v>8.2391882996262593E-3</v>
      </c>
      <c r="R65">
        <f t="shared" ca="1" si="6"/>
        <v>0.26238765564238598</v>
      </c>
      <c r="S65">
        <f t="shared" ca="1" si="3"/>
        <v>0.17296793941518013</v>
      </c>
      <c r="T65" s="56">
        <f t="shared" ca="1" si="1"/>
        <v>1.4793473344057624</v>
      </c>
    </row>
    <row r="66" spans="2:20" x14ac:dyDescent="0.25">
      <c r="B66" s="53">
        <v>40269</v>
      </c>
      <c r="C66">
        <v>283.33846790000001</v>
      </c>
      <c r="D66" s="54">
        <f t="shared" si="4"/>
        <v>2.9622991859612775E-3</v>
      </c>
      <c r="E66" s="54">
        <f t="shared" ca="1" si="5"/>
        <v>1.7621320776350952E-2</v>
      </c>
      <c r="F66" s="64">
        <f t="shared" ca="1" si="7"/>
        <v>-1.4659021590389674E-2</v>
      </c>
      <c r="G66">
        <f t="shared" ca="1" si="2"/>
        <v>3.2652119489334872E-2</v>
      </c>
      <c r="H66">
        <f t="shared" ca="1" si="8"/>
        <v>0.43549026010733893</v>
      </c>
      <c r="I66">
        <f t="shared" ca="1" si="9"/>
        <v>2.5789992750801831</v>
      </c>
      <c r="J66" s="60">
        <v>61</v>
      </c>
      <c r="O66" s="53">
        <v>42313</v>
      </c>
      <c r="P66">
        <v>731.25</v>
      </c>
      <c r="Q66" s="54">
        <f t="shared" si="0"/>
        <v>4.3125558839849564E-3</v>
      </c>
      <c r="R66">
        <f t="shared" ca="1" si="6"/>
        <v>0.24345688732619913</v>
      </c>
      <c r="S66">
        <f t="shared" ca="1" si="3"/>
        <v>0.33704958319865203</v>
      </c>
      <c r="T66" s="56">
        <f t="shared" ca="1" si="1"/>
        <v>0.72037707915354654</v>
      </c>
    </row>
    <row r="67" spans="2:20" x14ac:dyDescent="0.25">
      <c r="B67" s="53">
        <v>40273</v>
      </c>
      <c r="C67">
        <v>284.43933060000001</v>
      </c>
      <c r="D67" s="54">
        <f t="shared" si="4"/>
        <v>3.8853273548035347E-3</v>
      </c>
      <c r="E67" s="54">
        <f t="shared" ca="1" si="5"/>
        <v>-8.3640787587539994E-4</v>
      </c>
      <c r="F67" s="64">
        <f t="shared" ca="1" si="7"/>
        <v>4.7217352306789346E-3</v>
      </c>
      <c r="G67">
        <f t="shared" ca="1" si="2"/>
        <v>1.0449662006290808E-2</v>
      </c>
      <c r="H67">
        <f t="shared" ca="1" si="8"/>
        <v>-0.1111439558914213</v>
      </c>
      <c r="I67">
        <f t="shared" ca="1" si="9"/>
        <v>2.7631043642907644</v>
      </c>
      <c r="J67" s="57">
        <v>62</v>
      </c>
      <c r="O67" s="53">
        <v>42314</v>
      </c>
      <c r="P67">
        <v>733.76000999999997</v>
      </c>
      <c r="Q67" s="54">
        <f t="shared" si="0"/>
        <v>3.4324923076922607E-3</v>
      </c>
      <c r="R67">
        <f t="shared" ca="1" si="6"/>
        <v>5.2272125935117611E-2</v>
      </c>
      <c r="S67">
        <f t="shared" ca="1" si="3"/>
        <v>0.16422105840499951</v>
      </c>
      <c r="T67" s="56">
        <f t="shared" ca="1" si="1"/>
        <v>0.29577002854293966</v>
      </c>
    </row>
    <row r="68" spans="2:20" x14ac:dyDescent="0.25">
      <c r="B68" s="53">
        <v>40274</v>
      </c>
      <c r="C68">
        <v>283.0495578</v>
      </c>
      <c r="D68" s="54">
        <f t="shared" si="4"/>
        <v>-4.8860078424049101E-3</v>
      </c>
      <c r="E68" s="54">
        <f t="shared" ca="1" si="5"/>
        <v>1.8192782304610087E-3</v>
      </c>
      <c r="F68" s="64">
        <f t="shared" ca="1" si="7"/>
        <v>-6.7052860728659186E-3</v>
      </c>
      <c r="G68">
        <f t="shared" ca="1" si="2"/>
        <v>3.182274503856432E-3</v>
      </c>
      <c r="H68">
        <f t="shared" ca="1" si="8"/>
        <v>0.15359560518641405</v>
      </c>
      <c r="I68">
        <f t="shared" ca="1" si="9"/>
        <v>2.7279805175357685</v>
      </c>
      <c r="J68" s="60">
        <v>63</v>
      </c>
      <c r="O68" s="53">
        <v>42317</v>
      </c>
      <c r="P68">
        <v>724.89001499999995</v>
      </c>
      <c r="Q68" s="54">
        <f t="shared" si="0"/>
        <v>-1.2088414303199785E-2</v>
      </c>
      <c r="R68">
        <f t="shared" ca="1" si="6"/>
        <v>8.0416246291368274E-2</v>
      </c>
      <c r="S68">
        <f t="shared" ca="1" si="3"/>
        <v>6.7447758722106288E-2</v>
      </c>
      <c r="T68" s="56">
        <f t="shared" ca="1" si="1"/>
        <v>1.1635572983220781</v>
      </c>
    </row>
    <row r="69" spans="2:20" x14ac:dyDescent="0.25">
      <c r="B69" s="53">
        <v>40275</v>
      </c>
      <c r="C69">
        <v>280.71828549999998</v>
      </c>
      <c r="D69" s="54">
        <f t="shared" si="4"/>
        <v>-8.2362690057522607E-3</v>
      </c>
      <c r="E69" s="54">
        <f t="shared" ca="1" si="5"/>
        <v>-2.3510597956981115E-3</v>
      </c>
      <c r="F69" s="64">
        <f t="shared" ca="1" si="7"/>
        <v>-5.8852092100541492E-3</v>
      </c>
      <c r="G69">
        <f t="shared" ref="G69:G132" ca="1" si="10">SQRT(A_0+A_1*POWER(H68,2)+B_1*POWER(G68,2))</f>
        <v>2.848836827504652E-3</v>
      </c>
      <c r="H69">
        <f t="shared" ca="1" si="8"/>
        <v>-1.4377636111485042</v>
      </c>
      <c r="I69">
        <f t="shared" ca="1" si="9"/>
        <v>2.7375285380791179</v>
      </c>
      <c r="J69" s="57">
        <v>64</v>
      </c>
      <c r="O69" s="53">
        <v>42318</v>
      </c>
      <c r="P69">
        <v>728.32000700000003</v>
      </c>
      <c r="Q69" s="54">
        <f t="shared" ref="Q69:Q132" si="11">(P69-P68)/P68</f>
        <v>4.731741269742947E-3</v>
      </c>
      <c r="R69">
        <f t="shared" ca="1" si="6"/>
        <v>0.14083176975895201</v>
      </c>
      <c r="S69">
        <f t="shared" ref="S69:S132" ca="1" si="12">SQRT(A_0+A_1*POWER(S68,2)+B_1*POWER(T68,2))</f>
        <v>0.26509442677105866</v>
      </c>
      <c r="T69" s="56">
        <f t="shared" ref="T69:T132" ca="1" si="13">_xlfn.NORM.INV(RAND(),0,1)</f>
        <v>0.5254368367463027</v>
      </c>
    </row>
    <row r="70" spans="2:20" x14ac:dyDescent="0.25">
      <c r="B70" s="53">
        <v>40276</v>
      </c>
      <c r="C70">
        <v>282.68590929999999</v>
      </c>
      <c r="D70" s="54">
        <f t="shared" si="4"/>
        <v>7.0092469982687066E-3</v>
      </c>
      <c r="E70" s="54">
        <f t="shared" ca="1" si="5"/>
        <v>-7.464648275605083E-3</v>
      </c>
      <c r="F70" s="64">
        <f t="shared" ca="1" si="7"/>
        <v>1.4473895273873789E-2</v>
      </c>
      <c r="G70">
        <f t="shared" ca="1" si="10"/>
        <v>2.4028500477096634E-2</v>
      </c>
      <c r="H70">
        <f t="shared" ca="1" si="8"/>
        <v>-0.21932714279156196</v>
      </c>
      <c r="I70">
        <f t="shared" ca="1" si="9"/>
        <v>2.6262194137377421</v>
      </c>
      <c r="J70" s="60">
        <v>65</v>
      </c>
      <c r="O70" s="53">
        <v>42319</v>
      </c>
      <c r="P70">
        <v>735.40002400000003</v>
      </c>
      <c r="Q70" s="54">
        <f t="shared" si="11"/>
        <v>9.721025005427316E-3</v>
      </c>
      <c r="R70">
        <f t="shared" ca="1" si="6"/>
        <v>-6.7686220811171385E-2</v>
      </c>
      <c r="S70">
        <f t="shared" ca="1" si="12"/>
        <v>0.11979485285702501</v>
      </c>
      <c r="T70" s="56">
        <f t="shared" ca="1" si="13"/>
        <v>-0.51969806628359194</v>
      </c>
    </row>
    <row r="71" spans="2:20" x14ac:dyDescent="0.25">
      <c r="B71" s="53">
        <v>40277</v>
      </c>
      <c r="C71">
        <v>282.0532791</v>
      </c>
      <c r="D71" s="54">
        <f t="shared" ref="D71:D134" si="14">(C71-C70)/C70</f>
        <v>-2.2379261901187171E-3</v>
      </c>
      <c r="E71" s="54">
        <f t="shared" ca="1" si="5"/>
        <v>2.6740595789566967E-3</v>
      </c>
      <c r="F71" s="64">
        <f t="shared" ca="1" si="7"/>
        <v>-4.9119857690754134E-3</v>
      </c>
      <c r="G71">
        <f t="shared" ca="1" si="10"/>
        <v>6.6624471191198079E-3</v>
      </c>
      <c r="H71">
        <f t="shared" ca="1" si="8"/>
        <v>0.95655725906569433</v>
      </c>
      <c r="I71">
        <f t="shared" ca="1" si="9"/>
        <v>2.7474496499568004</v>
      </c>
      <c r="J71" s="57">
        <v>66</v>
      </c>
      <c r="O71" s="53">
        <v>42320</v>
      </c>
      <c r="P71">
        <v>731.22997999999995</v>
      </c>
      <c r="Q71" s="54">
        <f t="shared" si="11"/>
        <v>-5.6704431111088398E-3</v>
      </c>
      <c r="R71">
        <f t="shared" ca="1" si="6"/>
        <v>0.12241929305733594</v>
      </c>
      <c r="S71">
        <f t="shared" ca="1" si="12"/>
        <v>0.11842258592844979</v>
      </c>
      <c r="T71" s="56">
        <f t="shared" ca="1" si="13"/>
        <v>1.0158028961604364</v>
      </c>
    </row>
    <row r="72" spans="2:20" x14ac:dyDescent="0.25">
      <c r="B72" s="53">
        <v>40280</v>
      </c>
      <c r="C72">
        <v>285.29614350000003</v>
      </c>
      <c r="D72" s="54">
        <f t="shared" si="14"/>
        <v>1.1497346920935089E-2</v>
      </c>
      <c r="E72" s="54">
        <f t="shared" ref="E72:E135" ca="1" si="15">((E_1*D71)+(E_2*D70)+(G72*H72))</f>
        <v>4.7780527086119986E-3</v>
      </c>
      <c r="F72" s="64">
        <f t="shared" ca="1" si="7"/>
        <v>6.7192942123230903E-3</v>
      </c>
      <c r="G72">
        <f t="shared" ca="1" si="10"/>
        <v>1.6070126081283012E-2</v>
      </c>
      <c r="H72">
        <f t="shared" ca="1" si="8"/>
        <v>0.10143654485265197</v>
      </c>
      <c r="I72">
        <f t="shared" ca="1" si="9"/>
        <v>2.7475800829466364</v>
      </c>
      <c r="J72" s="60">
        <v>67</v>
      </c>
      <c r="O72" s="53">
        <v>42321</v>
      </c>
      <c r="P72">
        <v>717</v>
      </c>
      <c r="Q72" s="54">
        <f t="shared" si="11"/>
        <v>-1.9460334490114802E-2</v>
      </c>
      <c r="R72">
        <f t="shared" ref="R72:R135" ca="1" si="16">((E_1*Q71)+(E_2*Q70)+(S72*T72))</f>
        <v>-6.8431114943491101E-3</v>
      </c>
      <c r="S72">
        <f t="shared" ca="1" si="12"/>
        <v>0.23143827012123977</v>
      </c>
      <c r="T72" s="56">
        <f t="shared" ca="1" si="13"/>
        <v>-4.8431578724715721E-2</v>
      </c>
    </row>
    <row r="73" spans="2:20" x14ac:dyDescent="0.25">
      <c r="B73" s="53">
        <v>40281</v>
      </c>
      <c r="C73">
        <v>292.28993009999999</v>
      </c>
      <c r="D73" s="54">
        <f t="shared" si="14"/>
        <v>2.4514129473327297E-2</v>
      </c>
      <c r="E73" s="54">
        <f t="shared" ca="1" si="15"/>
        <v>-2.7311903813454256E-4</v>
      </c>
      <c r="F73" s="64">
        <f t="shared" ref="F73:F136" ca="1" si="17">D73-E73</f>
        <v>2.4787248511461839E-2</v>
      </c>
      <c r="G73">
        <f t="shared" ca="1" si="10"/>
        <v>4.1579557920730032E-3</v>
      </c>
      <c r="H73">
        <f t="shared" ref="H73:H136" ca="1" si="18">_xlfn.NORM.INV(RAND(),0,1)</f>
        <v>0.17599520852639478</v>
      </c>
      <c r="I73">
        <f t="shared" ref="I73:I136" ca="1" si="19">LN(_xlfn.NORM.DIST(F73,AVERAGE($F$8:$F$1413),_xlfn.STDEV.S($F$8:$F$1413),FALSE))</f>
        <v>2.3142735420351124</v>
      </c>
      <c r="J73" s="57">
        <v>68</v>
      </c>
      <c r="O73" s="53">
        <v>42324</v>
      </c>
      <c r="P73">
        <v>728.96002199999998</v>
      </c>
      <c r="Q73" s="54">
        <f t="shared" si="11"/>
        <v>1.6680644351464408E-2</v>
      </c>
      <c r="R73">
        <f t="shared" ca="1" si="16"/>
        <v>-2.6474407936068474E-3</v>
      </c>
      <c r="S73">
        <f t="shared" ca="1" si="12"/>
        <v>1.1734166362978929E-2</v>
      </c>
      <c r="T73" s="56">
        <f t="shared" ca="1" si="13"/>
        <v>-8.5558573415989436E-3</v>
      </c>
    </row>
    <row r="74" spans="2:20" x14ac:dyDescent="0.25">
      <c r="B74" s="53">
        <v>40282</v>
      </c>
      <c r="C74">
        <v>293.4007719</v>
      </c>
      <c r="D74" s="54">
        <f t="shared" si="14"/>
        <v>3.8004792009767663E-3</v>
      </c>
      <c r="E74" s="54">
        <f t="shared" ca="1" si="15"/>
        <v>5.6528761718892756E-3</v>
      </c>
      <c r="F74" s="64">
        <f t="shared" ca="1" si="17"/>
        <v>-1.8523969709125093E-3</v>
      </c>
      <c r="G74">
        <f t="shared" ca="1" si="10"/>
        <v>3.2472278817417505E-3</v>
      </c>
      <c r="H74">
        <f t="shared" ca="1" si="18"/>
        <v>0.15051759549851187</v>
      </c>
      <c r="I74">
        <f t="shared" ca="1" si="19"/>
        <v>2.7686711625564664</v>
      </c>
      <c r="J74" s="60">
        <v>69</v>
      </c>
      <c r="O74" s="53">
        <v>42325</v>
      </c>
      <c r="P74">
        <v>725.29998799999998</v>
      </c>
      <c r="Q74" s="54">
        <f t="shared" si="11"/>
        <v>-5.020898114492205E-3</v>
      </c>
      <c r="R74">
        <f t="shared" ca="1" si="16"/>
        <v>-9.0076419618715063E-3</v>
      </c>
      <c r="S74">
        <f t="shared" ca="1" si="12"/>
        <v>2.2034905786376033E-3</v>
      </c>
      <c r="T74" s="56">
        <f t="shared" ca="1" si="13"/>
        <v>-0.1215813906020677</v>
      </c>
    </row>
    <row r="75" spans="2:20" x14ac:dyDescent="0.25">
      <c r="B75" s="53">
        <v>40283</v>
      </c>
      <c r="C75">
        <v>296.53902140000002</v>
      </c>
      <c r="D75" s="54">
        <f t="shared" si="14"/>
        <v>1.0696118758234355E-2</v>
      </c>
      <c r="E75" s="54">
        <f t="shared" ca="1" si="15"/>
        <v>1.4656512690355929E-2</v>
      </c>
      <c r="F75" s="64">
        <f t="shared" ca="1" si="17"/>
        <v>-3.9603939321215739E-3</v>
      </c>
      <c r="G75">
        <f t="shared" ca="1" si="10"/>
        <v>2.806555242856004E-3</v>
      </c>
      <c r="H75">
        <f t="shared" ca="1" si="18"/>
        <v>1.2993368576216866</v>
      </c>
      <c r="I75">
        <f t="shared" ca="1" si="19"/>
        <v>2.755670513149771</v>
      </c>
      <c r="J75" s="57">
        <v>70</v>
      </c>
      <c r="O75" s="53">
        <v>42326</v>
      </c>
      <c r="P75">
        <v>740</v>
      </c>
      <c r="Q75" s="54">
        <f t="shared" si="11"/>
        <v>2.0267492407569178E-2</v>
      </c>
      <c r="R75">
        <f t="shared" ca="1" si="16"/>
        <v>-2.7727508748231683E-2</v>
      </c>
      <c r="S75">
        <f t="shared" ca="1" si="12"/>
        <v>2.7717943183746582E-2</v>
      </c>
      <c r="T75" s="56">
        <f t="shared" ca="1" si="13"/>
        <v>-1.2706221905376984</v>
      </c>
    </row>
    <row r="76" spans="2:20" x14ac:dyDescent="0.25">
      <c r="B76" s="53">
        <v>40284</v>
      </c>
      <c r="C76">
        <v>274.04826029999998</v>
      </c>
      <c r="D76" s="54">
        <f t="shared" si="14"/>
        <v>-7.5844187364678614E-2</v>
      </c>
      <c r="E76" s="54">
        <f t="shared" ca="1" si="15"/>
        <v>1.0095995051831324E-2</v>
      </c>
      <c r="F76" s="64">
        <f t="shared" ca="1" si="17"/>
        <v>-8.5940182416509941E-2</v>
      </c>
      <c r="G76">
        <f t="shared" ca="1" si="10"/>
        <v>2.1720840327819985E-2</v>
      </c>
      <c r="H76">
        <f t="shared" ca="1" si="18"/>
        <v>0.38621615311927709</v>
      </c>
      <c r="I76">
        <f t="shared" ca="1" si="19"/>
        <v>-3.3190071365529654</v>
      </c>
      <c r="J76" s="60">
        <v>71</v>
      </c>
      <c r="O76" s="53">
        <v>42327</v>
      </c>
      <c r="P76">
        <v>738.40997300000004</v>
      </c>
      <c r="Q76" s="54">
        <f t="shared" si="11"/>
        <v>-2.1486851351350859E-3</v>
      </c>
      <c r="R76">
        <f t="shared" ca="1" si="16"/>
        <v>6.4383756998270494E-2</v>
      </c>
      <c r="S76">
        <f t="shared" ca="1" si="12"/>
        <v>0.28948454949593588</v>
      </c>
      <c r="T76" s="56">
        <f t="shared" ca="1" si="13"/>
        <v>0.23019671944049003</v>
      </c>
    </row>
    <row r="77" spans="2:20" x14ac:dyDescent="0.25">
      <c r="B77" s="53">
        <v>40287</v>
      </c>
      <c r="C77">
        <v>274.02335820000002</v>
      </c>
      <c r="D77" s="54">
        <f t="shared" si="14"/>
        <v>-9.0867571911249081E-5</v>
      </c>
      <c r="E77" s="54">
        <f t="shared" ca="1" si="15"/>
        <v>8.9683812199514972E-3</v>
      </c>
      <c r="F77" s="64">
        <f t="shared" ca="1" si="17"/>
        <v>-9.0592487918627462E-3</v>
      </c>
      <c r="G77">
        <f t="shared" ca="1" si="10"/>
        <v>8.1892705775387549E-3</v>
      </c>
      <c r="H77">
        <f t="shared" ca="1" si="18"/>
        <v>0.5086957475649917</v>
      </c>
      <c r="I77">
        <f t="shared" ca="1" si="19"/>
        <v>2.6945376218286223</v>
      </c>
      <c r="J77" s="57">
        <v>72</v>
      </c>
      <c r="O77" s="53">
        <v>42328</v>
      </c>
      <c r="P77">
        <v>756.59997599999997</v>
      </c>
      <c r="Q77" s="54">
        <f t="shared" si="11"/>
        <v>2.4634015878872661E-2</v>
      </c>
      <c r="R77">
        <f t="shared" ca="1" si="16"/>
        <v>6.1094289353689463E-2</v>
      </c>
      <c r="S77">
        <f t="shared" ca="1" si="12"/>
        <v>5.2676877104556756E-2</v>
      </c>
      <c r="T77" s="56">
        <f t="shared" ca="1" si="13"/>
        <v>0.98699453109974389</v>
      </c>
    </row>
    <row r="78" spans="2:20" x14ac:dyDescent="0.25">
      <c r="B78" s="53">
        <v>40288</v>
      </c>
      <c r="C78">
        <v>276.48414700000001</v>
      </c>
      <c r="D78" s="54">
        <f t="shared" si="14"/>
        <v>8.9802154683614448E-3</v>
      </c>
      <c r="E78" s="54">
        <f t="shared" ca="1" si="15"/>
        <v>-2.8329352165130373E-2</v>
      </c>
      <c r="F78" s="64">
        <f t="shared" ca="1" si="17"/>
        <v>3.7309567633491816E-2</v>
      </c>
      <c r="G78">
        <f t="shared" ca="1" si="10"/>
        <v>8.7518209558050068E-3</v>
      </c>
      <c r="H78">
        <f t="shared" ca="1" si="18"/>
        <v>0.65515428296317979</v>
      </c>
      <c r="I78">
        <f t="shared" ca="1" si="19"/>
        <v>1.7044972425154659</v>
      </c>
      <c r="J78" s="60">
        <v>73</v>
      </c>
      <c r="O78" s="53">
        <v>42331</v>
      </c>
      <c r="P78">
        <v>755.97997999999995</v>
      </c>
      <c r="Q78" s="54">
        <f t="shared" si="11"/>
        <v>-8.1945019781498737E-4</v>
      </c>
      <c r="R78">
        <f t="shared" ca="1" si="16"/>
        <v>8.9077761225895807E-2</v>
      </c>
      <c r="S78">
        <f t="shared" ca="1" si="12"/>
        <v>0.22486828002133613</v>
      </c>
      <c r="T78" s="56">
        <f t="shared" ca="1" si="13"/>
        <v>0.40042265728438492</v>
      </c>
    </row>
    <row r="79" spans="2:20" x14ac:dyDescent="0.25">
      <c r="B79" s="53">
        <v>40289</v>
      </c>
      <c r="C79">
        <v>276.11552469999998</v>
      </c>
      <c r="D79" s="54">
        <f t="shared" si="14"/>
        <v>-1.3332493164609066E-3</v>
      </c>
      <c r="E79" s="54">
        <f t="shared" ca="1" si="15"/>
        <v>-2.681433613362387E-2</v>
      </c>
      <c r="F79" s="64">
        <f t="shared" ca="1" si="17"/>
        <v>2.5481086817162962E-2</v>
      </c>
      <c r="G79">
        <f t="shared" ca="1" si="10"/>
        <v>1.1161519590996644E-2</v>
      </c>
      <c r="H79">
        <f t="shared" ca="1" si="18"/>
        <v>-2.3987486855331261</v>
      </c>
      <c r="I79">
        <f t="shared" ca="1" si="19"/>
        <v>2.2871172475993062</v>
      </c>
      <c r="J79" s="57">
        <v>74</v>
      </c>
      <c r="O79" s="53">
        <v>42332</v>
      </c>
      <c r="P79">
        <v>748.28002900000001</v>
      </c>
      <c r="Q79" s="54">
        <f t="shared" si="11"/>
        <v>-1.0185390094589465E-2</v>
      </c>
      <c r="R79">
        <f t="shared" ca="1" si="16"/>
        <v>3.3251396841239705E-2</v>
      </c>
      <c r="S79">
        <f t="shared" ca="1" si="12"/>
        <v>9.1309965528444642E-2</v>
      </c>
      <c r="T79" s="56">
        <f t="shared" ca="1" si="13"/>
        <v>0.24299407982512722</v>
      </c>
    </row>
    <row r="80" spans="2:20" x14ac:dyDescent="0.25">
      <c r="B80" s="53">
        <v>40290</v>
      </c>
      <c r="C80">
        <v>272.50904270000001</v>
      </c>
      <c r="D80" s="54">
        <f t="shared" si="14"/>
        <v>-1.3061496646805429E-2</v>
      </c>
      <c r="E80" s="54">
        <f t="shared" ca="1" si="15"/>
        <v>-1.6533490726225921E-2</v>
      </c>
      <c r="F80" s="64">
        <f t="shared" ca="1" si="17"/>
        <v>3.4719940794204918E-3</v>
      </c>
      <c r="G80">
        <f t="shared" ca="1" si="10"/>
        <v>4.0132250842910194E-2</v>
      </c>
      <c r="H80">
        <f t="shared" ca="1" si="18"/>
        <v>-0.51247218742527312</v>
      </c>
      <c r="I80">
        <f t="shared" ca="1" si="19"/>
        <v>2.7695382994470821</v>
      </c>
      <c r="J80" s="60">
        <v>75</v>
      </c>
      <c r="O80" s="53">
        <v>42333</v>
      </c>
      <c r="P80">
        <v>748.15002400000003</v>
      </c>
      <c r="Q80" s="54">
        <f t="shared" si="11"/>
        <v>-1.7373843342274048E-4</v>
      </c>
      <c r="R80">
        <f t="shared" ca="1" si="16"/>
        <v>1.0192173192660551E-2</v>
      </c>
      <c r="S80">
        <f t="shared" ca="1" si="12"/>
        <v>5.5390845394387787E-2</v>
      </c>
      <c r="T80" s="56">
        <f t="shared" ca="1" si="13"/>
        <v>0.19065208597604361</v>
      </c>
    </row>
    <row r="81" spans="2:20" x14ac:dyDescent="0.25">
      <c r="B81" s="53">
        <v>40291</v>
      </c>
      <c r="C81">
        <v>271.47791310000002</v>
      </c>
      <c r="D81" s="54">
        <f t="shared" si="14"/>
        <v>-3.7838362712063708E-3</v>
      </c>
      <c r="E81" s="54">
        <f t="shared" ca="1" si="15"/>
        <v>-1.3402392553471051E-2</v>
      </c>
      <c r="F81" s="64">
        <f t="shared" ca="1" si="17"/>
        <v>9.6185562822646807E-3</v>
      </c>
      <c r="G81">
        <f t="shared" ca="1" si="10"/>
        <v>1.2561302580434539E-2</v>
      </c>
      <c r="H81">
        <f t="shared" ca="1" si="18"/>
        <v>-1.0192715608650433</v>
      </c>
      <c r="I81">
        <f t="shared" ca="1" si="19"/>
        <v>2.7135785691720167</v>
      </c>
      <c r="J81" s="57">
        <v>76</v>
      </c>
      <c r="O81" s="53">
        <v>42335</v>
      </c>
      <c r="P81">
        <v>750.26000999999997</v>
      </c>
      <c r="Q81" s="54">
        <f t="shared" si="11"/>
        <v>2.8202712454901092E-3</v>
      </c>
      <c r="R81">
        <f t="shared" ca="1" si="16"/>
        <v>-5.9392572202977521E-2</v>
      </c>
      <c r="S81">
        <f t="shared" ca="1" si="12"/>
        <v>4.3457296117291731E-2</v>
      </c>
      <c r="T81" s="56">
        <f t="shared" ca="1" si="13"/>
        <v>-1.2614246954644421</v>
      </c>
    </row>
    <row r="82" spans="2:20" x14ac:dyDescent="0.25">
      <c r="B82" s="53">
        <v>40294</v>
      </c>
      <c r="C82">
        <v>264.82781629999999</v>
      </c>
      <c r="D82" s="54">
        <f t="shared" si="14"/>
        <v>-2.4495903641157127E-2</v>
      </c>
      <c r="E82" s="54">
        <f t="shared" ca="1" si="15"/>
        <v>-6.1091853389054164E-3</v>
      </c>
      <c r="F82" s="64">
        <f t="shared" ca="1" si="17"/>
        <v>-1.838671830225171E-2</v>
      </c>
      <c r="G82">
        <f t="shared" ca="1" si="10"/>
        <v>1.7281727089754988E-2</v>
      </c>
      <c r="H82">
        <f t="shared" ca="1" si="18"/>
        <v>-1.4057645062442703E-2</v>
      </c>
      <c r="I82">
        <f t="shared" ca="1" si="19"/>
        <v>2.4739970970210887</v>
      </c>
      <c r="J82" s="60">
        <v>77</v>
      </c>
      <c r="O82" s="53">
        <v>42338</v>
      </c>
      <c r="P82">
        <v>742.59997599999997</v>
      </c>
      <c r="Q82" s="54">
        <f t="shared" si="11"/>
        <v>-1.0209839119640665E-2</v>
      </c>
      <c r="R82">
        <f t="shared" ca="1" si="16"/>
        <v>-0.63337313924156913</v>
      </c>
      <c r="S82">
        <f t="shared" ca="1" si="12"/>
        <v>0.28738966755120671</v>
      </c>
      <c r="T82" s="56">
        <f t="shared" ca="1" si="13"/>
        <v>-2.2036114374976599</v>
      </c>
    </row>
    <row r="83" spans="2:20" x14ac:dyDescent="0.25">
      <c r="B83" s="53">
        <v>40295</v>
      </c>
      <c r="C83">
        <v>263.54262699999998</v>
      </c>
      <c r="D83" s="54">
        <f t="shared" si="14"/>
        <v>-4.8529241299340546E-3</v>
      </c>
      <c r="E83" s="54">
        <f t="shared" ca="1" si="15"/>
        <v>-7.632086406254803E-3</v>
      </c>
      <c r="F83" s="64">
        <f t="shared" ca="1" si="17"/>
        <v>2.7791622763207484E-3</v>
      </c>
      <c r="G83">
        <f t="shared" ca="1" si="10"/>
        <v>4.07116592277461E-3</v>
      </c>
      <c r="H83">
        <f t="shared" ca="1" si="18"/>
        <v>-1.4571421837725935</v>
      </c>
      <c r="I83">
        <f t="shared" ca="1" si="19"/>
        <v>2.7720178464773175</v>
      </c>
      <c r="J83" s="57">
        <v>78</v>
      </c>
      <c r="O83" s="53">
        <v>42339</v>
      </c>
      <c r="P83">
        <v>767.03997800000002</v>
      </c>
      <c r="Q83" s="54">
        <f t="shared" si="11"/>
        <v>3.2911396161962779E-2</v>
      </c>
      <c r="R83">
        <f t="shared" ca="1" si="16"/>
        <v>-0.30651709480106415</v>
      </c>
      <c r="S83">
        <f t="shared" ca="1" si="12"/>
        <v>0.50206677337194394</v>
      </c>
      <c r="T83" s="56">
        <f t="shared" ca="1" si="13"/>
        <v>-0.61303311725805942</v>
      </c>
    </row>
    <row r="84" spans="2:20" x14ac:dyDescent="0.25">
      <c r="B84" s="53">
        <v>40296</v>
      </c>
      <c r="C84">
        <v>263.60738579999997</v>
      </c>
      <c r="D84" s="54">
        <f t="shared" si="14"/>
        <v>2.4572419550175005E-4</v>
      </c>
      <c r="E84" s="54">
        <f t="shared" ca="1" si="15"/>
        <v>1.4448604380009868E-2</v>
      </c>
      <c r="F84" s="64">
        <f t="shared" ca="1" si="17"/>
        <v>-1.4202880184508118E-2</v>
      </c>
      <c r="G84">
        <f t="shared" ca="1" si="10"/>
        <v>2.4360574557624023E-2</v>
      </c>
      <c r="H84">
        <f t="shared" ca="1" si="18"/>
        <v>1.0447327049364277</v>
      </c>
      <c r="I84">
        <f t="shared" ca="1" si="19"/>
        <v>2.5903061514413115</v>
      </c>
      <c r="J84" s="60">
        <v>79</v>
      </c>
      <c r="O84" s="53">
        <v>42340</v>
      </c>
      <c r="P84">
        <v>762.38000499999998</v>
      </c>
      <c r="Q84" s="54">
        <f t="shared" si="11"/>
        <v>-6.07526743540874E-3</v>
      </c>
      <c r="R84">
        <f t="shared" ca="1" si="16"/>
        <v>8.7536435961974093E-2</v>
      </c>
      <c r="S84">
        <f t="shared" ca="1" si="12"/>
        <v>0.13992050850557733</v>
      </c>
      <c r="T84" s="56">
        <f t="shared" ca="1" si="13"/>
        <v>0.65838319917085497</v>
      </c>
    </row>
    <row r="85" spans="2:20" x14ac:dyDescent="0.25">
      <c r="B85" s="53">
        <v>40297</v>
      </c>
      <c r="C85">
        <v>265.00713769999999</v>
      </c>
      <c r="D85" s="54">
        <f t="shared" si="14"/>
        <v>5.3099874108307804E-3</v>
      </c>
      <c r="E85" s="54">
        <f t="shared" ca="1" si="15"/>
        <v>-2.6714213164068554E-2</v>
      </c>
      <c r="F85" s="64">
        <f t="shared" ca="1" si="17"/>
        <v>3.2024200574899332E-2</v>
      </c>
      <c r="G85">
        <f t="shared" ca="1" si="10"/>
        <v>1.8327905424467859E-2</v>
      </c>
      <c r="H85">
        <f t="shared" ca="1" si="18"/>
        <v>-1.3386511664888952</v>
      </c>
      <c r="I85">
        <f t="shared" ca="1" si="19"/>
        <v>1.9927701902898427</v>
      </c>
      <c r="J85" s="57">
        <v>80</v>
      </c>
      <c r="O85" s="53">
        <v>42341</v>
      </c>
      <c r="P85">
        <v>752.53997800000002</v>
      </c>
      <c r="Q85" s="54">
        <f t="shared" si="11"/>
        <v>-1.2906984621140429E-2</v>
      </c>
      <c r="R85">
        <f t="shared" ca="1" si="16"/>
        <v>0.22009171570638952</v>
      </c>
      <c r="S85">
        <f t="shared" ca="1" si="12"/>
        <v>0.15001923828932945</v>
      </c>
      <c r="T85" s="56">
        <f t="shared" ca="1" si="13"/>
        <v>1.3685621628735616</v>
      </c>
    </row>
    <row r="86" spans="2:20" x14ac:dyDescent="0.25">
      <c r="B86" s="53">
        <v>40298</v>
      </c>
      <c r="C86">
        <v>261.86888759999999</v>
      </c>
      <c r="D86" s="54">
        <f t="shared" si="14"/>
        <v>-1.1842134243012857E-2</v>
      </c>
      <c r="E86" s="54">
        <f t="shared" ca="1" si="15"/>
        <v>-1.3355442554272649E-2</v>
      </c>
      <c r="F86" s="64">
        <f t="shared" ca="1" si="17"/>
        <v>1.5133083112597919E-3</v>
      </c>
      <c r="G86">
        <f t="shared" ca="1" si="10"/>
        <v>2.2753381735685679E-2</v>
      </c>
      <c r="H86">
        <f t="shared" ca="1" si="18"/>
        <v>-0.59181944371550754</v>
      </c>
      <c r="I86">
        <f t="shared" ca="1" si="19"/>
        <v>2.7745451059124395</v>
      </c>
      <c r="J86" s="60">
        <v>81</v>
      </c>
      <c r="O86" s="53">
        <v>42342</v>
      </c>
      <c r="P86">
        <v>766.80999799999995</v>
      </c>
      <c r="Q86" s="54">
        <f t="shared" si="11"/>
        <v>1.8962474309902951E-2</v>
      </c>
      <c r="R86">
        <f t="shared" ca="1" si="16"/>
        <v>-0.34011456669921453</v>
      </c>
      <c r="S86">
        <f t="shared" ca="1" si="12"/>
        <v>0.31180750838451471</v>
      </c>
      <c r="T86" s="56">
        <f t="shared" ca="1" si="13"/>
        <v>-1.0820323786684987</v>
      </c>
    </row>
    <row r="87" spans="2:20" x14ac:dyDescent="0.25">
      <c r="B87" s="53">
        <v>40301</v>
      </c>
      <c r="C87">
        <v>264.3097487</v>
      </c>
      <c r="D87" s="54">
        <f t="shared" si="14"/>
        <v>9.3209282033090458E-3</v>
      </c>
      <c r="E87" s="54">
        <f t="shared" ca="1" si="15"/>
        <v>1.1246382915219875E-2</v>
      </c>
      <c r="F87" s="64">
        <f t="shared" ca="1" si="17"/>
        <v>-1.925454711910829E-3</v>
      </c>
      <c r="G87">
        <f t="shared" ca="1" si="10"/>
        <v>1.1201447450349613E-2</v>
      </c>
      <c r="H87">
        <f t="shared" ca="1" si="18"/>
        <v>0.79112680204332242</v>
      </c>
      <c r="I87">
        <f t="shared" ca="1" si="19"/>
        <v>2.7683406987337866</v>
      </c>
      <c r="J87" s="57">
        <v>82</v>
      </c>
      <c r="O87" s="53">
        <v>42345</v>
      </c>
      <c r="P87">
        <v>763.25</v>
      </c>
      <c r="Q87" s="54">
        <f t="shared" si="11"/>
        <v>-4.6426076984978889E-3</v>
      </c>
      <c r="R87">
        <f t="shared" ca="1" si="16"/>
        <v>0.3273028165582057</v>
      </c>
      <c r="S87">
        <f t="shared" ca="1" si="12"/>
        <v>0.24657351232768651</v>
      </c>
      <c r="T87" s="56">
        <f t="shared" ca="1" si="13"/>
        <v>1.3509126423346007</v>
      </c>
    </row>
    <row r="88" spans="2:20" x14ac:dyDescent="0.25">
      <c r="B88" s="53">
        <v>40302</v>
      </c>
      <c r="C88">
        <v>252.2399801</v>
      </c>
      <c r="D88" s="54">
        <f t="shared" si="14"/>
        <v>-4.5665241858708648E-2</v>
      </c>
      <c r="E88" s="54">
        <f t="shared" ca="1" si="15"/>
        <v>8.9775779990453886E-3</v>
      </c>
      <c r="F88" s="64">
        <f t="shared" ca="1" si="17"/>
        <v>-5.4642819857754037E-2</v>
      </c>
      <c r="G88">
        <f t="shared" ca="1" si="10"/>
        <v>1.3487261458405736E-2</v>
      </c>
      <c r="H88">
        <f t="shared" ca="1" si="18"/>
        <v>1.0599599539556039</v>
      </c>
      <c r="I88">
        <f t="shared" ca="1" si="19"/>
        <v>0.28159015972123497</v>
      </c>
      <c r="J88" s="60">
        <v>83</v>
      </c>
      <c r="O88" s="53">
        <v>42346</v>
      </c>
      <c r="P88">
        <v>762.36999500000002</v>
      </c>
      <c r="Q88" s="54">
        <f t="shared" si="11"/>
        <v>-1.1529708483458668E-3</v>
      </c>
      <c r="R88">
        <f t="shared" ca="1" si="16"/>
        <v>-0.47049875785060341</v>
      </c>
      <c r="S88">
        <f t="shared" ca="1" si="12"/>
        <v>0.30780394927935434</v>
      </c>
      <c r="T88" s="56">
        <f t="shared" ca="1" si="13"/>
        <v>-1.5562344341720089</v>
      </c>
    </row>
    <row r="89" spans="2:20" x14ac:dyDescent="0.25">
      <c r="B89" s="53">
        <v>40303</v>
      </c>
      <c r="C89">
        <v>253.92864259999999</v>
      </c>
      <c r="D89" s="54">
        <f t="shared" si="14"/>
        <v>6.6946663226445146E-3</v>
      </c>
      <c r="E89" s="54">
        <f t="shared" ca="1" si="15"/>
        <v>1.1207244670800977E-2</v>
      </c>
      <c r="F89" s="64">
        <f t="shared" ca="1" si="17"/>
        <v>-4.5125783481564626E-3</v>
      </c>
      <c r="G89">
        <f t="shared" ca="1" si="10"/>
        <v>1.7985563974840416E-2</v>
      </c>
      <c r="H89">
        <f t="shared" ca="1" si="18"/>
        <v>0.3904140071516794</v>
      </c>
      <c r="I89">
        <f t="shared" ca="1" si="19"/>
        <v>2.7510783303939403</v>
      </c>
      <c r="J89" s="57">
        <v>84</v>
      </c>
      <c r="O89" s="53">
        <v>42347</v>
      </c>
      <c r="P89">
        <v>751.60998500000005</v>
      </c>
      <c r="Q89" s="54">
        <f t="shared" si="11"/>
        <v>-1.4113894920536538E-2</v>
      </c>
      <c r="R89">
        <f t="shared" ca="1" si="16"/>
        <v>-0.3646553477249731</v>
      </c>
      <c r="S89">
        <f t="shared" ca="1" si="12"/>
        <v>0.3545913461875797</v>
      </c>
      <c r="T89" s="56">
        <f t="shared" ca="1" si="13"/>
        <v>-1.0225016590284981</v>
      </c>
    </row>
    <row r="90" spans="2:20" x14ac:dyDescent="0.25">
      <c r="B90" s="53">
        <v>40304</v>
      </c>
      <c r="C90">
        <v>248.40434149999999</v>
      </c>
      <c r="D90" s="54">
        <f t="shared" si="14"/>
        <v>-2.1755328754708991E-2</v>
      </c>
      <c r="E90" s="54">
        <f t="shared" ca="1" si="15"/>
        <v>-1.3280387188664457E-2</v>
      </c>
      <c r="F90" s="64">
        <f t="shared" ca="1" si="17"/>
        <v>-8.4749415660445339E-3</v>
      </c>
      <c r="G90">
        <f t="shared" ca="1" si="10"/>
        <v>7.7636439662082894E-3</v>
      </c>
      <c r="H90">
        <f t="shared" ca="1" si="18"/>
        <v>0.93109269181455234</v>
      </c>
      <c r="I90">
        <f t="shared" ca="1" si="19"/>
        <v>2.7036742718313191</v>
      </c>
      <c r="J90" s="60">
        <v>85</v>
      </c>
      <c r="O90" s="53">
        <v>42348</v>
      </c>
      <c r="P90">
        <v>749.46002199999998</v>
      </c>
      <c r="Q90" s="54">
        <f t="shared" si="11"/>
        <v>-2.8604769001306847E-3</v>
      </c>
      <c r="R90">
        <f t="shared" ca="1" si="16"/>
        <v>9.0756860777363835E-2</v>
      </c>
      <c r="S90">
        <f t="shared" ca="1" si="12"/>
        <v>0.23303115117957021</v>
      </c>
      <c r="T90" s="56">
        <f t="shared" ca="1" si="13"/>
        <v>0.39168551434826482</v>
      </c>
    </row>
    <row r="91" spans="2:20" x14ac:dyDescent="0.25">
      <c r="B91" s="53">
        <v>40305</v>
      </c>
      <c r="C91">
        <v>245.64966720000001</v>
      </c>
      <c r="D91" s="54">
        <f t="shared" si="14"/>
        <v>-1.1089477274695607E-2</v>
      </c>
      <c r="E91" s="54">
        <f t="shared" ca="1" si="15"/>
        <v>2.9259559187903416E-4</v>
      </c>
      <c r="F91" s="64">
        <f t="shared" ca="1" si="17"/>
        <v>-1.1382072866574642E-2</v>
      </c>
      <c r="G91">
        <f t="shared" ca="1" si="10"/>
        <v>1.5674223948136036E-2</v>
      </c>
      <c r="H91">
        <f t="shared" ca="1" si="18"/>
        <v>-0.17313381677266493</v>
      </c>
      <c r="I91">
        <f t="shared" ca="1" si="19"/>
        <v>2.6527608861764072</v>
      </c>
      <c r="J91" s="57">
        <v>86</v>
      </c>
      <c r="O91" s="53">
        <v>42349</v>
      </c>
      <c r="P91">
        <v>738.86999500000002</v>
      </c>
      <c r="Q91" s="54">
        <f t="shared" si="11"/>
        <v>-1.4130209336235901E-2</v>
      </c>
      <c r="R91">
        <f t="shared" ca="1" si="16"/>
        <v>3.5529398224966945E-2</v>
      </c>
      <c r="S91">
        <f t="shared" ca="1" si="12"/>
        <v>8.9327079245178617E-2</v>
      </c>
      <c r="T91" s="56">
        <f t="shared" ca="1" si="13"/>
        <v>0.46870759418141084</v>
      </c>
    </row>
    <row r="92" spans="2:20" x14ac:dyDescent="0.25">
      <c r="B92" s="53">
        <v>40308</v>
      </c>
      <c r="C92">
        <v>259.85145890000001</v>
      </c>
      <c r="D92" s="54">
        <f t="shared" si="14"/>
        <v>5.7813193324774026E-2</v>
      </c>
      <c r="E92" s="54">
        <f t="shared" ca="1" si="15"/>
        <v>-8.7647096402834173E-3</v>
      </c>
      <c r="F92" s="64">
        <f t="shared" ca="1" si="17"/>
        <v>6.6577902965057445E-2</v>
      </c>
      <c r="G92">
        <f t="shared" ca="1" si="10"/>
        <v>4.7032910620031796E-3</v>
      </c>
      <c r="H92">
        <f t="shared" ca="1" si="18"/>
        <v>0.21394281674572993</v>
      </c>
      <c r="I92">
        <f t="shared" ca="1" si="19"/>
        <v>-0.70887521241782858</v>
      </c>
      <c r="J92" s="60">
        <v>87</v>
      </c>
      <c r="O92" s="53">
        <v>42352</v>
      </c>
      <c r="P92">
        <v>747.77002000000005</v>
      </c>
      <c r="Q92" s="54">
        <f t="shared" si="11"/>
        <v>1.2045454626967262E-2</v>
      </c>
      <c r="R92">
        <f t="shared" ca="1" si="16"/>
        <v>-4.4218661929005275E-2</v>
      </c>
      <c r="S92">
        <f t="shared" ca="1" si="12"/>
        <v>0.10679955757944579</v>
      </c>
      <c r="T92" s="56">
        <f t="shared" ca="1" si="13"/>
        <v>-0.40200279779149495</v>
      </c>
    </row>
    <row r="93" spans="2:20" x14ac:dyDescent="0.25">
      <c r="B93" s="53">
        <v>40309</v>
      </c>
      <c r="C93">
        <v>253.57497369999999</v>
      </c>
      <c r="D93" s="54">
        <f t="shared" si="14"/>
        <v>-2.4154127233187623E-2</v>
      </c>
      <c r="E93" s="54">
        <f t="shared" ca="1" si="15"/>
        <v>-7.6092449845990701E-3</v>
      </c>
      <c r="F93" s="64">
        <f t="shared" ca="1" si="17"/>
        <v>-1.6544882248588553E-2</v>
      </c>
      <c r="G93">
        <f t="shared" ca="1" si="10"/>
        <v>3.8623759676777486E-3</v>
      </c>
      <c r="H93">
        <f t="shared" ca="1" si="18"/>
        <v>-0.68085939338017698</v>
      </c>
      <c r="I93">
        <f t="shared" ca="1" si="19"/>
        <v>2.5286842505185936</v>
      </c>
      <c r="J93" s="57">
        <v>88</v>
      </c>
      <c r="O93" s="53">
        <v>42353</v>
      </c>
      <c r="P93">
        <v>743.40002400000003</v>
      </c>
      <c r="Q93" s="54">
        <f t="shared" si="11"/>
        <v>-5.8440374488402391E-3</v>
      </c>
      <c r="R93">
        <f t="shared" ca="1" si="16"/>
        <v>-5.2064435430039649E-2</v>
      </c>
      <c r="S93">
        <f t="shared" ca="1" si="12"/>
        <v>9.1610112061980192E-2</v>
      </c>
      <c r="T93" s="56">
        <f t="shared" ca="1" si="13"/>
        <v>-0.49905498386415081</v>
      </c>
    </row>
    <row r="94" spans="2:20" x14ac:dyDescent="0.25">
      <c r="B94" s="53">
        <v>40310</v>
      </c>
      <c r="C94">
        <v>251.7518049</v>
      </c>
      <c r="D94" s="54">
        <f t="shared" si="14"/>
        <v>-7.1898609448618105E-3</v>
      </c>
      <c r="E94" s="54">
        <f t="shared" ca="1" si="15"/>
        <v>1.8378787964057355E-2</v>
      </c>
      <c r="F94" s="64">
        <f t="shared" ca="1" si="17"/>
        <v>-2.5568648908919165E-2</v>
      </c>
      <c r="G94">
        <f t="shared" ca="1" si="10"/>
        <v>1.1443176018280697E-2</v>
      </c>
      <c r="H94">
        <f t="shared" ca="1" si="18"/>
        <v>-0.66291550452225678</v>
      </c>
      <c r="I94">
        <f t="shared" ca="1" si="19"/>
        <v>2.2083969187440013</v>
      </c>
      <c r="J94" s="60">
        <v>89</v>
      </c>
      <c r="O94" s="53">
        <v>42354</v>
      </c>
      <c r="P94">
        <v>758.09002699999996</v>
      </c>
      <c r="Q94" s="54">
        <f t="shared" si="11"/>
        <v>1.976056298862849E-2</v>
      </c>
      <c r="R94">
        <f t="shared" ca="1" si="16"/>
        <v>-0.16228855845595991</v>
      </c>
      <c r="S94">
        <f t="shared" ca="1" si="12"/>
        <v>0.11371310498298157</v>
      </c>
      <c r="T94" s="56">
        <f t="shared" ca="1" si="13"/>
        <v>-1.4747492181483381</v>
      </c>
    </row>
    <row r="95" spans="2:20" x14ac:dyDescent="0.25">
      <c r="B95" s="53">
        <v>40311</v>
      </c>
      <c r="C95">
        <v>254.48656639999999</v>
      </c>
      <c r="D95" s="54">
        <f t="shared" si="14"/>
        <v>1.0862927084420639E-2</v>
      </c>
      <c r="E95" s="54">
        <f t="shared" ca="1" si="15"/>
        <v>5.3011161220648563E-3</v>
      </c>
      <c r="F95" s="64">
        <f t="shared" ca="1" si="17"/>
        <v>5.5618109623557822E-3</v>
      </c>
      <c r="G95">
        <f t="shared" ca="1" si="10"/>
        <v>1.1412746898787364E-2</v>
      </c>
      <c r="H95">
        <f t="shared" ca="1" si="18"/>
        <v>1.4150267661375668</v>
      </c>
      <c r="I95">
        <f t="shared" ca="1" si="19"/>
        <v>2.7573611659563717</v>
      </c>
      <c r="J95" s="57">
        <v>90</v>
      </c>
      <c r="O95" s="53">
        <v>42355</v>
      </c>
      <c r="P95">
        <v>749.42999299999997</v>
      </c>
      <c r="Q95" s="54">
        <f t="shared" si="11"/>
        <v>-1.1423490207713808E-2</v>
      </c>
      <c r="R95">
        <f t="shared" ca="1" si="16"/>
        <v>-0.10671702357727902</v>
      </c>
      <c r="S95">
        <f t="shared" ca="1" si="12"/>
        <v>0.33599500716732017</v>
      </c>
      <c r="T95" s="56">
        <f t="shared" ca="1" si="13"/>
        <v>-0.30980427576317549</v>
      </c>
    </row>
    <row r="96" spans="2:20" x14ac:dyDescent="0.25">
      <c r="B96" s="53">
        <v>40312</v>
      </c>
      <c r="C96">
        <v>252.8178163</v>
      </c>
      <c r="D96" s="54">
        <f t="shared" si="14"/>
        <v>-6.5573209761377125E-3</v>
      </c>
      <c r="E96" s="54">
        <f t="shared" ca="1" si="15"/>
        <v>-5.4631987873640566E-3</v>
      </c>
      <c r="F96" s="64">
        <f t="shared" ca="1" si="17"/>
        <v>-1.0941221887736559E-3</v>
      </c>
      <c r="G96">
        <f t="shared" ca="1" si="10"/>
        <v>2.3783119062109913E-2</v>
      </c>
      <c r="H96">
        <f t="shared" ca="1" si="18"/>
        <v>-9.3943752114892143E-2</v>
      </c>
      <c r="I96">
        <f t="shared" ca="1" si="19"/>
        <v>2.7715918181007209</v>
      </c>
      <c r="J96" s="60">
        <v>91</v>
      </c>
      <c r="O96" s="53">
        <v>42356</v>
      </c>
      <c r="P96">
        <v>739.30999799999995</v>
      </c>
      <c r="Q96" s="54">
        <f t="shared" si="11"/>
        <v>-1.3503589520735952E-2</v>
      </c>
      <c r="R96">
        <f t="shared" ca="1" si="16"/>
        <v>-4.3434131512099163E-2</v>
      </c>
      <c r="S96">
        <f t="shared" ca="1" si="12"/>
        <v>7.0811516590234991E-2</v>
      </c>
      <c r="T96" s="56">
        <f t="shared" ca="1" si="13"/>
        <v>-0.73870468780861243</v>
      </c>
    </row>
    <row r="97" spans="2:20" x14ac:dyDescent="0.25">
      <c r="B97" s="53">
        <v>40315</v>
      </c>
      <c r="C97">
        <v>253.03699370000001</v>
      </c>
      <c r="D97" s="54">
        <f t="shared" si="14"/>
        <v>8.6693811064298245E-4</v>
      </c>
      <c r="E97" s="54">
        <f t="shared" ca="1" si="15"/>
        <v>8.2926415512691726E-3</v>
      </c>
      <c r="F97" s="64">
        <f t="shared" ca="1" si="17"/>
        <v>-7.4257034406261906E-3</v>
      </c>
      <c r="G97">
        <f t="shared" ca="1" si="10"/>
        <v>5.7302511285355308E-3</v>
      </c>
      <c r="H97">
        <f t="shared" ca="1" si="18"/>
        <v>0.59578478492574893</v>
      </c>
      <c r="I97">
        <f t="shared" ca="1" si="19"/>
        <v>2.7186962377309083</v>
      </c>
      <c r="J97" s="57">
        <v>92</v>
      </c>
      <c r="O97" s="53">
        <v>42359</v>
      </c>
      <c r="P97">
        <v>747.77002000000005</v>
      </c>
      <c r="Q97" s="54">
        <f t="shared" si="11"/>
        <v>1.1443132140626205E-2</v>
      </c>
      <c r="R97">
        <f t="shared" ca="1" si="16"/>
        <v>1.6916139033366057E-2</v>
      </c>
      <c r="S97">
        <f t="shared" ca="1" si="12"/>
        <v>0.16830426718674962</v>
      </c>
      <c r="T97" s="56">
        <f t="shared" ca="1" si="13"/>
        <v>0.1309942425227219</v>
      </c>
    </row>
    <row r="98" spans="2:20" x14ac:dyDescent="0.25">
      <c r="B98" s="53">
        <v>40316</v>
      </c>
      <c r="C98">
        <v>248.25491160000001</v>
      </c>
      <c r="D98" s="54">
        <f t="shared" si="14"/>
        <v>-1.8898746898920325E-2</v>
      </c>
      <c r="E98" s="54">
        <f t="shared" ca="1" si="15"/>
        <v>5.17859464263218E-4</v>
      </c>
      <c r="F98" s="64">
        <f t="shared" ca="1" si="17"/>
        <v>-1.9416606363183542E-2</v>
      </c>
      <c r="G98">
        <f t="shared" ca="1" si="10"/>
        <v>1.0080506065934422E-2</v>
      </c>
      <c r="H98">
        <f t="shared" ca="1" si="18"/>
        <v>0.34352131571500888</v>
      </c>
      <c r="I98">
        <f t="shared" ca="1" si="19"/>
        <v>2.4410286865174409</v>
      </c>
      <c r="J98" s="60">
        <v>93</v>
      </c>
      <c r="O98" s="53">
        <v>42360</v>
      </c>
      <c r="P98">
        <v>750</v>
      </c>
      <c r="Q98" s="54">
        <f t="shared" si="11"/>
        <v>2.9821735832628793E-3</v>
      </c>
      <c r="R98">
        <f t="shared" ca="1" si="16"/>
        <v>-6.9473073913323066E-2</v>
      </c>
      <c r="S98">
        <f t="shared" ca="1" si="12"/>
        <v>2.9992958427552976E-2</v>
      </c>
      <c r="T98" s="56">
        <f t="shared" ca="1" si="13"/>
        <v>-2.1141141765839695</v>
      </c>
    </row>
    <row r="99" spans="2:20" x14ac:dyDescent="0.25">
      <c r="B99" s="53">
        <v>40317</v>
      </c>
      <c r="C99">
        <v>246.29226209999999</v>
      </c>
      <c r="D99" s="54">
        <f t="shared" si="14"/>
        <v>-7.9057831619554798E-3</v>
      </c>
      <c r="E99" s="54">
        <f t="shared" ca="1" si="15"/>
        <v>4.0245631925921212E-3</v>
      </c>
      <c r="F99" s="64">
        <f t="shared" ca="1" si="17"/>
        <v>-1.1930346354547601E-2</v>
      </c>
      <c r="G99">
        <f t="shared" ca="1" si="10"/>
        <v>6.258562303513536E-3</v>
      </c>
      <c r="H99">
        <f t="shared" ca="1" si="18"/>
        <v>0.580888938782257</v>
      </c>
      <c r="I99">
        <f t="shared" ca="1" si="19"/>
        <v>2.6416282983653758</v>
      </c>
      <c r="J99" s="57">
        <v>94</v>
      </c>
      <c r="O99" s="53">
        <v>42361</v>
      </c>
      <c r="P99">
        <v>750.30999799999995</v>
      </c>
      <c r="Q99" s="54">
        <f t="shared" si="11"/>
        <v>4.1333066666660061E-4</v>
      </c>
      <c r="R99">
        <f t="shared" ca="1" si="16"/>
        <v>-0.12873713695835309</v>
      </c>
      <c r="S99">
        <f t="shared" ca="1" si="12"/>
        <v>0.48165424027994008</v>
      </c>
      <c r="T99" s="56">
        <f t="shared" ca="1" si="13"/>
        <v>-0.27795151996496281</v>
      </c>
    </row>
    <row r="100" spans="2:20" x14ac:dyDescent="0.25">
      <c r="B100" s="53">
        <v>40318</v>
      </c>
      <c r="C100">
        <v>236.61850870000001</v>
      </c>
      <c r="D100" s="54">
        <f t="shared" si="14"/>
        <v>-3.9277536847959225E-2</v>
      </c>
      <c r="E100" s="54">
        <f t="shared" ca="1" si="15"/>
        <v>-6.0808469496731049E-3</v>
      </c>
      <c r="F100" s="64">
        <f t="shared" ca="1" si="17"/>
        <v>-3.3196689898286121E-2</v>
      </c>
      <c r="G100">
        <f t="shared" ca="1" si="10"/>
        <v>9.8520064577105101E-3</v>
      </c>
      <c r="H100">
        <f t="shared" ca="1" si="18"/>
        <v>0.24432536138265956</v>
      </c>
      <c r="I100">
        <f t="shared" ca="1" si="19"/>
        <v>1.835032333381412</v>
      </c>
      <c r="J100" s="60">
        <v>95</v>
      </c>
      <c r="O100" s="53">
        <v>42362</v>
      </c>
      <c r="P100">
        <v>748.40002400000003</v>
      </c>
      <c r="Q100" s="54">
        <f t="shared" si="11"/>
        <v>-2.5455798337901399E-3</v>
      </c>
      <c r="R100">
        <f t="shared" ca="1" si="16"/>
        <v>-0.12597080223248183</v>
      </c>
      <c r="S100">
        <f t="shared" ca="1" si="12"/>
        <v>6.3841214335237706E-2</v>
      </c>
      <c r="T100" s="56">
        <f t="shared" ca="1" si="13"/>
        <v>-1.994168885501606</v>
      </c>
    </row>
    <row r="101" spans="2:20" x14ac:dyDescent="0.25">
      <c r="B101" s="53">
        <v>40319</v>
      </c>
      <c r="C101">
        <v>235.14403390000001</v>
      </c>
      <c r="D101" s="54">
        <f t="shared" si="14"/>
        <v>-6.2314432125401857E-3</v>
      </c>
      <c r="E101" s="54">
        <f t="shared" ca="1" si="15"/>
        <v>-2.1882131115532723E-3</v>
      </c>
      <c r="F101" s="64">
        <f t="shared" ca="1" si="17"/>
        <v>-4.0432301009869134E-3</v>
      </c>
      <c r="G101">
        <f t="shared" ca="1" si="10"/>
        <v>4.7630825109044239E-3</v>
      </c>
      <c r="H101">
        <f t="shared" ca="1" si="18"/>
        <v>0.28618217967728588</v>
      </c>
      <c r="I101">
        <f t="shared" ca="1" si="19"/>
        <v>2.7550130243645587</v>
      </c>
      <c r="J101" s="57">
        <v>96</v>
      </c>
      <c r="O101" s="53">
        <v>42366</v>
      </c>
      <c r="P101">
        <v>762.51000999999997</v>
      </c>
      <c r="Q101" s="54">
        <f t="shared" si="11"/>
        <v>1.8853534937887623E-2</v>
      </c>
      <c r="R101">
        <f t="shared" ca="1" si="16"/>
        <v>0.20885403996132415</v>
      </c>
      <c r="S101">
        <f t="shared" ca="1" si="12"/>
        <v>0.45432848153604105</v>
      </c>
      <c r="T101" s="56">
        <f t="shared" ca="1" si="13"/>
        <v>0.4592898249395978</v>
      </c>
    </row>
    <row r="102" spans="2:20" x14ac:dyDescent="0.25">
      <c r="B102" s="53">
        <v>40322</v>
      </c>
      <c r="C102">
        <v>237.6894944</v>
      </c>
      <c r="D102" s="54">
        <f t="shared" si="14"/>
        <v>1.0825111986819539E-2</v>
      </c>
      <c r="E102" s="54">
        <f t="shared" ca="1" si="15"/>
        <v>-2.5832717898945957E-2</v>
      </c>
      <c r="F102" s="64">
        <f t="shared" ca="1" si="17"/>
        <v>3.6657829885765499E-2</v>
      </c>
      <c r="G102">
        <f t="shared" ca="1" si="10"/>
        <v>5.0013102735426427E-3</v>
      </c>
      <c r="H102">
        <f t="shared" ca="1" si="18"/>
        <v>-1.6380271563650524</v>
      </c>
      <c r="I102">
        <f t="shared" ca="1" si="19"/>
        <v>1.7424838425332776</v>
      </c>
      <c r="J102" s="60">
        <v>97</v>
      </c>
      <c r="O102" s="53">
        <v>42367</v>
      </c>
      <c r="P102">
        <v>776.59997599999997</v>
      </c>
      <c r="Q102" s="54">
        <f t="shared" si="11"/>
        <v>1.847840135239668E-2</v>
      </c>
      <c r="R102">
        <f t="shared" ca="1" si="16"/>
        <v>-3.3590442718408019E-2</v>
      </c>
      <c r="S102">
        <f t="shared" ca="1" si="12"/>
        <v>0.10491804648301993</v>
      </c>
      <c r="T102" s="56">
        <f t="shared" ca="1" si="13"/>
        <v>-0.30926516296078777</v>
      </c>
    </row>
    <row r="103" spans="2:20" x14ac:dyDescent="0.25">
      <c r="B103" s="53">
        <v>40323</v>
      </c>
      <c r="C103">
        <v>237.64466400000001</v>
      </c>
      <c r="D103" s="54">
        <f t="shared" si="14"/>
        <v>-1.8860909319177318E-4</v>
      </c>
      <c r="E103" s="54">
        <f t="shared" ca="1" si="15"/>
        <v>2.5690959045337181E-2</v>
      </c>
      <c r="F103" s="64">
        <f t="shared" ca="1" si="17"/>
        <v>-2.5879568138528954E-2</v>
      </c>
      <c r="G103">
        <f t="shared" ca="1" si="10"/>
        <v>2.7383575738587844E-2</v>
      </c>
      <c r="H103">
        <f t="shared" ca="1" si="18"/>
        <v>1.0403841600352217</v>
      </c>
      <c r="I103">
        <f t="shared" ca="1" si="19"/>
        <v>2.1950165070181002</v>
      </c>
      <c r="J103" s="57">
        <v>98</v>
      </c>
      <c r="O103" s="53">
        <v>42368</v>
      </c>
      <c r="P103">
        <v>771</v>
      </c>
      <c r="Q103" s="54">
        <f t="shared" si="11"/>
        <v>-7.2108887111270907E-3</v>
      </c>
      <c r="R103">
        <f t="shared" ca="1" si="16"/>
        <v>6.3640295840604516E-2</v>
      </c>
      <c r="S103">
        <f t="shared" ca="1" si="12"/>
        <v>7.0488024289296944E-2</v>
      </c>
      <c r="T103" s="56">
        <f t="shared" ca="1" si="13"/>
        <v>0.78272128923137774</v>
      </c>
    </row>
    <row r="104" spans="2:20" x14ac:dyDescent="0.25">
      <c r="B104" s="53">
        <v>40324</v>
      </c>
      <c r="C104">
        <v>236.84765039999999</v>
      </c>
      <c r="D104" s="54">
        <f t="shared" si="14"/>
        <v>-3.3538038960555573E-3</v>
      </c>
      <c r="E104" s="54">
        <f t="shared" ca="1" si="15"/>
        <v>5.6929714318992505E-4</v>
      </c>
      <c r="F104" s="64">
        <f t="shared" ca="1" si="17"/>
        <v>-3.9231010392454819E-3</v>
      </c>
      <c r="G104">
        <f t="shared" ca="1" si="10"/>
        <v>1.8479855752400246E-2</v>
      </c>
      <c r="H104">
        <f t="shared" ca="1" si="18"/>
        <v>-0.23227855599780764</v>
      </c>
      <c r="I104">
        <f t="shared" ca="1" si="19"/>
        <v>2.7559628957482034</v>
      </c>
      <c r="J104" s="60">
        <v>99</v>
      </c>
      <c r="O104" s="53">
        <v>42369</v>
      </c>
      <c r="P104">
        <v>758.88000499999998</v>
      </c>
      <c r="Q104" s="54">
        <f t="shared" si="11"/>
        <v>-1.571983787289237E-2</v>
      </c>
      <c r="R104">
        <f t="shared" ca="1" si="16"/>
        <v>-0.1570364754154184</v>
      </c>
      <c r="S104">
        <f t="shared" ca="1" si="12"/>
        <v>0.17833201156437686</v>
      </c>
      <c r="T104" s="56">
        <f t="shared" ca="1" si="13"/>
        <v>-0.92712110313955787</v>
      </c>
    </row>
    <row r="105" spans="2:20" x14ac:dyDescent="0.25">
      <c r="B105" s="53">
        <v>40325</v>
      </c>
      <c r="C105">
        <v>244.31467359999999</v>
      </c>
      <c r="D105" s="54">
        <f t="shared" si="14"/>
        <v>3.1526693160727252E-2</v>
      </c>
      <c r="E105" s="54">
        <f t="shared" ca="1" si="15"/>
        <v>6.7169513635233647E-3</v>
      </c>
      <c r="F105" s="64">
        <f t="shared" ca="1" si="17"/>
        <v>2.4809741797203889E-2</v>
      </c>
      <c r="G105">
        <f t="shared" ca="1" si="10"/>
        <v>5.8116427258382312E-3</v>
      </c>
      <c r="H105">
        <f t="shared" ca="1" si="18"/>
        <v>1.170360533737353</v>
      </c>
      <c r="I105">
        <f t="shared" ca="1" si="19"/>
        <v>2.3134053717541359</v>
      </c>
      <c r="J105" s="57">
        <v>100</v>
      </c>
      <c r="O105" s="53">
        <v>42373</v>
      </c>
      <c r="P105">
        <v>741.84002699999996</v>
      </c>
      <c r="Q105" s="54">
        <f t="shared" si="11"/>
        <v>-2.2454113809468493E-2</v>
      </c>
      <c r="R105">
        <f t="shared" ca="1" si="16"/>
        <v>6.0166705365983821E-2</v>
      </c>
      <c r="S105">
        <f t="shared" ca="1" si="12"/>
        <v>0.21124687841335665</v>
      </c>
      <c r="T105" s="56">
        <f t="shared" ca="1" si="13"/>
        <v>0.30014895979647971</v>
      </c>
    </row>
    <row r="106" spans="2:20" x14ac:dyDescent="0.25">
      <c r="B106" s="53">
        <v>40326</v>
      </c>
      <c r="C106">
        <v>241.90867890000001</v>
      </c>
      <c r="D106" s="54">
        <f t="shared" si="14"/>
        <v>-9.8479336690973918E-3</v>
      </c>
      <c r="E106" s="54">
        <f t="shared" ca="1" si="15"/>
        <v>1.4426465943050868E-3</v>
      </c>
      <c r="F106" s="64">
        <f t="shared" ca="1" si="17"/>
        <v>-1.1290580263402478E-2</v>
      </c>
      <c r="G106">
        <f t="shared" ca="1" si="10"/>
        <v>1.9605948315034021E-2</v>
      </c>
      <c r="H106">
        <f t="shared" ca="1" si="18"/>
        <v>0.15038108504041411</v>
      </c>
      <c r="I106">
        <f t="shared" ca="1" si="19"/>
        <v>2.6545713378696383</v>
      </c>
      <c r="J106" s="60">
        <v>101</v>
      </c>
      <c r="O106" s="53">
        <v>42374</v>
      </c>
      <c r="P106">
        <v>742.580017</v>
      </c>
      <c r="Q106" s="54">
        <f t="shared" si="11"/>
        <v>9.9750616449283927E-4</v>
      </c>
      <c r="R106">
        <f t="shared" ca="1" si="16"/>
        <v>3.9977015255459727E-2</v>
      </c>
      <c r="S106">
        <f t="shared" ca="1" si="12"/>
        <v>6.8480403630842207E-2</v>
      </c>
      <c r="T106" s="56">
        <f t="shared" ca="1" si="13"/>
        <v>0.68687527753330657</v>
      </c>
    </row>
    <row r="107" spans="2:20" x14ac:dyDescent="0.25">
      <c r="B107" s="53">
        <v>40330</v>
      </c>
      <c r="C107">
        <v>240.28477470000001</v>
      </c>
      <c r="D107" s="54">
        <f t="shared" si="14"/>
        <v>-6.712881106143721E-3</v>
      </c>
      <c r="E107" s="54">
        <f t="shared" ca="1" si="15"/>
        <v>1.2459388900739679E-2</v>
      </c>
      <c r="F107" s="64">
        <f t="shared" ca="1" si="17"/>
        <v>-1.9172270006883402E-2</v>
      </c>
      <c r="G107">
        <f t="shared" ca="1" si="10"/>
        <v>5.2220714452414089E-3</v>
      </c>
      <c r="H107">
        <f t="shared" ca="1" si="18"/>
        <v>-0.3254859168855368</v>
      </c>
      <c r="I107">
        <f t="shared" ca="1" si="19"/>
        <v>2.4490053576434367</v>
      </c>
      <c r="J107" s="57">
        <v>102</v>
      </c>
      <c r="O107" s="53">
        <v>42375</v>
      </c>
      <c r="P107">
        <v>743.61999500000002</v>
      </c>
      <c r="Q107" s="54">
        <f t="shared" si="11"/>
        <v>1.4004928441267485E-3</v>
      </c>
      <c r="R107">
        <f t="shared" ca="1" si="16"/>
        <v>-0.14228873732035077</v>
      </c>
      <c r="S107">
        <f t="shared" ca="1" si="12"/>
        <v>0.15649636478995535</v>
      </c>
      <c r="T107" s="56">
        <f t="shared" ca="1" si="13"/>
        <v>-0.84477465311613398</v>
      </c>
    </row>
    <row r="108" spans="2:20" x14ac:dyDescent="0.25">
      <c r="B108" s="53">
        <v>40331</v>
      </c>
      <c r="C108">
        <v>245.7642458</v>
      </c>
      <c r="D108" s="54">
        <f t="shared" si="14"/>
        <v>2.2804071156157124E-2</v>
      </c>
      <c r="E108" s="54">
        <f t="shared" ca="1" si="15"/>
        <v>-2.4606606905071609E-3</v>
      </c>
      <c r="F108" s="64">
        <f t="shared" ca="1" si="17"/>
        <v>2.5264731846664286E-2</v>
      </c>
      <c r="G108">
        <f t="shared" ca="1" si="10"/>
        <v>5.6523429538058714E-3</v>
      </c>
      <c r="H108">
        <f t="shared" ca="1" si="18"/>
        <v>0.34717625253685391</v>
      </c>
      <c r="I108">
        <f t="shared" ca="1" si="19"/>
        <v>2.2956686719654456</v>
      </c>
      <c r="J108" s="60">
        <v>103</v>
      </c>
      <c r="O108" s="53">
        <v>42376</v>
      </c>
      <c r="P108">
        <v>726.39001499999995</v>
      </c>
      <c r="Q108" s="54">
        <f t="shared" si="11"/>
        <v>-2.3170409773610335E-2</v>
      </c>
      <c r="R108">
        <f t="shared" ca="1" si="16"/>
        <v>0.27773932189111084</v>
      </c>
      <c r="S108">
        <f t="shared" ca="1" si="12"/>
        <v>0.19248309670068695</v>
      </c>
      <c r="T108" s="56">
        <f t="shared" ca="1" si="13"/>
        <v>1.4406007722851277</v>
      </c>
    </row>
    <row r="109" spans="2:20" x14ac:dyDescent="0.25">
      <c r="B109" s="53">
        <v>40332</v>
      </c>
      <c r="C109">
        <v>251.8564193</v>
      </c>
      <c r="D109" s="54">
        <f t="shared" si="14"/>
        <v>2.4788689177178927E-2</v>
      </c>
      <c r="E109" s="54">
        <f t="shared" ca="1" si="15"/>
        <v>5.3512874332225097E-3</v>
      </c>
      <c r="F109" s="64">
        <f t="shared" ca="1" si="17"/>
        <v>1.9437401743956417E-2</v>
      </c>
      <c r="G109">
        <f t="shared" ca="1" si="10"/>
        <v>6.021363674556815E-3</v>
      </c>
      <c r="H109">
        <f t="shared" ca="1" si="18"/>
        <v>1.3893503606415407</v>
      </c>
      <c r="I109">
        <f t="shared" ca="1" si="19"/>
        <v>2.4975415610831759</v>
      </c>
      <c r="J109" s="57">
        <v>104</v>
      </c>
      <c r="O109" s="53">
        <v>42377</v>
      </c>
      <c r="P109">
        <v>714.46997099999999</v>
      </c>
      <c r="Q109" s="54">
        <f t="shared" si="11"/>
        <v>-1.6409977772065001E-2</v>
      </c>
      <c r="R109">
        <f t="shared" ca="1" si="16"/>
        <v>-0.21175181275823868</v>
      </c>
      <c r="S109">
        <f t="shared" ca="1" si="12"/>
        <v>0.32822545862764269</v>
      </c>
      <c r="T109" s="56">
        <f t="shared" ca="1" si="13"/>
        <v>-0.64705645846452664</v>
      </c>
    </row>
    <row r="110" spans="2:20" x14ac:dyDescent="0.25">
      <c r="B110" s="53">
        <v>40333</v>
      </c>
      <c r="C110">
        <v>248.4292591</v>
      </c>
      <c r="D110" s="54">
        <f t="shared" si="14"/>
        <v>-1.3607595190646003E-2</v>
      </c>
      <c r="E110" s="54">
        <f t="shared" ca="1" si="15"/>
        <v>-1.1808625384595903E-2</v>
      </c>
      <c r="F110" s="64">
        <f t="shared" ca="1" si="17"/>
        <v>-1.7989698060500992E-3</v>
      </c>
      <c r="G110">
        <f t="shared" ca="1" si="10"/>
        <v>2.3252878792438487E-2</v>
      </c>
      <c r="H110">
        <f t="shared" ca="1" si="18"/>
        <v>-0.94830484696570627</v>
      </c>
      <c r="I110">
        <f t="shared" ca="1" si="19"/>
        <v>2.7689073715264105</v>
      </c>
      <c r="J110" s="60">
        <v>105</v>
      </c>
      <c r="O110" s="53">
        <v>42380</v>
      </c>
      <c r="P110">
        <v>716.03002900000001</v>
      </c>
      <c r="Q110" s="54">
        <f t="shared" si="11"/>
        <v>2.1835179410220817E-3</v>
      </c>
      <c r="R110">
        <f t="shared" ca="1" si="16"/>
        <v>-1.2629154154934295E-2</v>
      </c>
      <c r="S110">
        <f t="shared" ca="1" si="12"/>
        <v>0.14752234205432954</v>
      </c>
      <c r="T110" s="56">
        <f t="shared" ca="1" si="13"/>
        <v>-1.5066031543683701E-2</v>
      </c>
    </row>
    <row r="111" spans="2:20" x14ac:dyDescent="0.25">
      <c r="B111" s="53">
        <v>40336</v>
      </c>
      <c r="C111">
        <v>241.8538848</v>
      </c>
      <c r="D111" s="54">
        <f t="shared" si="14"/>
        <v>-2.6467793382393873E-2</v>
      </c>
      <c r="E111" s="54">
        <f t="shared" ca="1" si="15"/>
        <v>5.0476009483551489E-3</v>
      </c>
      <c r="F111" s="64">
        <f t="shared" ca="1" si="17"/>
        <v>-3.1515394330749021E-2</v>
      </c>
      <c r="G111">
        <f t="shared" ca="1" si="10"/>
        <v>1.6722150490793945E-2</v>
      </c>
      <c r="H111">
        <f t="shared" ca="1" si="18"/>
        <v>-0.36390423203945899</v>
      </c>
      <c r="I111">
        <f t="shared" ca="1" si="19"/>
        <v>1.9254028983371552</v>
      </c>
      <c r="J111" s="57">
        <v>106</v>
      </c>
      <c r="O111" s="53">
        <v>42381</v>
      </c>
      <c r="P111">
        <v>726.07000700000003</v>
      </c>
      <c r="Q111" s="54">
        <f t="shared" si="11"/>
        <v>1.4021727571987094E-2</v>
      </c>
      <c r="R111">
        <f t="shared" ca="1" si="16"/>
        <v>-1.0189129024519983E-2</v>
      </c>
      <c r="S111">
        <f t="shared" ca="1" si="12"/>
        <v>4.3430931038097604E-3</v>
      </c>
      <c r="T111" s="56">
        <f t="shared" ca="1" si="13"/>
        <v>-0.64910350847722798</v>
      </c>
    </row>
    <row r="112" spans="2:20" x14ac:dyDescent="0.25">
      <c r="B112" s="53">
        <v>40337</v>
      </c>
      <c r="C112">
        <v>241.48526200000001</v>
      </c>
      <c r="D112" s="54">
        <f t="shared" si="14"/>
        <v>-1.5241549678014399E-3</v>
      </c>
      <c r="E112" s="54">
        <f t="shared" ca="1" si="15"/>
        <v>-1.8083566668673272E-2</v>
      </c>
      <c r="F112" s="64">
        <f t="shared" ca="1" si="17"/>
        <v>1.6559411700871832E-2</v>
      </c>
      <c r="G112">
        <f t="shared" ca="1" si="10"/>
        <v>7.2406370119911375E-3</v>
      </c>
      <c r="H112">
        <f t="shared" ca="1" si="18"/>
        <v>-1.6533996910140514</v>
      </c>
      <c r="I112">
        <f t="shared" ca="1" si="19"/>
        <v>2.5770017840751662</v>
      </c>
      <c r="J112" s="60">
        <v>107</v>
      </c>
      <c r="O112" s="53">
        <v>42382</v>
      </c>
      <c r="P112">
        <v>700.55999799999995</v>
      </c>
      <c r="Q112" s="54">
        <f t="shared" si="11"/>
        <v>-3.513436549376716E-2</v>
      </c>
      <c r="R112">
        <f t="shared" ca="1" si="16"/>
        <v>0.10639926434834709</v>
      </c>
      <c r="S112">
        <f t="shared" ca="1" si="12"/>
        <v>0.14788695711917318</v>
      </c>
      <c r="T112" s="56">
        <f t="shared" ca="1" si="13"/>
        <v>0.71283068581004616</v>
      </c>
    </row>
    <row r="113" spans="2:20" x14ac:dyDescent="0.25">
      <c r="B113" s="53">
        <v>40338</v>
      </c>
      <c r="C113">
        <v>236.1253437</v>
      </c>
      <c r="D113" s="54">
        <f t="shared" si="14"/>
        <v>-2.2195633205971815E-2</v>
      </c>
      <c r="E113" s="54">
        <f t="shared" ca="1" si="15"/>
        <v>2.8215318670473812E-2</v>
      </c>
      <c r="F113" s="64">
        <f t="shared" ca="1" si="17"/>
        <v>-5.0410951876445627E-2</v>
      </c>
      <c r="G113">
        <f t="shared" ca="1" si="10"/>
        <v>2.7665503196264447E-2</v>
      </c>
      <c r="H113">
        <f t="shared" ca="1" si="18"/>
        <v>1.4495511166979935</v>
      </c>
      <c r="I113">
        <f t="shared" ca="1" si="19"/>
        <v>0.6469763402909211</v>
      </c>
      <c r="J113" s="57">
        <v>108</v>
      </c>
      <c r="O113" s="53">
        <v>42383</v>
      </c>
      <c r="P113">
        <v>714.71997099999999</v>
      </c>
      <c r="Q113" s="54">
        <f t="shared" si="11"/>
        <v>2.0212363024472942E-2</v>
      </c>
      <c r="R113">
        <f t="shared" ca="1" si="16"/>
        <v>5.4584614589679326E-3</v>
      </c>
      <c r="S113">
        <f t="shared" ca="1" si="12"/>
        <v>0.16242418109849902</v>
      </c>
      <c r="T113" s="56">
        <f t="shared" ca="1" si="13"/>
        <v>-5.1616189987154261E-3</v>
      </c>
    </row>
    <row r="114" spans="2:20" x14ac:dyDescent="0.25">
      <c r="B114" s="53">
        <v>40339</v>
      </c>
      <c r="C114">
        <v>242.59610369999999</v>
      </c>
      <c r="D114" s="54">
        <f t="shared" si="14"/>
        <v>2.7403919878338685E-2</v>
      </c>
      <c r="E114" s="54">
        <f t="shared" ca="1" si="15"/>
        <v>-2.9676353627052909E-2</v>
      </c>
      <c r="F114" s="64">
        <f t="shared" ca="1" si="17"/>
        <v>5.7080273505391591E-2</v>
      </c>
      <c r="G114">
        <f t="shared" ca="1" si="10"/>
        <v>2.5023130960591562E-2</v>
      </c>
      <c r="H114">
        <f t="shared" ca="1" si="18"/>
        <v>-1.1585857358316112</v>
      </c>
      <c r="I114">
        <f t="shared" ca="1" si="19"/>
        <v>0.2259672067854846</v>
      </c>
      <c r="J114" s="60">
        <v>109</v>
      </c>
      <c r="O114" s="53">
        <v>42384</v>
      </c>
      <c r="P114">
        <v>694.45001200000002</v>
      </c>
      <c r="Q114" s="54">
        <f t="shared" si="11"/>
        <v>-2.836070044557349E-2</v>
      </c>
      <c r="R114">
        <f t="shared" ca="1" si="16"/>
        <v>-1.4431441352408467E-2</v>
      </c>
      <c r="S114">
        <f t="shared" ca="1" si="12"/>
        <v>3.1225678007588565E-3</v>
      </c>
      <c r="T114" s="56">
        <f t="shared" ca="1" si="13"/>
        <v>0.43161834497187335</v>
      </c>
    </row>
    <row r="115" spans="2:20" x14ac:dyDescent="0.25">
      <c r="B115" s="53">
        <v>40340</v>
      </c>
      <c r="C115">
        <v>243.33832319999999</v>
      </c>
      <c r="D115" s="54">
        <f t="shared" si="14"/>
        <v>3.0594864825935148E-3</v>
      </c>
      <c r="E115" s="54">
        <f t="shared" ca="1" si="15"/>
        <v>-2.5266133920257818E-2</v>
      </c>
      <c r="F115" s="64">
        <f t="shared" ca="1" si="17"/>
        <v>2.8325620402851331E-2</v>
      </c>
      <c r="G115">
        <f t="shared" ca="1" si="10"/>
        <v>2.0186646638494621E-2</v>
      </c>
      <c r="H115">
        <f t="shared" ca="1" si="18"/>
        <v>-0.75783279132267722</v>
      </c>
      <c r="I115">
        <f t="shared" ca="1" si="19"/>
        <v>2.1676531302800806</v>
      </c>
      <c r="J115" s="57">
        <v>110</v>
      </c>
      <c r="O115" s="53">
        <v>42388</v>
      </c>
      <c r="P115">
        <v>701.78997800000002</v>
      </c>
      <c r="Q115" s="54">
        <f t="shared" si="11"/>
        <v>1.0569466301629214E-2</v>
      </c>
      <c r="R115">
        <f t="shared" ca="1" si="16"/>
        <v>0.11324029264337679</v>
      </c>
      <c r="S115">
        <f t="shared" ca="1" si="12"/>
        <v>9.833962885441716E-2</v>
      </c>
      <c r="T115" s="56">
        <f t="shared" ca="1" si="13"/>
        <v>1.0592169764610473</v>
      </c>
    </row>
    <row r="116" spans="2:20" x14ac:dyDescent="0.25">
      <c r="B116" s="53">
        <v>40343</v>
      </c>
      <c r="C116">
        <v>240.6932382</v>
      </c>
      <c r="D116" s="54">
        <f t="shared" si="14"/>
        <v>-1.0869989425488055E-2</v>
      </c>
      <c r="E116" s="54">
        <f t="shared" ca="1" si="15"/>
        <v>-3.6027836718705679E-3</v>
      </c>
      <c r="F116" s="64">
        <f t="shared" ca="1" si="17"/>
        <v>-7.2672057536174867E-3</v>
      </c>
      <c r="G116">
        <f t="shared" ca="1" si="10"/>
        <v>1.3497289394658843E-2</v>
      </c>
      <c r="H116">
        <f t="shared" ca="1" si="18"/>
        <v>-1.1787911784255216</v>
      </c>
      <c r="I116">
        <f t="shared" ca="1" si="19"/>
        <v>2.7208108066114103</v>
      </c>
      <c r="J116" s="60">
        <v>111</v>
      </c>
      <c r="O116" s="53">
        <v>42389</v>
      </c>
      <c r="P116">
        <v>698.45001200000002</v>
      </c>
      <c r="Q116" s="54">
        <f t="shared" si="11"/>
        <v>-4.7592101692851534E-3</v>
      </c>
      <c r="R116">
        <f t="shared" ca="1" si="16"/>
        <v>-0.43526849503899162</v>
      </c>
      <c r="S116">
        <f t="shared" ca="1" si="12"/>
        <v>0.24132623388060495</v>
      </c>
      <c r="T116" s="56">
        <f t="shared" ca="1" si="13"/>
        <v>-1.7508718874198841</v>
      </c>
    </row>
    <row r="117" spans="2:20" x14ac:dyDescent="0.25">
      <c r="B117" s="53">
        <v>40344</v>
      </c>
      <c r="C117">
        <v>248.06561070000001</v>
      </c>
      <c r="D117" s="54">
        <f t="shared" si="14"/>
        <v>3.0629744961402125E-2</v>
      </c>
      <c r="E117" s="54">
        <f t="shared" ca="1" si="15"/>
        <v>-2.8634167486152176E-2</v>
      </c>
      <c r="F117" s="64">
        <f t="shared" ca="1" si="17"/>
        <v>5.9263912447554301E-2</v>
      </c>
      <c r="G117">
        <f t="shared" ca="1" si="10"/>
        <v>1.9940256940320665E-2</v>
      </c>
      <c r="H117">
        <f t="shared" ca="1" si="18"/>
        <v>-1.5048982018733743</v>
      </c>
      <c r="I117">
        <f t="shared" ca="1" si="19"/>
        <v>2.3936412306659108E-2</v>
      </c>
      <c r="J117" s="57">
        <v>112</v>
      </c>
      <c r="O117" s="53">
        <v>42390</v>
      </c>
      <c r="P117">
        <v>706.59002699999996</v>
      </c>
      <c r="Q117" s="54">
        <f t="shared" si="11"/>
        <v>1.1654398826182494E-2</v>
      </c>
      <c r="R117">
        <f t="shared" ca="1" si="16"/>
        <v>0.16056576050018992</v>
      </c>
      <c r="S117">
        <f t="shared" ca="1" si="12"/>
        <v>0.39891802704425244</v>
      </c>
      <c r="T117" s="56">
        <f t="shared" ca="1" si="13"/>
        <v>0.39060376555813686</v>
      </c>
    </row>
    <row r="118" spans="2:20" x14ac:dyDescent="0.25">
      <c r="B118" s="53">
        <v>40345</v>
      </c>
      <c r="C118">
        <v>249.69949449999999</v>
      </c>
      <c r="D118" s="54">
        <f t="shared" si="14"/>
        <v>6.5864986097404999E-3</v>
      </c>
      <c r="E118" s="54">
        <f t="shared" ca="1" si="15"/>
        <v>8.8213956936084199E-4</v>
      </c>
      <c r="F118" s="64">
        <f t="shared" ca="1" si="17"/>
        <v>5.7043590403796579E-3</v>
      </c>
      <c r="G118">
        <f t="shared" ca="1" si="10"/>
        <v>2.5546550316196858E-2</v>
      </c>
      <c r="H118">
        <f t="shared" ca="1" si="18"/>
        <v>0.22560939150067169</v>
      </c>
      <c r="I118">
        <f t="shared" ca="1" si="19"/>
        <v>2.7562734725920022</v>
      </c>
      <c r="J118" s="60">
        <v>113</v>
      </c>
      <c r="O118" s="53">
        <v>42391</v>
      </c>
      <c r="P118">
        <v>725.25</v>
      </c>
      <c r="Q118" s="54">
        <f t="shared" si="11"/>
        <v>2.6408486232427447E-2</v>
      </c>
      <c r="R118">
        <f t="shared" ca="1" si="16"/>
        <v>2.8697533771349731E-2</v>
      </c>
      <c r="S118">
        <f t="shared" ca="1" si="12"/>
        <v>8.9244663028914692E-2</v>
      </c>
      <c r="T118" s="56">
        <f t="shared" ca="1" si="13"/>
        <v>0.34550849860797073</v>
      </c>
    </row>
    <row r="119" spans="2:20" x14ac:dyDescent="0.25">
      <c r="B119" s="53">
        <v>40346</v>
      </c>
      <c r="C119">
        <v>249.1067199</v>
      </c>
      <c r="D119" s="54">
        <f t="shared" si="14"/>
        <v>-2.3739519424617189E-3</v>
      </c>
      <c r="E119" s="54">
        <f t="shared" ca="1" si="15"/>
        <v>1.2567793363977618E-2</v>
      </c>
      <c r="F119" s="64">
        <f t="shared" ca="1" si="17"/>
        <v>-1.4941745306439337E-2</v>
      </c>
      <c r="G119">
        <f t="shared" ca="1" si="10"/>
        <v>7.0052284563578296E-3</v>
      </c>
      <c r="H119">
        <f t="shared" ca="1" si="18"/>
        <v>-0.16969497542877796</v>
      </c>
      <c r="I119">
        <f t="shared" ca="1" si="19"/>
        <v>2.5718223320865934</v>
      </c>
      <c r="J119" s="57">
        <v>114</v>
      </c>
      <c r="O119" s="53">
        <v>42394</v>
      </c>
      <c r="P119">
        <v>711.669983</v>
      </c>
      <c r="Q119" s="54">
        <f t="shared" si="11"/>
        <v>-1.872460117200965E-2</v>
      </c>
      <c r="R119">
        <f t="shared" ca="1" si="16"/>
        <v>-1.3425297682386267E-3</v>
      </c>
      <c r="S119">
        <f t="shared" ca="1" si="12"/>
        <v>7.873682301190893E-2</v>
      </c>
      <c r="T119" s="56">
        <f t="shared" ca="1" si="13"/>
        <v>-8.3534089365376082E-2</v>
      </c>
    </row>
    <row r="120" spans="2:20" x14ac:dyDescent="0.25">
      <c r="B120" s="53">
        <v>40347</v>
      </c>
      <c r="C120">
        <v>249.08180229999999</v>
      </c>
      <c r="D120" s="54">
        <f t="shared" si="14"/>
        <v>-1.0002781141356551E-4</v>
      </c>
      <c r="E120" s="54">
        <f t="shared" ca="1" si="15"/>
        <v>4.7618163297821533E-3</v>
      </c>
      <c r="F120" s="64">
        <f t="shared" ca="1" si="17"/>
        <v>-4.8618441411957189E-3</v>
      </c>
      <c r="G120">
        <f t="shared" ca="1" si="10"/>
        <v>3.404040070346843E-3</v>
      </c>
      <c r="H120">
        <f t="shared" ca="1" si="18"/>
        <v>0.52987883849149109</v>
      </c>
      <c r="I120">
        <f t="shared" ca="1" si="19"/>
        <v>2.7479193427959294</v>
      </c>
      <c r="J120" s="60">
        <v>115</v>
      </c>
      <c r="O120" s="53">
        <v>42395</v>
      </c>
      <c r="P120">
        <v>713.03997800000002</v>
      </c>
      <c r="Q120" s="54">
        <f t="shared" si="11"/>
        <v>1.9250425516401429E-3</v>
      </c>
      <c r="R120">
        <f t="shared" ca="1" si="16"/>
        <v>3.3139894296650423E-2</v>
      </c>
      <c r="S120">
        <f t="shared" ca="1" si="12"/>
        <v>1.9103318174969124E-2</v>
      </c>
      <c r="T120" s="56">
        <f t="shared" ca="1" si="13"/>
        <v>1.1139235972174566</v>
      </c>
    </row>
    <row r="121" spans="2:20" x14ac:dyDescent="0.25">
      <c r="B121" s="53">
        <v>40350</v>
      </c>
      <c r="C121">
        <v>243.36821520000001</v>
      </c>
      <c r="D121" s="54">
        <f t="shared" si="14"/>
        <v>-2.2938597068277212E-2</v>
      </c>
      <c r="E121" s="54">
        <f t="shared" ca="1" si="15"/>
        <v>8.4058920866110151E-3</v>
      </c>
      <c r="F121" s="64">
        <f t="shared" ca="1" si="17"/>
        <v>-3.134448915488823E-2</v>
      </c>
      <c r="G121">
        <f t="shared" ca="1" si="10"/>
        <v>8.9355634199871151E-3</v>
      </c>
      <c r="H121">
        <f t="shared" ca="1" si="18"/>
        <v>1.0600431924677924</v>
      </c>
      <c r="I121">
        <f t="shared" ca="1" si="19"/>
        <v>1.9343334125777465</v>
      </c>
      <c r="J121" s="57">
        <v>116</v>
      </c>
      <c r="O121" s="53">
        <v>42396</v>
      </c>
      <c r="P121">
        <v>699.98999000000003</v>
      </c>
      <c r="Q121" s="54">
        <f t="shared" si="11"/>
        <v>-1.8301902281277115E-2</v>
      </c>
      <c r="R121">
        <f t="shared" ca="1" si="16"/>
        <v>-1.6706314753369863E-2</v>
      </c>
      <c r="S121">
        <f t="shared" ca="1" si="12"/>
        <v>0.25378440992994994</v>
      </c>
      <c r="T121" s="56">
        <f t="shared" ca="1" si="13"/>
        <v>-3.2692136293764995E-2</v>
      </c>
    </row>
    <row r="122" spans="2:20" x14ac:dyDescent="0.25">
      <c r="B122" s="53">
        <v>40351</v>
      </c>
      <c r="C122">
        <v>242.21753269999999</v>
      </c>
      <c r="D122" s="54">
        <f t="shared" si="14"/>
        <v>-4.7281544101984941E-3</v>
      </c>
      <c r="E122" s="54">
        <f t="shared" ca="1" si="15"/>
        <v>1.5405730290676532E-3</v>
      </c>
      <c r="F122" s="64">
        <f t="shared" ca="1" si="17"/>
        <v>-6.2687274392661477E-3</v>
      </c>
      <c r="G122">
        <f t="shared" ca="1" si="10"/>
        <v>1.7839061737042528E-2</v>
      </c>
      <c r="H122">
        <f t="shared" ca="1" si="18"/>
        <v>8.8900013781928688E-2</v>
      </c>
      <c r="I122">
        <f t="shared" ca="1" si="19"/>
        <v>2.7331985591876014</v>
      </c>
      <c r="J122" s="60">
        <v>117</v>
      </c>
      <c r="O122" s="53">
        <v>42397</v>
      </c>
      <c r="P122">
        <v>730.96002199999998</v>
      </c>
      <c r="Q122" s="54">
        <f t="shared" si="11"/>
        <v>4.4243535539701E-2</v>
      </c>
      <c r="R122">
        <f t="shared" ca="1" si="16"/>
        <v>2.7359096978541064E-3</v>
      </c>
      <c r="S122">
        <f t="shared" ca="1" si="12"/>
        <v>8.6276725242804917E-3</v>
      </c>
      <c r="T122" s="56">
        <f t="shared" ca="1" si="13"/>
        <v>0.21693567210669132</v>
      </c>
    </row>
    <row r="123" spans="2:20" x14ac:dyDescent="0.25">
      <c r="B123" s="53">
        <v>40352</v>
      </c>
      <c r="C123">
        <v>240.1253662</v>
      </c>
      <c r="D123" s="54">
        <f t="shared" si="14"/>
        <v>-8.6375518595974473E-3</v>
      </c>
      <c r="E123" s="54">
        <f t="shared" ca="1" si="15"/>
        <v>-6.4226226092423625E-3</v>
      </c>
      <c r="F123" s="64">
        <f t="shared" ca="1" si="17"/>
        <v>-2.2149292503550848E-3</v>
      </c>
      <c r="G123">
        <f t="shared" ca="1" si="10"/>
        <v>4.4426607245375569E-3</v>
      </c>
      <c r="H123">
        <f t="shared" ca="1" si="18"/>
        <v>0.87326997946966678</v>
      </c>
      <c r="I123">
        <f t="shared" ca="1" si="19"/>
        <v>2.7669465301498262</v>
      </c>
      <c r="J123" s="57">
        <v>118</v>
      </c>
      <c r="O123" s="53">
        <v>42398</v>
      </c>
      <c r="P123">
        <v>742.95001200000002</v>
      </c>
      <c r="Q123" s="54">
        <f t="shared" si="11"/>
        <v>1.6403072177865338E-2</v>
      </c>
      <c r="R123">
        <f t="shared" ca="1" si="16"/>
        <v>-6.9381869069148061E-2</v>
      </c>
      <c r="S123">
        <f t="shared" ca="1" si="12"/>
        <v>4.9434369681785266E-2</v>
      </c>
      <c r="T123" s="56">
        <f t="shared" ca="1" si="13"/>
        <v>-1.2372541828811852</v>
      </c>
    </row>
    <row r="124" spans="2:20" x14ac:dyDescent="0.25">
      <c r="B124" s="53">
        <v>40353</v>
      </c>
      <c r="C124">
        <v>236.6633392</v>
      </c>
      <c r="D124" s="54">
        <f t="shared" si="14"/>
        <v>-1.4417581344223707E-2</v>
      </c>
      <c r="E124" s="54">
        <f t="shared" ca="1" si="15"/>
        <v>1.0687436650068115E-2</v>
      </c>
      <c r="F124" s="64">
        <f t="shared" ca="1" si="17"/>
        <v>-2.5105017994291823E-2</v>
      </c>
      <c r="G124">
        <f t="shared" ca="1" si="10"/>
        <v>1.4646128555308811E-2</v>
      </c>
      <c r="H124">
        <f t="shared" ca="1" si="18"/>
        <v>0.87470858251933814</v>
      </c>
      <c r="I124">
        <f t="shared" ca="1" si="19"/>
        <v>2.2280591669701786</v>
      </c>
      <c r="J124" s="60">
        <v>119</v>
      </c>
      <c r="O124" s="53">
        <v>42401</v>
      </c>
      <c r="P124">
        <v>752</v>
      </c>
      <c r="Q124" s="54">
        <f t="shared" si="11"/>
        <v>1.2181153312909542E-2</v>
      </c>
      <c r="R124">
        <f t="shared" ca="1" si="16"/>
        <v>-0.16073696943749749</v>
      </c>
      <c r="S124">
        <f t="shared" ca="1" si="12"/>
        <v>0.28188329178677268</v>
      </c>
      <c r="T124" s="56">
        <f t="shared" ca="1" si="13"/>
        <v>-0.64071874892637992</v>
      </c>
    </row>
    <row r="125" spans="2:20" x14ac:dyDescent="0.25">
      <c r="B125" s="53">
        <v>40354</v>
      </c>
      <c r="C125">
        <v>235.4578472</v>
      </c>
      <c r="D125" s="54">
        <f t="shared" si="14"/>
        <v>-5.0936997849981847E-3</v>
      </c>
      <c r="E125" s="54">
        <f t="shared" ca="1" si="15"/>
        <v>2.4836343711481218E-2</v>
      </c>
      <c r="F125" s="64">
        <f t="shared" ca="1" si="17"/>
        <v>-2.9930043496479403E-2</v>
      </c>
      <c r="G125">
        <f t="shared" ca="1" si="10"/>
        <v>1.5010641942989735E-2</v>
      </c>
      <c r="H125">
        <f t="shared" ca="1" si="18"/>
        <v>1.9130354199318129</v>
      </c>
      <c r="I125">
        <f t="shared" ca="1" si="19"/>
        <v>2.0064325748014777</v>
      </c>
      <c r="J125" s="57">
        <v>120</v>
      </c>
      <c r="O125" s="53">
        <v>42402</v>
      </c>
      <c r="P125">
        <v>764.65002400000003</v>
      </c>
      <c r="Q125" s="54">
        <f t="shared" si="11"/>
        <v>1.6821840425531955E-2</v>
      </c>
      <c r="R125">
        <f t="shared" ca="1" si="16"/>
        <v>8.0315233445533152E-2</v>
      </c>
      <c r="S125">
        <f t="shared" ca="1" si="12"/>
        <v>0.14605251387399965</v>
      </c>
      <c r="T125" s="56">
        <f t="shared" ca="1" si="13"/>
        <v>0.49946470173563656</v>
      </c>
    </row>
    <row r="126" spans="2:20" x14ac:dyDescent="0.25">
      <c r="B126" s="53">
        <v>40357</v>
      </c>
      <c r="C126">
        <v>235.15897240000001</v>
      </c>
      <c r="D126" s="54">
        <f t="shared" si="14"/>
        <v>-1.2693346327341815E-3</v>
      </c>
      <c r="E126" s="54">
        <f t="shared" ca="1" si="15"/>
        <v>-5.3887688181526741E-2</v>
      </c>
      <c r="F126" s="64">
        <f t="shared" ca="1" si="17"/>
        <v>5.261835354879256E-2</v>
      </c>
      <c r="G126">
        <f t="shared" ca="1" si="10"/>
        <v>3.2130026757058221E-2</v>
      </c>
      <c r="H126">
        <f t="shared" ca="1" si="18"/>
        <v>-1.4756407212267186</v>
      </c>
      <c r="I126">
        <f t="shared" ca="1" si="19"/>
        <v>0.6148300394186339</v>
      </c>
      <c r="J126" s="60">
        <v>121</v>
      </c>
      <c r="O126" s="53">
        <v>42403</v>
      </c>
      <c r="P126">
        <v>726.95001200000002</v>
      </c>
      <c r="Q126" s="54">
        <f t="shared" si="11"/>
        <v>-4.9303617101566999E-2</v>
      </c>
      <c r="R126">
        <f t="shared" ca="1" si="16"/>
        <v>0.1014319371025979</v>
      </c>
      <c r="S126">
        <f t="shared" ca="1" si="12"/>
        <v>0.11382227454378131</v>
      </c>
      <c r="T126" s="56">
        <f t="shared" ca="1" si="13"/>
        <v>0.84307616999237667</v>
      </c>
    </row>
    <row r="127" spans="2:20" x14ac:dyDescent="0.25">
      <c r="B127" s="53">
        <v>40358</v>
      </c>
      <c r="C127">
        <v>226.28223310000001</v>
      </c>
      <c r="D127" s="54">
        <f t="shared" si="14"/>
        <v>-3.774782314025793E-2</v>
      </c>
      <c r="E127" s="54">
        <f t="shared" ca="1" si="15"/>
        <v>-2.4744292462317886E-2</v>
      </c>
      <c r="F127" s="64">
        <f t="shared" ca="1" si="17"/>
        <v>-1.3003530677940044E-2</v>
      </c>
      <c r="G127">
        <f t="shared" ca="1" si="10"/>
        <v>2.5715292291481874E-2</v>
      </c>
      <c r="H127">
        <f t="shared" ca="1" si="18"/>
        <v>-0.87327757120950944</v>
      </c>
      <c r="I127">
        <f t="shared" ca="1" si="19"/>
        <v>2.6184316953864597</v>
      </c>
      <c r="J127" s="57">
        <v>122</v>
      </c>
      <c r="O127" s="53">
        <v>42404</v>
      </c>
      <c r="P127">
        <v>708.01000999999997</v>
      </c>
      <c r="Q127" s="54">
        <f t="shared" si="11"/>
        <v>-2.6054063810924111E-2</v>
      </c>
      <c r="R127">
        <f t="shared" ca="1" si="16"/>
        <v>0.23218275086263793</v>
      </c>
      <c r="S127">
        <f t="shared" ca="1" si="12"/>
        <v>0.19208781133183273</v>
      </c>
      <c r="T127" s="56">
        <f t="shared" ca="1" si="13"/>
        <v>1.169405666754012</v>
      </c>
    </row>
    <row r="128" spans="2:20" x14ac:dyDescent="0.25">
      <c r="B128" s="53">
        <v>40359</v>
      </c>
      <c r="C128">
        <v>221.6446061</v>
      </c>
      <c r="D128" s="54">
        <f t="shared" si="14"/>
        <v>-2.0494879056415009E-2</v>
      </c>
      <c r="E128" s="54">
        <f t="shared" ca="1" si="15"/>
        <v>1.5082492084760295E-2</v>
      </c>
      <c r="F128" s="64">
        <f t="shared" ca="1" si="17"/>
        <v>-3.5577371141175304E-2</v>
      </c>
      <c r="G128">
        <f t="shared" ca="1" si="10"/>
        <v>1.5742046800550819E-2</v>
      </c>
      <c r="H128">
        <f t="shared" ca="1" si="18"/>
        <v>0.99435774874054805</v>
      </c>
      <c r="I128">
        <f t="shared" ca="1" si="19"/>
        <v>1.6992570336335711</v>
      </c>
      <c r="J128" s="60">
        <v>123</v>
      </c>
      <c r="O128" s="53">
        <v>42405</v>
      </c>
      <c r="P128">
        <v>683.57000700000003</v>
      </c>
      <c r="Q128" s="54">
        <f t="shared" si="11"/>
        <v>-3.4519290200430833E-2</v>
      </c>
      <c r="R128">
        <f t="shared" ca="1" si="16"/>
        <v>0.32501976967926344</v>
      </c>
      <c r="S128">
        <f t="shared" ca="1" si="12"/>
        <v>0.26644373647821434</v>
      </c>
      <c r="T128" s="56">
        <f t="shared" ca="1" si="13"/>
        <v>1.3029522299235241</v>
      </c>
    </row>
    <row r="129" spans="2:20" x14ac:dyDescent="0.25">
      <c r="B129" s="53">
        <v>40360</v>
      </c>
      <c r="C129">
        <v>218.9247986</v>
      </c>
      <c r="D129" s="54">
        <f t="shared" si="14"/>
        <v>-1.2271029500139962E-2</v>
      </c>
      <c r="E129" s="54">
        <f t="shared" ca="1" si="15"/>
        <v>-1.4106037770608461E-2</v>
      </c>
      <c r="F129" s="64">
        <f t="shared" ca="1" si="17"/>
        <v>1.8350082704684991E-3</v>
      </c>
      <c r="G129">
        <f t="shared" ca="1" si="10"/>
        <v>1.7010405098458411E-2</v>
      </c>
      <c r="H129">
        <f t="shared" ca="1" si="18"/>
        <v>0.16740452747055865</v>
      </c>
      <c r="I129">
        <f t="shared" ca="1" si="19"/>
        <v>2.7741482157974184</v>
      </c>
      <c r="J129" s="57">
        <v>124</v>
      </c>
      <c r="O129" s="53">
        <v>42408</v>
      </c>
      <c r="P129">
        <v>682.73999000000003</v>
      </c>
      <c r="Q129" s="54">
        <f t="shared" si="11"/>
        <v>-1.2142384708227814E-3</v>
      </c>
      <c r="R129">
        <f t="shared" ca="1" si="16"/>
        <v>9.8463399470468047E-2</v>
      </c>
      <c r="S129">
        <f t="shared" ca="1" si="12"/>
        <v>0.29688311483070623</v>
      </c>
      <c r="T129" s="56">
        <f t="shared" ca="1" si="13"/>
        <v>0.3710732969737488</v>
      </c>
    </row>
    <row r="130" spans="2:20" x14ac:dyDescent="0.25">
      <c r="B130" s="53">
        <v>40361</v>
      </c>
      <c r="C130">
        <v>217.460273</v>
      </c>
      <c r="D130" s="54">
        <f t="shared" si="14"/>
        <v>-6.6896286275720329E-3</v>
      </c>
      <c r="E130" s="54">
        <f t="shared" ca="1" si="15"/>
        <v>-1.0073147972839903E-2</v>
      </c>
      <c r="F130" s="64">
        <f t="shared" ca="1" si="17"/>
        <v>3.3835193452678705E-3</v>
      </c>
      <c r="G130">
        <f t="shared" ca="1" si="10"/>
        <v>4.8830530216132954E-3</v>
      </c>
      <c r="H130">
        <f t="shared" ca="1" si="18"/>
        <v>-0.17781413246184274</v>
      </c>
      <c r="I130">
        <f t="shared" ca="1" si="19"/>
        <v>2.7698981353374741</v>
      </c>
      <c r="J130" s="60">
        <v>125</v>
      </c>
      <c r="O130" s="53">
        <v>42409</v>
      </c>
      <c r="P130">
        <v>678.10998500000005</v>
      </c>
      <c r="Q130" s="54">
        <f t="shared" si="11"/>
        <v>-6.7815055040206197E-3</v>
      </c>
      <c r="R130">
        <f t="shared" ca="1" si="16"/>
        <v>-4.3053497468584813E-2</v>
      </c>
      <c r="S130">
        <f t="shared" ca="1" si="12"/>
        <v>8.469174409209039E-2</v>
      </c>
      <c r="T130" s="56">
        <f t="shared" ca="1" si="13"/>
        <v>-0.32529938122919111</v>
      </c>
    </row>
    <row r="131" spans="2:20" x14ac:dyDescent="0.25">
      <c r="B131" s="53">
        <v>40365</v>
      </c>
      <c r="C131">
        <v>217.22118219999999</v>
      </c>
      <c r="D131" s="54">
        <f t="shared" si="14"/>
        <v>-1.0994688671250488E-3</v>
      </c>
      <c r="E131" s="54">
        <f t="shared" ca="1" si="15"/>
        <v>-6.2495382068655167E-3</v>
      </c>
      <c r="F131" s="64">
        <f t="shared" ca="1" si="17"/>
        <v>5.1500693397404677E-3</v>
      </c>
      <c r="G131">
        <f t="shared" ca="1" si="10"/>
        <v>3.3262680351343848E-3</v>
      </c>
      <c r="H131">
        <f t="shared" ca="1" si="18"/>
        <v>-0.22194777934539095</v>
      </c>
      <c r="I131">
        <f t="shared" ca="1" si="19"/>
        <v>2.7603185268536103</v>
      </c>
      <c r="J131" s="57">
        <v>126</v>
      </c>
      <c r="O131" s="53">
        <v>42410</v>
      </c>
      <c r="P131">
        <v>684.11999500000002</v>
      </c>
      <c r="Q131" s="54">
        <f t="shared" si="11"/>
        <v>8.8628837990049145E-3</v>
      </c>
      <c r="R131">
        <f t="shared" ca="1" si="16"/>
        <v>1.5690215573083532E-2</v>
      </c>
      <c r="S131">
        <f t="shared" ca="1" si="12"/>
        <v>7.4132422863378539E-2</v>
      </c>
      <c r="T131" s="56">
        <f t="shared" ca="1" si="13"/>
        <v>0.21900904666753659</v>
      </c>
    </row>
    <row r="132" spans="2:20" x14ac:dyDescent="0.25">
      <c r="B132" s="53">
        <v>40366</v>
      </c>
      <c r="C132">
        <v>224.2597992</v>
      </c>
      <c r="D132" s="54">
        <f t="shared" si="14"/>
        <v>3.2402995549114626E-2</v>
      </c>
      <c r="E132" s="54">
        <f t="shared" ca="1" si="15"/>
        <v>-4.8076656779836779E-3</v>
      </c>
      <c r="F132" s="64">
        <f t="shared" ca="1" si="17"/>
        <v>3.7210661227098304E-2</v>
      </c>
      <c r="G132">
        <f t="shared" ca="1" si="10"/>
        <v>3.9135896133691362E-3</v>
      </c>
      <c r="H132">
        <f t="shared" ca="1" si="18"/>
        <v>-0.46075360713684899</v>
      </c>
      <c r="I132">
        <f t="shared" ca="1" si="19"/>
        <v>1.7103061857651576</v>
      </c>
      <c r="J132" s="60">
        <v>127</v>
      </c>
      <c r="O132" s="53">
        <v>42411</v>
      </c>
      <c r="P132">
        <v>683.10998500000005</v>
      </c>
      <c r="Q132" s="54">
        <f t="shared" si="11"/>
        <v>-1.4763638066154837E-3</v>
      </c>
      <c r="R132">
        <f t="shared" ca="1" si="16"/>
        <v>-2.0877274824706308E-2</v>
      </c>
      <c r="S132">
        <f t="shared" ca="1" si="12"/>
        <v>4.9921771457888044E-2</v>
      </c>
      <c r="T132" s="56">
        <f t="shared" ca="1" si="13"/>
        <v>-0.35719320644626168</v>
      </c>
    </row>
    <row r="133" spans="2:20" x14ac:dyDescent="0.25">
      <c r="B133" s="53">
        <v>40367</v>
      </c>
      <c r="C133">
        <v>227.42794119999999</v>
      </c>
      <c r="D133" s="54">
        <f t="shared" si="14"/>
        <v>1.4127106201386401E-2</v>
      </c>
      <c r="E133" s="54">
        <f t="shared" ca="1" si="15"/>
        <v>1.2108599597935836E-2</v>
      </c>
      <c r="F133" s="64">
        <f t="shared" ca="1" si="17"/>
        <v>2.0185066034505653E-3</v>
      </c>
      <c r="G133">
        <f t="shared" ref="G133:G196" ca="1" si="20">SQRT(A_0+A_1*POWER(H132,2)+B_1*POWER(G132,2))</f>
        <v>7.8076464008361114E-3</v>
      </c>
      <c r="H133">
        <f t="shared" ca="1" si="18"/>
        <v>1.6140375759364216</v>
      </c>
      <c r="I133">
        <f t="shared" ca="1" si="19"/>
        <v>2.773846936392141</v>
      </c>
      <c r="J133" s="57">
        <v>128</v>
      </c>
      <c r="O133" s="53">
        <v>42412</v>
      </c>
      <c r="P133">
        <v>682.40002400000003</v>
      </c>
      <c r="Q133" s="54">
        <f t="shared" ref="Q133:Q196" si="21">(P133-P132)/P132</f>
        <v>-1.0393070158387762E-3</v>
      </c>
      <c r="R133">
        <f t="shared" ca="1" si="16"/>
        <v>-3.4359857267933065E-2</v>
      </c>
      <c r="S133">
        <f t="shared" ref="S133:S196" ca="1" si="22">SQRT(A_0+A_1*POWER(S132,2)+B_1*POWER(T132,2))</f>
        <v>8.1388880200204253E-2</v>
      </c>
      <c r="T133" s="56">
        <f t="shared" ref="T133:T196" ca="1" si="23">_xlfn.NORM.INV(RAND(),0,1)</f>
        <v>-0.47107578276209233</v>
      </c>
    </row>
    <row r="134" spans="2:20" x14ac:dyDescent="0.25">
      <c r="B134" s="53">
        <v>40368</v>
      </c>
      <c r="C134">
        <v>232.8725306</v>
      </c>
      <c r="D134" s="54">
        <f t="shared" si="14"/>
        <v>2.3939843852396499E-2</v>
      </c>
      <c r="E134" s="54">
        <f t="shared" ca="1" si="15"/>
        <v>4.3429152409280455E-2</v>
      </c>
      <c r="F134" s="64">
        <f t="shared" ca="1" si="17"/>
        <v>-1.9489308556883956E-2</v>
      </c>
      <c r="G134">
        <f t="shared" ca="1" si="20"/>
        <v>2.7018330194495992E-2</v>
      </c>
      <c r="H134">
        <f t="shared" ca="1" si="18"/>
        <v>1.0687586709285164</v>
      </c>
      <c r="I134">
        <f t="shared" ca="1" si="19"/>
        <v>2.4386366099063963</v>
      </c>
      <c r="J134" s="60">
        <v>129</v>
      </c>
      <c r="O134" s="53">
        <v>42416</v>
      </c>
      <c r="P134">
        <v>691</v>
      </c>
      <c r="Q134" s="54">
        <f t="shared" si="21"/>
        <v>1.2602543519253993E-2</v>
      </c>
      <c r="R134">
        <f t="shared" ca="1" si="16"/>
        <v>3.1492226182424393E-2</v>
      </c>
      <c r="S134">
        <f t="shared" ca="1" si="22"/>
        <v>0.1073372605652321</v>
      </c>
      <c r="T134" s="56">
        <f t="shared" ca="1" si="23"/>
        <v>0.29957265984524634</v>
      </c>
    </row>
    <row r="135" spans="2:20" x14ac:dyDescent="0.25">
      <c r="B135" s="53">
        <v>40371</v>
      </c>
      <c r="C135">
        <v>237.02697219999999</v>
      </c>
      <c r="D135" s="54">
        <f t="shared" ref="D135:D198" si="24">(C135-C134)/C134</f>
        <v>1.7839981337841759E-2</v>
      </c>
      <c r="E135" s="54">
        <f t="shared" ca="1" si="15"/>
        <v>2.3705037914168017E-2</v>
      </c>
      <c r="F135" s="64">
        <f t="shared" ca="1" si="17"/>
        <v>-5.865056576326258E-3</v>
      </c>
      <c r="G135">
        <f t="shared" ca="1" si="20"/>
        <v>1.88983412606318E-2</v>
      </c>
      <c r="H135">
        <f t="shared" ca="1" si="18"/>
        <v>0.91859167796333319</v>
      </c>
      <c r="I135">
        <f t="shared" ca="1" si="19"/>
        <v>2.7377494922797974</v>
      </c>
      <c r="J135" s="57">
        <v>130</v>
      </c>
      <c r="O135" s="53">
        <v>42417</v>
      </c>
      <c r="P135">
        <v>708.40002400000003</v>
      </c>
      <c r="Q135" s="54">
        <f t="shared" si="21"/>
        <v>2.5180931982633908E-2</v>
      </c>
      <c r="R135">
        <f t="shared" ca="1" si="16"/>
        <v>7.173170117841284E-3</v>
      </c>
      <c r="S135">
        <f t="shared" ca="1" si="22"/>
        <v>6.8281792220649479E-2</v>
      </c>
      <c r="T135" s="56">
        <f t="shared" ca="1" si="23"/>
        <v>0.11188526663162848</v>
      </c>
    </row>
    <row r="136" spans="2:20" x14ac:dyDescent="0.25">
      <c r="B136" s="53">
        <v>40372</v>
      </c>
      <c r="C136">
        <v>243.68701770000001</v>
      </c>
      <c r="D136" s="54">
        <f t="shared" si="24"/>
        <v>2.8098260034222486E-2</v>
      </c>
      <c r="E136" s="54">
        <f t="shared" ref="E136:E199" ca="1" si="25">((E_1*D135)+(E_2*D134)+(G136*H136))</f>
        <v>3.8701861816943496E-2</v>
      </c>
      <c r="F136" s="64">
        <f t="shared" ca="1" si="17"/>
        <v>-1.060360178272101E-2</v>
      </c>
      <c r="G136">
        <f t="shared" ca="1" si="20"/>
        <v>1.5957704312122709E-2</v>
      </c>
      <c r="H136">
        <f t="shared" ca="1" si="18"/>
        <v>1.7514857071471763</v>
      </c>
      <c r="I136">
        <f t="shared" ca="1" si="19"/>
        <v>2.6677331928049295</v>
      </c>
      <c r="J136" s="60">
        <v>131</v>
      </c>
      <c r="O136" s="53">
        <v>42418</v>
      </c>
      <c r="P136">
        <v>697.34997599999997</v>
      </c>
      <c r="Q136" s="54">
        <f t="shared" si="21"/>
        <v>-1.5598599132740939E-2</v>
      </c>
      <c r="R136">
        <f t="shared" ref="R136:R199" ca="1" si="26">((E_1*Q135)+(E_2*Q134)+(S136*T136))</f>
        <v>5.5345951895318754E-2</v>
      </c>
      <c r="S136">
        <f t="shared" ca="1" si="22"/>
        <v>2.5535914034125501E-2</v>
      </c>
      <c r="T136" s="56">
        <f t="shared" ca="1" si="23"/>
        <v>1.9457092145162587</v>
      </c>
    </row>
    <row r="137" spans="2:20" x14ac:dyDescent="0.25">
      <c r="B137" s="53">
        <v>40373</v>
      </c>
      <c r="C137">
        <v>244.75302909999999</v>
      </c>
      <c r="D137" s="54">
        <f t="shared" si="24"/>
        <v>4.3745104276023952E-3</v>
      </c>
      <c r="E137" s="54">
        <f t="shared" ca="1" si="25"/>
        <v>-1.8445402155661553E-2</v>
      </c>
      <c r="F137" s="64">
        <f t="shared" ref="F137:F200" ca="1" si="27">D137-E137</f>
        <v>2.2819912583263949E-2</v>
      </c>
      <c r="G137">
        <f t="shared" ca="1" si="20"/>
        <v>2.9477514747688262E-2</v>
      </c>
      <c r="H137">
        <f t="shared" ref="H137:H200" ca="1" si="28">_xlfn.NORM.INV(RAND(),0,1)</f>
        <v>-0.89757157404897414</v>
      </c>
      <c r="I137">
        <f t="shared" ref="I137:I200" ca="1" si="29">LN(_xlfn.NORM.DIST(F137,AVERAGE($F$8:$F$1413),_xlfn.STDEV.S($F$8:$F$1413),FALSE))</f>
        <v>2.387043981434827</v>
      </c>
      <c r="J137" s="57">
        <v>132</v>
      </c>
      <c r="O137" s="53">
        <v>42419</v>
      </c>
      <c r="P137">
        <v>700.90997300000004</v>
      </c>
      <c r="Q137" s="54">
        <f t="shared" si="21"/>
        <v>5.1050363841986662E-3</v>
      </c>
      <c r="R137">
        <f t="shared" ca="1" si="26"/>
        <v>-8.1601193553116833E-5</v>
      </c>
      <c r="S137">
        <f t="shared" ca="1" si="22"/>
        <v>0.4432870286836853</v>
      </c>
      <c r="T137" s="56">
        <f t="shared" ca="1" si="23"/>
        <v>-2.5695751342281074E-2</v>
      </c>
    </row>
    <row r="138" spans="2:20" x14ac:dyDescent="0.25">
      <c r="B138" s="53">
        <v>40374</v>
      </c>
      <c r="C138">
        <v>246.08802270000001</v>
      </c>
      <c r="D138" s="54">
        <f t="shared" si="24"/>
        <v>5.4544517994691427E-3</v>
      </c>
      <c r="E138" s="54">
        <f t="shared" ca="1" si="25"/>
        <v>3.4902336035387282E-3</v>
      </c>
      <c r="F138" s="64">
        <f t="shared" ca="1" si="27"/>
        <v>1.9642181959304145E-3</v>
      </c>
      <c r="G138">
        <f t="shared" ca="1" si="20"/>
        <v>1.6449196905510985E-2</v>
      </c>
      <c r="H138">
        <f t="shared" ca="1" si="28"/>
        <v>-0.55500175364564885</v>
      </c>
      <c r="I138">
        <f t="shared" ca="1" si="29"/>
        <v>2.7739417375222861</v>
      </c>
      <c r="J138" s="60">
        <v>133</v>
      </c>
      <c r="O138" s="53">
        <v>42422</v>
      </c>
      <c r="P138">
        <v>706.46002199999998</v>
      </c>
      <c r="Q138" s="54">
        <f t="shared" si="21"/>
        <v>7.9183478817470669E-3</v>
      </c>
      <c r="R138">
        <f t="shared" ca="1" si="26"/>
        <v>-1.7092270271955874E-2</v>
      </c>
      <c r="S138">
        <f t="shared" ca="1" si="22"/>
        <v>9.4887598289262656E-3</v>
      </c>
      <c r="T138" s="56">
        <f t="shared" ca="1" si="23"/>
        <v>-1.0630172062579639</v>
      </c>
    </row>
    <row r="139" spans="2:20" x14ac:dyDescent="0.25">
      <c r="B139" s="53">
        <v>40375</v>
      </c>
      <c r="C139">
        <v>228.94724600000001</v>
      </c>
      <c r="D139" s="54">
        <f t="shared" si="24"/>
        <v>-6.9653031106255467E-2</v>
      </c>
      <c r="E139" s="54">
        <f t="shared" ca="1" si="25"/>
        <v>1.1458421034545533E-2</v>
      </c>
      <c r="F139" s="64">
        <f t="shared" ca="1" si="27"/>
        <v>-8.1111452140800996E-2</v>
      </c>
      <c r="G139">
        <f t="shared" ca="1" si="20"/>
        <v>1.0043941109893807E-2</v>
      </c>
      <c r="H139">
        <f t="shared" ca="1" si="28"/>
        <v>0.94521131536951963</v>
      </c>
      <c r="I139">
        <f t="shared" ca="1" si="29"/>
        <v>-2.6602326817658586</v>
      </c>
      <c r="J139" s="57">
        <v>134</v>
      </c>
      <c r="O139" s="53">
        <v>42423</v>
      </c>
      <c r="P139">
        <v>695.84997599999997</v>
      </c>
      <c r="Q139" s="54">
        <f t="shared" si="21"/>
        <v>-1.5018607804533363E-2</v>
      </c>
      <c r="R139">
        <f t="shared" ca="1" si="26"/>
        <v>4.5251258479625737E-2</v>
      </c>
      <c r="S139">
        <f t="shared" ca="1" si="22"/>
        <v>0.24218649180619115</v>
      </c>
      <c r="T139" s="56">
        <f t="shared" ca="1" si="23"/>
        <v>0.17737714276642205</v>
      </c>
    </row>
    <row r="140" spans="2:20" x14ac:dyDescent="0.25">
      <c r="B140" s="53">
        <v>40378</v>
      </c>
      <c r="C140">
        <v>232.2199875</v>
      </c>
      <c r="D140" s="54">
        <f t="shared" si="24"/>
        <v>1.4294740632084279E-2</v>
      </c>
      <c r="E140" s="54">
        <f t="shared" ca="1" si="25"/>
        <v>3.1522527314986178E-2</v>
      </c>
      <c r="F140" s="64">
        <f t="shared" ca="1" si="27"/>
        <v>-1.7227786682901897E-2</v>
      </c>
      <c r="G140">
        <f t="shared" ca="1" si="20"/>
        <v>1.5974028024692884E-2</v>
      </c>
      <c r="H140">
        <f t="shared" ca="1" si="28"/>
        <v>1.8200809518252379</v>
      </c>
      <c r="I140">
        <f t="shared" ca="1" si="29"/>
        <v>2.5090470743434925</v>
      </c>
      <c r="J140" s="60">
        <v>135</v>
      </c>
      <c r="O140" s="53">
        <v>42424</v>
      </c>
      <c r="P140">
        <v>699.55999799999995</v>
      </c>
      <c r="Q140" s="54">
        <f t="shared" si="21"/>
        <v>5.3316406236392265E-3</v>
      </c>
      <c r="R140">
        <f t="shared" ca="1" si="26"/>
        <v>-3.1802131324568959E-2</v>
      </c>
      <c r="S140">
        <f t="shared" ca="1" si="22"/>
        <v>4.0625566536340356E-2</v>
      </c>
      <c r="T140" s="56">
        <f t="shared" ca="1" si="23"/>
        <v>-0.87034259806745706</v>
      </c>
    </row>
    <row r="141" spans="2:20" x14ac:dyDescent="0.25">
      <c r="B141" s="53">
        <v>40379</v>
      </c>
      <c r="C141">
        <v>239.89622460000001</v>
      </c>
      <c r="D141" s="54">
        <f t="shared" si="24"/>
        <v>3.3055884562908304E-2</v>
      </c>
      <c r="E141" s="54">
        <f t="shared" ca="1" si="25"/>
        <v>-5.2744575842477548E-2</v>
      </c>
      <c r="F141" s="64">
        <f t="shared" ca="1" si="27"/>
        <v>8.5800460405385859E-2</v>
      </c>
      <c r="G141">
        <f t="shared" ca="1" si="20"/>
        <v>3.0613853055694515E-2</v>
      </c>
      <c r="H141">
        <f t="shared" ca="1" si="28"/>
        <v>-0.70106336644074052</v>
      </c>
      <c r="I141">
        <f t="shared" ca="1" si="29"/>
        <v>-3.0469406359358118</v>
      </c>
      <c r="J141" s="57">
        <v>136</v>
      </c>
      <c r="O141" s="53">
        <v>42425</v>
      </c>
      <c r="P141">
        <v>705.75</v>
      </c>
      <c r="Q141" s="54">
        <f t="shared" si="21"/>
        <v>8.8484218904695718E-3</v>
      </c>
      <c r="R141">
        <f t="shared" ca="1" si="26"/>
        <v>-0.117659953693788</v>
      </c>
      <c r="S141">
        <f t="shared" ca="1" si="22"/>
        <v>0.19829152879153739</v>
      </c>
      <c r="T141" s="56">
        <f t="shared" ca="1" si="23"/>
        <v>-0.55935262937833463</v>
      </c>
    </row>
    <row r="142" spans="2:20" x14ac:dyDescent="0.25">
      <c r="B142" s="53">
        <v>40380</v>
      </c>
      <c r="C142">
        <v>237.85885210000001</v>
      </c>
      <c r="D142" s="54">
        <f t="shared" si="24"/>
        <v>-8.4927243160958163E-3</v>
      </c>
      <c r="E142" s="54">
        <f t="shared" ca="1" si="25"/>
        <v>7.3669916419066318E-4</v>
      </c>
      <c r="F142" s="64">
        <f t="shared" ca="1" si="27"/>
        <v>-9.2294234802864795E-3</v>
      </c>
      <c r="G142">
        <f t="shared" ca="1" si="20"/>
        <v>1.3660045735702874E-2</v>
      </c>
      <c r="H142">
        <f t="shared" ca="1" si="28"/>
        <v>-0.41609852060127267</v>
      </c>
      <c r="I142">
        <f t="shared" ca="1" si="29"/>
        <v>2.6917729213834432</v>
      </c>
      <c r="J142" s="60">
        <v>137</v>
      </c>
      <c r="O142" s="53">
        <v>42426</v>
      </c>
      <c r="P142">
        <v>705.07000700000003</v>
      </c>
      <c r="Q142" s="54">
        <f t="shared" si="21"/>
        <v>-9.6350407368043589E-4</v>
      </c>
      <c r="R142">
        <f t="shared" ca="1" si="26"/>
        <v>-3.114795042207142E-2</v>
      </c>
      <c r="S142">
        <f t="shared" ca="1" si="22"/>
        <v>0.12748276377574508</v>
      </c>
      <c r="T142" s="56">
        <f t="shared" ca="1" si="23"/>
        <v>-0.2631151734233827</v>
      </c>
    </row>
    <row r="143" spans="2:20" x14ac:dyDescent="0.25">
      <c r="B143" s="53">
        <v>40381</v>
      </c>
      <c r="C143">
        <v>241.5002159</v>
      </c>
      <c r="D143" s="54">
        <f t="shared" si="24"/>
        <v>1.5308926986955695E-2</v>
      </c>
      <c r="E143" s="54">
        <f t="shared" ca="1" si="25"/>
        <v>1.5983928562602438E-2</v>
      </c>
      <c r="F143" s="64">
        <f t="shared" ca="1" si="27"/>
        <v>-6.7500157564674354E-4</v>
      </c>
      <c r="G143">
        <f t="shared" ca="1" si="20"/>
        <v>7.6772737222394125E-3</v>
      </c>
      <c r="H143">
        <f t="shared" ca="1" si="28"/>
        <v>0.14823167047580468</v>
      </c>
      <c r="I143">
        <f t="shared" ca="1" si="29"/>
        <v>2.7728074871960078</v>
      </c>
      <c r="J143" s="57">
        <v>138</v>
      </c>
      <c r="O143" s="53">
        <v>42429</v>
      </c>
      <c r="P143">
        <v>697.77002000000005</v>
      </c>
      <c r="Q143" s="54">
        <f t="shared" si="21"/>
        <v>-1.0353563373175775E-2</v>
      </c>
      <c r="R143">
        <f t="shared" ca="1" si="26"/>
        <v>1.8802122262202299E-2</v>
      </c>
      <c r="S143">
        <f t="shared" ca="1" si="22"/>
        <v>5.999105509818986E-2</v>
      </c>
      <c r="T143" s="56">
        <f t="shared" ca="1" si="23"/>
        <v>0.24717243848839315</v>
      </c>
    </row>
    <row r="144" spans="2:20" x14ac:dyDescent="0.25">
      <c r="B144" s="53">
        <v>40382</v>
      </c>
      <c r="C144">
        <v>244.115409</v>
      </c>
      <c r="D144" s="54">
        <f t="shared" si="24"/>
        <v>1.0828947254783797E-2</v>
      </c>
      <c r="E144" s="54">
        <f t="shared" ca="1" si="25"/>
        <v>-7.2136776851718289E-3</v>
      </c>
      <c r="F144" s="64">
        <f t="shared" ca="1" si="27"/>
        <v>1.8042624939955627E-2</v>
      </c>
      <c r="G144">
        <f t="shared" ca="1" si="20"/>
        <v>3.1935083088319828E-3</v>
      </c>
      <c r="H144">
        <f t="shared" ca="1" si="28"/>
        <v>-1.0645624174038313</v>
      </c>
      <c r="I144">
        <f t="shared" ca="1" si="29"/>
        <v>2.5377221162671098</v>
      </c>
      <c r="J144" s="60">
        <v>139</v>
      </c>
      <c r="O144" s="53">
        <v>42430</v>
      </c>
      <c r="P144">
        <v>718.80999799999995</v>
      </c>
      <c r="Q144" s="54">
        <f t="shared" si="21"/>
        <v>3.0153169951325658E-2</v>
      </c>
      <c r="R144">
        <f t="shared" ca="1" si="26"/>
        <v>7.3160173218837343E-3</v>
      </c>
      <c r="S144">
        <f t="shared" ca="1" si="22"/>
        <v>5.6330562779144437E-2</v>
      </c>
      <c r="T144" s="56">
        <f t="shared" ca="1" si="23"/>
        <v>0.13756164228375442</v>
      </c>
    </row>
    <row r="145" spans="2:20" x14ac:dyDescent="0.25">
      <c r="B145" s="53">
        <v>40385</v>
      </c>
      <c r="C145">
        <v>243.57245459999999</v>
      </c>
      <c r="D145" s="54">
        <f t="shared" si="24"/>
        <v>-2.2241709453089606E-3</v>
      </c>
      <c r="E145" s="54">
        <f t="shared" ca="1" si="25"/>
        <v>2.4502606970886832E-2</v>
      </c>
      <c r="F145" s="64">
        <f t="shared" ca="1" si="27"/>
        <v>-2.6726777916195793E-2</v>
      </c>
      <c r="G145">
        <f t="shared" ca="1" si="20"/>
        <v>1.7812698317744673E-2</v>
      </c>
      <c r="H145">
        <f t="shared" ca="1" si="28"/>
        <v>0.98956790897973856</v>
      </c>
      <c r="I145">
        <f t="shared" ca="1" si="29"/>
        <v>2.1577641578209912</v>
      </c>
      <c r="J145" s="57">
        <v>140</v>
      </c>
      <c r="O145" s="53">
        <v>42431</v>
      </c>
      <c r="P145">
        <v>718.84997599999997</v>
      </c>
      <c r="Q145" s="54">
        <f t="shared" si="21"/>
        <v>5.561692256820719E-5</v>
      </c>
      <c r="R145">
        <f t="shared" ca="1" si="26"/>
        <v>3.8662207909971456E-2</v>
      </c>
      <c r="S145">
        <f t="shared" ca="1" si="22"/>
        <v>3.1370618614373999E-2</v>
      </c>
      <c r="T145" s="56">
        <f t="shared" ca="1" si="23"/>
        <v>1.3806447834061262</v>
      </c>
    </row>
    <row r="146" spans="2:20" x14ac:dyDescent="0.25">
      <c r="B146" s="53">
        <v>40386</v>
      </c>
      <c r="C146">
        <v>245.3956235</v>
      </c>
      <c r="D146" s="54">
        <f t="shared" si="24"/>
        <v>7.4851193785194677E-3</v>
      </c>
      <c r="E146" s="54">
        <f t="shared" ca="1" si="25"/>
        <v>-1.3601758177547709E-2</v>
      </c>
      <c r="F146" s="64">
        <f t="shared" ca="1" si="27"/>
        <v>2.1086877556067175E-2</v>
      </c>
      <c r="G146">
        <f t="shared" ca="1" si="20"/>
        <v>1.7038566189274917E-2</v>
      </c>
      <c r="H146">
        <f t="shared" ca="1" si="28"/>
        <v>-1.0837306813663259</v>
      </c>
      <c r="I146">
        <f t="shared" ca="1" si="29"/>
        <v>2.4459669895195915</v>
      </c>
      <c r="J146" s="60">
        <v>141</v>
      </c>
      <c r="O146" s="53">
        <v>42432</v>
      </c>
      <c r="P146">
        <v>712.419983</v>
      </c>
      <c r="Q146" s="54">
        <f t="shared" si="21"/>
        <v>-8.9448330175641091E-3</v>
      </c>
      <c r="R146">
        <f t="shared" ca="1" si="26"/>
        <v>2.4554254112218975E-2</v>
      </c>
      <c r="S146">
        <f t="shared" ca="1" si="22"/>
        <v>0.31455062581482174</v>
      </c>
      <c r="T146" s="56">
        <f t="shared" ca="1" si="23"/>
        <v>3.5008229854169799E-2</v>
      </c>
    </row>
    <row r="147" spans="2:20" x14ac:dyDescent="0.25">
      <c r="B147" s="53">
        <v>40387</v>
      </c>
      <c r="C147">
        <v>241.27107430000001</v>
      </c>
      <c r="D147" s="54">
        <f t="shared" si="24"/>
        <v>-1.6807753704702846E-2</v>
      </c>
      <c r="E147" s="54">
        <f t="shared" ca="1" si="25"/>
        <v>-1.7965047954785537E-2</v>
      </c>
      <c r="F147" s="64">
        <f t="shared" ca="1" si="27"/>
        <v>1.1572942500826904E-3</v>
      </c>
      <c r="G147">
        <f t="shared" ca="1" si="20"/>
        <v>1.8528477416039475E-2</v>
      </c>
      <c r="H147">
        <f t="shared" ca="1" si="28"/>
        <v>-0.91568545274075164</v>
      </c>
      <c r="I147">
        <f t="shared" ca="1" si="29"/>
        <v>2.7747894097178696</v>
      </c>
      <c r="J147" s="57">
        <v>142</v>
      </c>
      <c r="O147" s="53">
        <v>42433</v>
      </c>
      <c r="P147">
        <v>710.89001499999995</v>
      </c>
      <c r="Q147" s="54">
        <f t="shared" si="21"/>
        <v>-2.1475646900826102E-3</v>
      </c>
      <c r="R147">
        <f t="shared" ca="1" si="26"/>
        <v>5.5380511895669858E-3</v>
      </c>
      <c r="S147">
        <f t="shared" ca="1" si="22"/>
        <v>9.6019484944445121E-3</v>
      </c>
      <c r="T147" s="56">
        <f t="shared" ca="1" si="23"/>
        <v>0.57417790456378726</v>
      </c>
    </row>
    <row r="148" spans="2:20" x14ac:dyDescent="0.25">
      <c r="B148" s="53">
        <v>40388</v>
      </c>
      <c r="C148">
        <v>241.58987629999999</v>
      </c>
      <c r="D148" s="54">
        <f t="shared" si="24"/>
        <v>1.321343641897054E-3</v>
      </c>
      <c r="E148" s="54">
        <f t="shared" ca="1" si="25"/>
        <v>-1.3552292683491174E-2</v>
      </c>
      <c r="F148" s="64">
        <f t="shared" ca="1" si="27"/>
        <v>1.4873636325388228E-2</v>
      </c>
      <c r="G148">
        <f t="shared" ca="1" si="20"/>
        <v>1.5888505183698928E-2</v>
      </c>
      <c r="H148">
        <f t="shared" ca="1" si="28"/>
        <v>-1.0645255711412098</v>
      </c>
      <c r="I148">
        <f t="shared" ca="1" si="29"/>
        <v>2.6173300373663309</v>
      </c>
      <c r="J148" s="60">
        <v>143</v>
      </c>
      <c r="O148" s="53">
        <v>42436</v>
      </c>
      <c r="P148">
        <v>695.15997300000004</v>
      </c>
      <c r="Q148" s="54">
        <f t="shared" si="21"/>
        <v>-2.2127251287950518E-2</v>
      </c>
      <c r="R148">
        <f t="shared" ca="1" si="26"/>
        <v>-6.6851123894906703E-2</v>
      </c>
      <c r="S148">
        <f t="shared" ca="1" si="22"/>
        <v>0.13081738837681164</v>
      </c>
      <c r="T148" s="56">
        <f t="shared" ca="1" si="23"/>
        <v>-0.48031675303872695</v>
      </c>
    </row>
    <row r="149" spans="2:20" x14ac:dyDescent="0.25">
      <c r="B149" s="53">
        <v>40389</v>
      </c>
      <c r="C149">
        <v>241.52014370000001</v>
      </c>
      <c r="D149" s="54">
        <f t="shared" si="24"/>
        <v>-2.8864040607971657E-4</v>
      </c>
      <c r="E149" s="54">
        <f t="shared" ca="1" si="25"/>
        <v>-2.8030251076412889E-2</v>
      </c>
      <c r="F149" s="64">
        <f t="shared" ca="1" si="27"/>
        <v>2.7741610670333171E-2</v>
      </c>
      <c r="G149">
        <f t="shared" ca="1" si="20"/>
        <v>1.8161613809199974E-2</v>
      </c>
      <c r="H149">
        <f t="shared" ca="1" si="28"/>
        <v>-1.1277398166251291</v>
      </c>
      <c r="I149">
        <f t="shared" ca="1" si="29"/>
        <v>2.1932467773201498</v>
      </c>
      <c r="J149" s="57">
        <v>144</v>
      </c>
      <c r="O149" s="53">
        <v>42437</v>
      </c>
      <c r="P149">
        <v>693.96997099999999</v>
      </c>
      <c r="Q149" s="54">
        <f t="shared" si="21"/>
        <v>-1.7118390675811385E-3</v>
      </c>
      <c r="R149">
        <f t="shared" ca="1" si="26"/>
        <v>7.3198895216355531E-2</v>
      </c>
      <c r="S149">
        <f t="shared" ca="1" si="22"/>
        <v>0.1094556995320982</v>
      </c>
      <c r="T149" s="56">
        <f t="shared" ca="1" si="23"/>
        <v>0.67756901812664927</v>
      </c>
    </row>
    <row r="150" spans="2:20" x14ac:dyDescent="0.25">
      <c r="B150" s="53">
        <v>40392</v>
      </c>
      <c r="C150">
        <v>244.28975600000001</v>
      </c>
      <c r="D150" s="54">
        <f t="shared" si="24"/>
        <v>1.1467417406973022E-2</v>
      </c>
      <c r="E150" s="54">
        <f t="shared" ca="1" si="25"/>
        <v>-2.4647924449322862E-2</v>
      </c>
      <c r="F150" s="64">
        <f t="shared" ca="1" si="27"/>
        <v>3.6115341856295884E-2</v>
      </c>
      <c r="G150">
        <f t="shared" ca="1" si="20"/>
        <v>1.9299532231230515E-2</v>
      </c>
      <c r="H150">
        <f t="shared" ca="1" si="28"/>
        <v>-1.3078742565664898</v>
      </c>
      <c r="I150">
        <f t="shared" ca="1" si="29"/>
        <v>1.7735794275246712</v>
      </c>
      <c r="J150" s="60">
        <v>145</v>
      </c>
      <c r="O150" s="53">
        <v>42438</v>
      </c>
      <c r="P150">
        <v>705.23999000000003</v>
      </c>
      <c r="Q150" s="54">
        <f t="shared" si="21"/>
        <v>1.6239923153677852E-2</v>
      </c>
      <c r="R150">
        <f t="shared" ca="1" si="26"/>
        <v>0.13133585221030303</v>
      </c>
      <c r="S150">
        <f t="shared" ca="1" si="22"/>
        <v>0.15438282583880686</v>
      </c>
      <c r="T150" s="56">
        <f t="shared" ca="1" si="23"/>
        <v>0.91508671816434239</v>
      </c>
    </row>
    <row r="151" spans="2:20" x14ac:dyDescent="0.25">
      <c r="B151" s="53">
        <v>40393</v>
      </c>
      <c r="C151">
        <v>244.0008454</v>
      </c>
      <c r="D151" s="54">
        <f t="shared" si="24"/>
        <v>-1.1826554036920333E-3</v>
      </c>
      <c r="E151" s="54">
        <f t="shared" ca="1" si="25"/>
        <v>-3.4743996784569928E-3</v>
      </c>
      <c r="F151" s="64">
        <f t="shared" ca="1" si="27"/>
        <v>2.2917442747649596E-3</v>
      </c>
      <c r="G151">
        <f t="shared" ca="1" si="20"/>
        <v>2.2291720837029436E-2</v>
      </c>
      <c r="H151">
        <f t="shared" ca="1" si="28"/>
        <v>-0.15005405544850961</v>
      </c>
      <c r="I151">
        <f t="shared" ca="1" si="29"/>
        <v>2.7732974964143673</v>
      </c>
      <c r="J151" s="57">
        <v>146</v>
      </c>
      <c r="O151" s="53">
        <v>42439</v>
      </c>
      <c r="P151">
        <v>712.82000700000003</v>
      </c>
      <c r="Q151" s="54">
        <f t="shared" si="21"/>
        <v>1.0748138374853073E-2</v>
      </c>
      <c r="R151">
        <f t="shared" ca="1" si="26"/>
        <v>2.4876196064428112E-2</v>
      </c>
      <c r="S151">
        <f t="shared" ca="1" si="22"/>
        <v>0.20850010070411279</v>
      </c>
      <c r="T151" s="56">
        <f t="shared" ca="1" si="23"/>
        <v>0.12299628306249491</v>
      </c>
    </row>
    <row r="152" spans="2:20" x14ac:dyDescent="0.25">
      <c r="B152" s="53">
        <v>40394</v>
      </c>
      <c r="C152">
        <v>252.21506249999999</v>
      </c>
      <c r="D152" s="54">
        <f t="shared" si="24"/>
        <v>3.3664707540394384E-2</v>
      </c>
      <c r="E152" s="54">
        <f t="shared" ca="1" si="25"/>
        <v>2.3110832819893232E-3</v>
      </c>
      <c r="F152" s="64">
        <f t="shared" ca="1" si="27"/>
        <v>3.1353624258405058E-2</v>
      </c>
      <c r="G152">
        <f t="shared" ca="1" si="20"/>
        <v>5.7518200066469368E-3</v>
      </c>
      <c r="H152">
        <f t="shared" ca="1" si="28"/>
        <v>-0.49360779106358044</v>
      </c>
      <c r="I152">
        <f t="shared" ca="1" si="29"/>
        <v>2.0261179853051696</v>
      </c>
      <c r="J152" s="60">
        <v>147</v>
      </c>
      <c r="O152" s="53">
        <v>42440</v>
      </c>
      <c r="P152">
        <v>726.82000700000003</v>
      </c>
      <c r="Q152" s="54">
        <f t="shared" si="21"/>
        <v>1.9640301706627041E-2</v>
      </c>
      <c r="R152">
        <f t="shared" ca="1" si="26"/>
        <v>-1.4991918361639139E-2</v>
      </c>
      <c r="S152">
        <f t="shared" ca="1" si="22"/>
        <v>2.8255205972369791E-2</v>
      </c>
      <c r="T152" s="56">
        <f t="shared" ca="1" si="23"/>
        <v>-0.78873176004975865</v>
      </c>
    </row>
    <row r="153" spans="2:20" x14ac:dyDescent="0.25">
      <c r="B153" s="53">
        <v>40395</v>
      </c>
      <c r="C153">
        <v>253.1017525</v>
      </c>
      <c r="D153" s="54">
        <f t="shared" si="24"/>
        <v>3.515610809326726E-3</v>
      </c>
      <c r="E153" s="54">
        <f t="shared" ca="1" si="25"/>
        <v>-1.1987691733366015E-2</v>
      </c>
      <c r="F153" s="64">
        <f t="shared" ca="1" si="27"/>
        <v>1.5503302542692741E-2</v>
      </c>
      <c r="G153">
        <f t="shared" ca="1" si="20"/>
        <v>8.4034082593176518E-3</v>
      </c>
      <c r="H153">
        <f t="shared" ca="1" si="28"/>
        <v>-1.3633893904940619</v>
      </c>
      <c r="I153">
        <f t="shared" ca="1" si="29"/>
        <v>2.6028039719538372</v>
      </c>
      <c r="J153" s="57">
        <v>148</v>
      </c>
      <c r="O153" s="53">
        <v>42443</v>
      </c>
      <c r="P153">
        <v>730.48999000000003</v>
      </c>
      <c r="Q153" s="54">
        <f t="shared" si="21"/>
        <v>5.0493698091059868E-3</v>
      </c>
      <c r="R153">
        <f t="shared" ca="1" si="26"/>
        <v>7.0775608467490592E-2</v>
      </c>
      <c r="S153">
        <f t="shared" ca="1" si="22"/>
        <v>0.17969807681642541</v>
      </c>
      <c r="T153" s="56">
        <f t="shared" ca="1" si="23"/>
        <v>0.36699372054066765</v>
      </c>
    </row>
    <row r="154" spans="2:20" x14ac:dyDescent="0.25">
      <c r="B154" s="53">
        <v>40396</v>
      </c>
      <c r="C154">
        <v>249.17645250000001</v>
      </c>
      <c r="D154" s="54">
        <f t="shared" si="24"/>
        <v>-1.5508782381899915E-2</v>
      </c>
      <c r="E154" s="54">
        <f t="shared" ca="1" si="25"/>
        <v>3.8974409927625599E-3</v>
      </c>
      <c r="F154" s="64">
        <f t="shared" ca="1" si="27"/>
        <v>-1.9406223374662475E-2</v>
      </c>
      <c r="G154">
        <f t="shared" ca="1" si="20"/>
        <v>2.2859777284506069E-2</v>
      </c>
      <c r="H154">
        <f t="shared" ca="1" si="28"/>
        <v>-0.49091090695607914</v>
      </c>
      <c r="I154">
        <f t="shared" ca="1" si="29"/>
        <v>2.4413696148209199</v>
      </c>
      <c r="J154" s="60">
        <v>149</v>
      </c>
      <c r="O154" s="53">
        <v>42444</v>
      </c>
      <c r="P154">
        <v>728.330017</v>
      </c>
      <c r="Q154" s="54">
        <f t="shared" si="21"/>
        <v>-2.9568824071087357E-3</v>
      </c>
      <c r="R154">
        <f t="shared" ca="1" si="26"/>
        <v>-7.6807748683597743E-3</v>
      </c>
      <c r="S154">
        <f t="shared" ca="1" si="22"/>
        <v>8.3671051654667622E-2</v>
      </c>
      <c r="T154" s="56">
        <f t="shared" ca="1" si="23"/>
        <v>-0.19722131394530779</v>
      </c>
    </row>
    <row r="155" spans="2:20" x14ac:dyDescent="0.25">
      <c r="B155" s="53">
        <v>40399</v>
      </c>
      <c r="C155">
        <v>251.73187709999999</v>
      </c>
      <c r="D155" s="54">
        <f t="shared" si="24"/>
        <v>1.025548190593965E-2</v>
      </c>
      <c r="E155" s="54">
        <f t="shared" ca="1" si="25"/>
        <v>2.1170964413166947E-4</v>
      </c>
      <c r="F155" s="64">
        <f t="shared" ca="1" si="27"/>
        <v>1.0043772261807981E-2</v>
      </c>
      <c r="G155">
        <f t="shared" ca="1" si="20"/>
        <v>9.7613745577228156E-3</v>
      </c>
      <c r="H155">
        <f t="shared" ca="1" si="28"/>
        <v>-0.14003707204015498</v>
      </c>
      <c r="I155">
        <f t="shared" ca="1" si="29"/>
        <v>2.707449758615208</v>
      </c>
      <c r="J155" s="57">
        <v>150</v>
      </c>
      <c r="O155" s="53">
        <v>42445</v>
      </c>
      <c r="P155">
        <v>736.09002699999996</v>
      </c>
      <c r="Q155" s="54">
        <f t="shared" si="21"/>
        <v>1.0654524485978952E-2</v>
      </c>
      <c r="R155">
        <f t="shared" ca="1" si="26"/>
        <v>1.6291886208879006E-2</v>
      </c>
      <c r="S155">
        <f t="shared" ca="1" si="22"/>
        <v>4.4965413533044285E-2</v>
      </c>
      <c r="T155" s="56">
        <f t="shared" ca="1" si="23"/>
        <v>0.31188780336545591</v>
      </c>
    </row>
    <row r="156" spans="2:20" x14ac:dyDescent="0.25">
      <c r="B156" s="53">
        <v>40400</v>
      </c>
      <c r="C156">
        <v>250.9149352</v>
      </c>
      <c r="D156" s="54">
        <f t="shared" si="24"/>
        <v>-3.2452858549791869E-3</v>
      </c>
      <c r="E156" s="54">
        <f t="shared" ca="1" si="25"/>
        <v>-1.7149896347050291E-3</v>
      </c>
      <c r="F156" s="64">
        <f t="shared" ca="1" si="27"/>
        <v>-1.5302962202741579E-3</v>
      </c>
      <c r="G156">
        <f t="shared" ca="1" si="20"/>
        <v>3.380353962650962E-3</v>
      </c>
      <c r="H156">
        <f t="shared" ca="1" si="28"/>
        <v>1.5531327397384713</v>
      </c>
      <c r="I156">
        <f t="shared" ca="1" si="29"/>
        <v>2.7700253015827063</v>
      </c>
      <c r="J156" s="60">
        <v>151</v>
      </c>
      <c r="O156" s="53">
        <v>42446</v>
      </c>
      <c r="P156">
        <v>737.78002900000001</v>
      </c>
      <c r="Q156" s="54">
        <f t="shared" si="21"/>
        <v>2.2959175345545735E-3</v>
      </c>
      <c r="R156">
        <f t="shared" ca="1" si="26"/>
        <v>-8.3731055711823835E-2</v>
      </c>
      <c r="S156">
        <f t="shared" ca="1" si="22"/>
        <v>7.1067678116688127E-2</v>
      </c>
      <c r="T156" s="56">
        <f t="shared" ca="1" si="23"/>
        <v>-1.159503819449101</v>
      </c>
    </row>
    <row r="157" spans="2:20" x14ac:dyDescent="0.25">
      <c r="B157" s="53">
        <v>40401</v>
      </c>
      <c r="C157">
        <v>244.95227869999999</v>
      </c>
      <c r="D157" s="54">
        <f t="shared" si="24"/>
        <v>-2.37636571742821E-2</v>
      </c>
      <c r="E157" s="54">
        <f t="shared" ca="1" si="25"/>
        <v>-2.1507239073415462E-2</v>
      </c>
      <c r="F157" s="64">
        <f t="shared" ca="1" si="27"/>
        <v>-2.2564181008666376E-3</v>
      </c>
      <c r="G157">
        <f t="shared" ca="1" si="20"/>
        <v>2.5955281582890625E-2</v>
      </c>
      <c r="H157">
        <f t="shared" ca="1" si="28"/>
        <v>-1.0060813783573597</v>
      </c>
      <c r="I157">
        <f t="shared" ca="1" si="29"/>
        <v>2.7667356181969529</v>
      </c>
      <c r="J157" s="57">
        <v>152</v>
      </c>
      <c r="O157" s="53">
        <v>42447</v>
      </c>
      <c r="P157">
        <v>737.59997599999997</v>
      </c>
      <c r="Q157" s="54">
        <f t="shared" si="21"/>
        <v>-2.4404699628978915E-4</v>
      </c>
      <c r="R157">
        <f t="shared" ca="1" si="26"/>
        <v>0.1501351358124966</v>
      </c>
      <c r="S157">
        <f t="shared" ca="1" si="22"/>
        <v>0.26417121309996094</v>
      </c>
      <c r="T157" s="56">
        <f t="shared" ca="1" si="23"/>
        <v>0.55021110816978769</v>
      </c>
    </row>
    <row r="158" spans="2:20" x14ac:dyDescent="0.25">
      <c r="B158" s="53">
        <v>40402</v>
      </c>
      <c r="C158">
        <v>245.0867696</v>
      </c>
      <c r="D158" s="54">
        <f t="shared" si="24"/>
        <v>5.490493932686284E-4</v>
      </c>
      <c r="E158" s="54">
        <f t="shared" ca="1" si="25"/>
        <v>-9.4592065084111619E-4</v>
      </c>
      <c r="F158" s="64">
        <f t="shared" ca="1" si="27"/>
        <v>1.4949700441097445E-3</v>
      </c>
      <c r="G158">
        <f t="shared" ca="1" si="20"/>
        <v>1.7832345611705734E-2</v>
      </c>
      <c r="H158">
        <f t="shared" ca="1" si="28"/>
        <v>2.8712529802700212E-2</v>
      </c>
      <c r="I158">
        <f t="shared" ca="1" si="29"/>
        <v>2.77456269266438</v>
      </c>
      <c r="J158" s="60">
        <v>153</v>
      </c>
      <c r="O158" s="53">
        <v>42450</v>
      </c>
      <c r="P158">
        <v>742.09002699999996</v>
      </c>
      <c r="Q158" s="54">
        <f t="shared" si="21"/>
        <v>6.0873795364657039E-3</v>
      </c>
      <c r="R158">
        <f t="shared" ca="1" si="26"/>
        <v>-5.2557051712096001E-2</v>
      </c>
      <c r="S158">
        <f t="shared" ca="1" si="22"/>
        <v>0.12543469597399445</v>
      </c>
      <c r="T158" s="56">
        <f t="shared" ca="1" si="23"/>
        <v>-0.4272198345003218</v>
      </c>
    </row>
    <row r="159" spans="2:20" x14ac:dyDescent="0.25">
      <c r="B159" s="53">
        <v>40403</v>
      </c>
      <c r="C159">
        <v>242.2673375</v>
      </c>
      <c r="D159" s="54">
        <f t="shared" si="24"/>
        <v>-1.1503811913639913E-2</v>
      </c>
      <c r="E159" s="54">
        <f t="shared" ca="1" si="25"/>
        <v>-1.5973002966120468E-2</v>
      </c>
      <c r="F159" s="64">
        <f t="shared" ca="1" si="27"/>
        <v>4.4691910524805555E-3</v>
      </c>
      <c r="G159">
        <f t="shared" ca="1" si="20"/>
        <v>4.2133813277390342E-3</v>
      </c>
      <c r="H159">
        <f t="shared" ca="1" si="28"/>
        <v>-1.2579630541865647</v>
      </c>
      <c r="I159">
        <f t="shared" ca="1" si="29"/>
        <v>2.7646079679993991</v>
      </c>
      <c r="J159" s="57">
        <v>154</v>
      </c>
      <c r="O159" s="53">
        <v>42451</v>
      </c>
      <c r="P159">
        <v>740.75</v>
      </c>
      <c r="Q159" s="54">
        <f t="shared" si="21"/>
        <v>-1.8057472156272E-3</v>
      </c>
      <c r="R159">
        <f t="shared" ca="1" si="26"/>
        <v>-3.3599004279600592E-3</v>
      </c>
      <c r="S159">
        <f t="shared" ca="1" si="22"/>
        <v>9.7360082409769677E-2</v>
      </c>
      <c r="T159" s="56">
        <f t="shared" ca="1" si="23"/>
        <v>-3.3385334731684507E-2</v>
      </c>
    </row>
    <row r="160" spans="2:20" x14ac:dyDescent="0.25">
      <c r="B160" s="53">
        <v>40406</v>
      </c>
      <c r="C160">
        <v>241.88875110000001</v>
      </c>
      <c r="D160" s="54">
        <f t="shared" si="24"/>
        <v>-1.5626803179771974E-3</v>
      </c>
      <c r="E160" s="54">
        <f t="shared" ca="1" si="25"/>
        <v>4.3114397283124058E-2</v>
      </c>
      <c r="F160" s="64">
        <f t="shared" ca="1" si="27"/>
        <v>-4.4677077601101255E-2</v>
      </c>
      <c r="G160">
        <f t="shared" ca="1" si="20"/>
        <v>2.1043508353506091E-2</v>
      </c>
      <c r="H160">
        <f t="shared" ca="1" si="28"/>
        <v>2.0371130960932549</v>
      </c>
      <c r="I160">
        <f t="shared" ca="1" si="29"/>
        <v>1.0958842896971399</v>
      </c>
      <c r="J160" s="60">
        <v>155</v>
      </c>
      <c r="O160" s="53">
        <v>42452</v>
      </c>
      <c r="P160">
        <v>738.05999799999995</v>
      </c>
      <c r="Q160" s="54">
        <f t="shared" si="21"/>
        <v>-3.6314573067837319E-3</v>
      </c>
      <c r="R160">
        <f t="shared" ca="1" si="26"/>
        <v>2.0119984166522779E-3</v>
      </c>
      <c r="S160">
        <f t="shared" ca="1" si="22"/>
        <v>7.8428914784462386E-3</v>
      </c>
      <c r="T160" s="56">
        <f t="shared" ca="1" si="23"/>
        <v>-9.2049537628362016E-2</v>
      </c>
    </row>
    <row r="161" spans="2:20" x14ac:dyDescent="0.25">
      <c r="B161" s="53">
        <v>40407</v>
      </c>
      <c r="C161">
        <v>244.34455059999999</v>
      </c>
      <c r="D161" s="54">
        <f t="shared" si="24"/>
        <v>1.0152599030885581E-2</v>
      </c>
      <c r="E161" s="54">
        <f t="shared" ca="1" si="25"/>
        <v>1.0734412716086866E-2</v>
      </c>
      <c r="F161" s="64">
        <f t="shared" ca="1" si="27"/>
        <v>-5.8181368520128507E-4</v>
      </c>
      <c r="G161">
        <f t="shared" ca="1" si="20"/>
        <v>3.4353773392360155E-2</v>
      </c>
      <c r="H161">
        <f t="shared" ca="1" si="28"/>
        <v>0.46286129322920649</v>
      </c>
      <c r="I161">
        <f t="shared" ca="1" si="29"/>
        <v>2.773039212134349</v>
      </c>
      <c r="J161" s="57">
        <v>156</v>
      </c>
      <c r="O161" s="53">
        <v>42453</v>
      </c>
      <c r="P161">
        <v>735.29998799999998</v>
      </c>
      <c r="Q161" s="54">
        <f t="shared" si="21"/>
        <v>-3.7395469304379856E-3</v>
      </c>
      <c r="R161">
        <f t="shared" ca="1" si="26"/>
        <v>6.346717109727419E-3</v>
      </c>
      <c r="S161">
        <f t="shared" ca="1" si="22"/>
        <v>2.09960486041075E-2</v>
      </c>
      <c r="T161" s="56">
        <f t="shared" ca="1" si="23"/>
        <v>0.34091066695714434</v>
      </c>
    </row>
    <row r="162" spans="2:20" x14ac:dyDescent="0.25">
      <c r="B162" s="53">
        <v>40408</v>
      </c>
      <c r="C162">
        <v>240.17517050000001</v>
      </c>
      <c r="D162" s="54">
        <f t="shared" si="24"/>
        <v>-1.7063528078534458E-2</v>
      </c>
      <c r="E162" s="54">
        <f t="shared" ca="1" si="25"/>
        <v>-8.7865982301463664E-4</v>
      </c>
      <c r="F162" s="64">
        <f t="shared" ca="1" si="27"/>
        <v>-1.6184868255519822E-2</v>
      </c>
      <c r="G162">
        <f t="shared" ca="1" si="20"/>
        <v>1.1043748403019381E-2</v>
      </c>
      <c r="H162">
        <f t="shared" ca="1" si="28"/>
        <v>-1.602750735865173E-2</v>
      </c>
      <c r="I162">
        <f t="shared" ca="1" si="29"/>
        <v>2.5387332606379527</v>
      </c>
      <c r="J162" s="60">
        <v>157</v>
      </c>
      <c r="O162" s="53">
        <v>42457</v>
      </c>
      <c r="P162">
        <v>733.53002900000001</v>
      </c>
      <c r="Q162" s="54">
        <f t="shared" si="21"/>
        <v>-2.4071250222840635E-3</v>
      </c>
      <c r="R162">
        <f t="shared" ca="1" si="26"/>
        <v>-2.4690867767429004E-2</v>
      </c>
      <c r="S162">
        <f t="shared" ca="1" si="22"/>
        <v>7.767609661210699E-2</v>
      </c>
      <c r="T162" s="56">
        <f t="shared" ca="1" si="23"/>
        <v>-0.29687180637431693</v>
      </c>
    </row>
    <row r="163" spans="2:20" x14ac:dyDescent="0.25">
      <c r="B163" s="53">
        <v>40409</v>
      </c>
      <c r="C163">
        <v>233.11163640000001</v>
      </c>
      <c r="D163" s="54">
        <f t="shared" si="24"/>
        <v>-2.9409926451993498E-2</v>
      </c>
      <c r="E163" s="54">
        <f t="shared" ca="1" si="25"/>
        <v>7.9461366752313096E-3</v>
      </c>
      <c r="F163" s="64">
        <f t="shared" ca="1" si="27"/>
        <v>-3.7356063127224809E-2</v>
      </c>
      <c r="G163">
        <f t="shared" ca="1" si="20"/>
        <v>2.7238882118121627E-3</v>
      </c>
      <c r="H163">
        <f t="shared" ca="1" si="28"/>
        <v>1.2433311908586415</v>
      </c>
      <c r="I163">
        <f t="shared" ca="1" si="29"/>
        <v>1.5918376033553523</v>
      </c>
      <c r="J163" s="57">
        <v>158</v>
      </c>
      <c r="O163" s="53">
        <v>42458</v>
      </c>
      <c r="P163">
        <v>744.77002000000005</v>
      </c>
      <c r="Q163" s="54">
        <f t="shared" si="21"/>
        <v>1.5323150458234385E-2</v>
      </c>
      <c r="R163">
        <f t="shared" ca="1" si="26"/>
        <v>3.519538212757737E-2</v>
      </c>
      <c r="S163">
        <f t="shared" ca="1" si="22"/>
        <v>6.7655447218151032E-2</v>
      </c>
      <c r="T163" s="56">
        <f t="shared" ca="1" si="23"/>
        <v>0.54504006034205832</v>
      </c>
    </row>
    <row r="164" spans="2:20" x14ac:dyDescent="0.25">
      <c r="B164" s="53">
        <v>40410</v>
      </c>
      <c r="C164">
        <v>230.14774869999999</v>
      </c>
      <c r="D164" s="54">
        <f t="shared" si="24"/>
        <v>-1.2714456239817358E-2</v>
      </c>
      <c r="E164" s="54">
        <f t="shared" ca="1" si="25"/>
        <v>2.4029596289418049E-2</v>
      </c>
      <c r="F164" s="64">
        <f t="shared" ca="1" si="27"/>
        <v>-3.6744052529235405E-2</v>
      </c>
      <c r="G164">
        <f t="shared" ca="1" si="20"/>
        <v>2.0786924118973839E-2</v>
      </c>
      <c r="H164">
        <f t="shared" ca="1" si="28"/>
        <v>1.5246928866532212</v>
      </c>
      <c r="I164">
        <f t="shared" ca="1" si="29"/>
        <v>1.629375215651208</v>
      </c>
      <c r="J164" s="60">
        <v>159</v>
      </c>
      <c r="O164" s="53">
        <v>42459</v>
      </c>
      <c r="P164">
        <v>750.53002900000001</v>
      </c>
      <c r="Q164" s="54">
        <f t="shared" si="21"/>
        <v>7.7339431573789285E-3</v>
      </c>
      <c r="R164">
        <f t="shared" ca="1" si="26"/>
        <v>4.6533114328130461E-2</v>
      </c>
      <c r="S164">
        <f t="shared" ca="1" si="22"/>
        <v>0.12418423638949197</v>
      </c>
      <c r="T164" s="56">
        <f t="shared" ca="1" si="23"/>
        <v>0.38341370611659481</v>
      </c>
    </row>
    <row r="165" spans="2:20" x14ac:dyDescent="0.25">
      <c r="B165" s="53">
        <v>40413</v>
      </c>
      <c r="C165">
        <v>231.16891469999999</v>
      </c>
      <c r="D165" s="54">
        <f t="shared" si="24"/>
        <v>4.4370019075489391E-3</v>
      </c>
      <c r="E165" s="54">
        <f t="shared" ca="1" si="25"/>
        <v>-5.5080504733780282E-3</v>
      </c>
      <c r="F165" s="64">
        <f t="shared" ca="1" si="27"/>
        <v>9.9450523809269664E-3</v>
      </c>
      <c r="G165">
        <f t="shared" ca="1" si="20"/>
        <v>2.5906064256105574E-2</v>
      </c>
      <c r="H165">
        <f t="shared" ca="1" si="28"/>
        <v>0.2972568726639257</v>
      </c>
      <c r="I165">
        <f t="shared" ca="1" si="29"/>
        <v>2.7088986874811862</v>
      </c>
      <c r="J165" s="57">
        <v>160</v>
      </c>
      <c r="O165" s="53">
        <v>42460</v>
      </c>
      <c r="P165">
        <v>744.95001200000002</v>
      </c>
      <c r="Q165" s="54">
        <f t="shared" si="21"/>
        <v>-7.4347684761324829E-3</v>
      </c>
      <c r="R165">
        <f t="shared" ca="1" si="26"/>
        <v>-3.1279092746438461E-2</v>
      </c>
      <c r="S165">
        <f t="shared" ca="1" si="22"/>
        <v>8.7382521311881622E-2</v>
      </c>
      <c r="T165" s="56">
        <f t="shared" ca="1" si="23"/>
        <v>-0.43671387853066496</v>
      </c>
    </row>
    <row r="166" spans="2:20" x14ac:dyDescent="0.25">
      <c r="B166" s="53">
        <v>40414</v>
      </c>
      <c r="C166">
        <v>224.85258880000001</v>
      </c>
      <c r="D166" s="54">
        <f t="shared" si="24"/>
        <v>-2.7323422390925736E-2</v>
      </c>
      <c r="E166" s="54">
        <f t="shared" ca="1" si="25"/>
        <v>-1.0581223367305444E-2</v>
      </c>
      <c r="F166" s="64">
        <f t="shared" ca="1" si="27"/>
        <v>-1.6742199023620292E-2</v>
      </c>
      <c r="G166">
        <f t="shared" ca="1" si="20"/>
        <v>7.7762859878399296E-3</v>
      </c>
      <c r="H166">
        <f t="shared" ca="1" si="28"/>
        <v>-0.62638937052304267</v>
      </c>
      <c r="I166">
        <f t="shared" ca="1" si="29"/>
        <v>2.5230877379588454</v>
      </c>
      <c r="J166" s="60">
        <v>161</v>
      </c>
      <c r="O166" s="53">
        <v>42461</v>
      </c>
      <c r="P166">
        <v>749.90997300000004</v>
      </c>
      <c r="Q166" s="54">
        <f t="shared" si="21"/>
        <v>6.6581125177564548E-3</v>
      </c>
      <c r="R166">
        <f t="shared" ca="1" si="26"/>
        <v>4.6117259476278205E-2</v>
      </c>
      <c r="S166">
        <f t="shared" ca="1" si="22"/>
        <v>9.9511146039932663E-2</v>
      </c>
      <c r="T166" s="56">
        <f t="shared" ca="1" si="23"/>
        <v>0.42853409421775096</v>
      </c>
    </row>
    <row r="167" spans="2:20" x14ac:dyDescent="0.25">
      <c r="B167" s="53">
        <v>40415</v>
      </c>
      <c r="C167">
        <v>226.46155450000001</v>
      </c>
      <c r="D167" s="54">
        <f t="shared" si="24"/>
        <v>7.1556467665628174E-3</v>
      </c>
      <c r="E167" s="54">
        <f t="shared" ca="1" si="25"/>
        <v>8.1394695573756594E-3</v>
      </c>
      <c r="F167" s="64">
        <f t="shared" ca="1" si="27"/>
        <v>-9.8382279081284194E-4</v>
      </c>
      <c r="G167">
        <f t="shared" ca="1" si="20"/>
        <v>1.0652329246199358E-2</v>
      </c>
      <c r="H167">
        <f t="shared" ca="1" si="28"/>
        <v>0.57707510443197263</v>
      </c>
      <c r="I167">
        <f t="shared" ca="1" si="29"/>
        <v>2.7719392625436825</v>
      </c>
      <c r="J167" s="57">
        <v>162</v>
      </c>
      <c r="O167" s="53">
        <v>42464</v>
      </c>
      <c r="P167">
        <v>745.28997800000002</v>
      </c>
      <c r="Q167" s="54">
        <f t="shared" si="21"/>
        <v>-6.1607328430609053E-3</v>
      </c>
      <c r="R167">
        <f t="shared" ca="1" si="26"/>
        <v>0.1171095554567597</v>
      </c>
      <c r="S167">
        <f t="shared" ca="1" si="22"/>
        <v>9.7651103162154626E-2</v>
      </c>
      <c r="T167" s="56">
        <f t="shared" ca="1" si="23"/>
        <v>1.233458099734732</v>
      </c>
    </row>
    <row r="168" spans="2:20" x14ac:dyDescent="0.25">
      <c r="B168" s="53">
        <v>40416</v>
      </c>
      <c r="C168">
        <v>224.64834980000001</v>
      </c>
      <c r="D168" s="54">
        <f t="shared" si="24"/>
        <v>-8.0066777957227171E-3</v>
      </c>
      <c r="E168" s="54">
        <f t="shared" ca="1" si="25"/>
        <v>1.0121221660244968E-2</v>
      </c>
      <c r="F168" s="64">
        <f t="shared" ca="1" si="27"/>
        <v>-1.8127899455967683E-2</v>
      </c>
      <c r="G168">
        <f t="shared" ca="1" si="20"/>
        <v>9.9844032689850089E-3</v>
      </c>
      <c r="H168">
        <f t="shared" ca="1" si="28"/>
        <v>2.2427574267709134</v>
      </c>
      <c r="I168">
        <f t="shared" ca="1" si="29"/>
        <v>2.4820128540570781</v>
      </c>
      <c r="J168" s="60">
        <v>163</v>
      </c>
      <c r="O168" s="53">
        <v>42465</v>
      </c>
      <c r="P168">
        <v>737.79998799999998</v>
      </c>
      <c r="Q168" s="54">
        <f t="shared" si="21"/>
        <v>-1.0049766159608862E-2</v>
      </c>
      <c r="R168">
        <f t="shared" ca="1" si="26"/>
        <v>-0.26666780028291559</v>
      </c>
      <c r="S168">
        <f t="shared" ca="1" si="22"/>
        <v>0.2810219652480202</v>
      </c>
      <c r="T168" s="56">
        <f t="shared" ca="1" si="23"/>
        <v>-0.9595619529493532</v>
      </c>
    </row>
    <row r="169" spans="2:20" x14ac:dyDescent="0.25">
      <c r="B169" s="53">
        <v>40417</v>
      </c>
      <c r="C169">
        <v>228.5586959</v>
      </c>
      <c r="D169" s="54">
        <f t="shared" si="24"/>
        <v>1.740652047291379E-2</v>
      </c>
      <c r="E169" s="54">
        <f t="shared" ca="1" si="25"/>
        <v>2.3353946419115635E-2</v>
      </c>
      <c r="F169" s="64">
        <f t="shared" ca="1" si="27"/>
        <v>-5.9474259462018453E-3</v>
      </c>
      <c r="G169">
        <f t="shared" ca="1" si="20"/>
        <v>3.7517771908603031E-2</v>
      </c>
      <c r="H169">
        <f t="shared" ca="1" si="28"/>
        <v>0.53682132756009315</v>
      </c>
      <c r="I169">
        <f t="shared" ca="1" si="29"/>
        <v>2.7368422513884423</v>
      </c>
      <c r="J169" s="57">
        <v>164</v>
      </c>
      <c r="O169" s="53">
        <v>42466</v>
      </c>
      <c r="P169">
        <v>745.69000200000005</v>
      </c>
      <c r="Q169" s="54">
        <f t="shared" si="21"/>
        <v>1.0693974150620431E-2</v>
      </c>
      <c r="R169">
        <f t="shared" ca="1" si="26"/>
        <v>0.22425656743411565</v>
      </c>
      <c r="S169">
        <f t="shared" ca="1" si="22"/>
        <v>0.21866705216809057</v>
      </c>
      <c r="T169" s="56">
        <f t="shared" ca="1" si="23"/>
        <v>1.0382160772960569</v>
      </c>
    </row>
    <row r="170" spans="2:20" x14ac:dyDescent="0.25">
      <c r="B170" s="53">
        <v>40420</v>
      </c>
      <c r="C170">
        <v>225.5001575</v>
      </c>
      <c r="D170" s="54">
        <f t="shared" si="24"/>
        <v>-1.3381850941861291E-2</v>
      </c>
      <c r="E170" s="54">
        <f t="shared" ca="1" si="25"/>
        <v>1.8676719045884558E-3</v>
      </c>
      <c r="F170" s="64">
        <f t="shared" ca="1" si="27"/>
        <v>-1.5249522846449747E-2</v>
      </c>
      <c r="G170">
        <f t="shared" ca="1" si="20"/>
        <v>1.2424455437861911E-2</v>
      </c>
      <c r="H170">
        <f t="shared" ca="1" si="28"/>
        <v>0.43972400367852116</v>
      </c>
      <c r="I170">
        <f t="shared" ca="1" si="29"/>
        <v>2.5638625720411872</v>
      </c>
      <c r="J170" s="60">
        <v>165</v>
      </c>
      <c r="O170" s="53">
        <v>42467</v>
      </c>
      <c r="P170">
        <v>740.28002900000001</v>
      </c>
      <c r="Q170" s="54">
        <f t="shared" si="21"/>
        <v>-7.2549893192748426E-3</v>
      </c>
      <c r="R170">
        <f t="shared" ca="1" si="26"/>
        <v>0.19524470724464377</v>
      </c>
      <c r="S170">
        <f t="shared" ca="1" si="22"/>
        <v>0.23656427437255048</v>
      </c>
      <c r="T170" s="56">
        <f t="shared" ca="1" si="23"/>
        <v>0.84441353092311777</v>
      </c>
    </row>
    <row r="171" spans="2:20" x14ac:dyDescent="0.25">
      <c r="B171" s="53">
        <v>40421</v>
      </c>
      <c r="C171">
        <v>224.17013829999999</v>
      </c>
      <c r="D171" s="54">
        <f t="shared" si="24"/>
        <v>-5.8980854592086459E-3</v>
      </c>
      <c r="E171" s="54">
        <f t="shared" ca="1" si="25"/>
        <v>2.7429101456685742E-2</v>
      </c>
      <c r="F171" s="64">
        <f t="shared" ca="1" si="27"/>
        <v>-3.332718691589439E-2</v>
      </c>
      <c r="G171">
        <f t="shared" ca="1" si="20"/>
        <v>7.9310081623075439E-3</v>
      </c>
      <c r="H171">
        <f t="shared" ca="1" si="28"/>
        <v>2.4727896759434649</v>
      </c>
      <c r="I171">
        <f t="shared" ca="1" si="29"/>
        <v>1.8278270379615364</v>
      </c>
      <c r="J171" s="57">
        <v>166</v>
      </c>
      <c r="O171" s="53">
        <v>42468</v>
      </c>
      <c r="P171">
        <v>739.15002400000003</v>
      </c>
      <c r="Q171" s="54">
        <f t="shared" si="21"/>
        <v>-1.5264561459620071E-3</v>
      </c>
      <c r="R171">
        <f t="shared" ca="1" si="26"/>
        <v>0.10388632134638751</v>
      </c>
      <c r="S171">
        <f t="shared" ca="1" si="22"/>
        <v>0.19242361698036053</v>
      </c>
      <c r="T171" s="56">
        <f t="shared" ca="1" si="23"/>
        <v>0.51492415513158896</v>
      </c>
    </row>
    <row r="172" spans="2:20" x14ac:dyDescent="0.25">
      <c r="B172" s="53">
        <v>40422</v>
      </c>
      <c r="C172">
        <v>229.30590470000001</v>
      </c>
      <c r="D172" s="54">
        <f t="shared" si="24"/>
        <v>2.2910127276305575E-2</v>
      </c>
      <c r="E172" s="54">
        <f t="shared" ca="1" si="25"/>
        <v>1.7873551577465854E-2</v>
      </c>
      <c r="F172" s="64">
        <f t="shared" ca="1" si="27"/>
        <v>5.0365756988397202E-3</v>
      </c>
      <c r="G172">
        <f t="shared" ca="1" si="20"/>
        <v>4.1326607750880401E-2</v>
      </c>
      <c r="H172">
        <f t="shared" ca="1" si="28"/>
        <v>0.57792574316278</v>
      </c>
      <c r="I172">
        <f t="shared" ca="1" si="29"/>
        <v>2.7610855441761863</v>
      </c>
      <c r="J172" s="60">
        <v>167</v>
      </c>
      <c r="O172" s="53">
        <v>42471</v>
      </c>
      <c r="P172">
        <v>736.09997599999997</v>
      </c>
      <c r="Q172" s="54">
        <f t="shared" si="21"/>
        <v>-4.126426166496425E-3</v>
      </c>
      <c r="R172">
        <f t="shared" ca="1" si="26"/>
        <v>-0.16607915828530995</v>
      </c>
      <c r="S172">
        <f t="shared" ca="1" si="22"/>
        <v>0.11736207366146509</v>
      </c>
      <c r="T172" s="56">
        <f t="shared" ca="1" si="23"/>
        <v>-1.3873372026453954</v>
      </c>
    </row>
    <row r="173" spans="2:20" x14ac:dyDescent="0.25">
      <c r="B173" s="53">
        <v>40423</v>
      </c>
      <c r="C173">
        <v>230.7255849</v>
      </c>
      <c r="D173" s="54">
        <f t="shared" si="24"/>
        <v>6.1912064665641713E-3</v>
      </c>
      <c r="E173" s="54">
        <f t="shared" ca="1" si="25"/>
        <v>-1.2885942848573475E-3</v>
      </c>
      <c r="F173" s="64">
        <f t="shared" ca="1" si="27"/>
        <v>7.4798007514215187E-3</v>
      </c>
      <c r="G173">
        <f t="shared" ca="1" si="20"/>
        <v>1.3517420806892694E-2</v>
      </c>
      <c r="H173">
        <f t="shared" ca="1" si="28"/>
        <v>0.10060789127989224</v>
      </c>
      <c r="I173">
        <f t="shared" ca="1" si="29"/>
        <v>2.7399751715421536</v>
      </c>
      <c r="J173" s="57">
        <v>168</v>
      </c>
      <c r="O173" s="53">
        <v>42472</v>
      </c>
      <c r="P173">
        <v>743.09002699999996</v>
      </c>
      <c r="Q173" s="54">
        <f t="shared" si="21"/>
        <v>9.4960619860147838E-3</v>
      </c>
      <c r="R173">
        <f t="shared" ca="1" si="26"/>
        <v>0.13609998262418244</v>
      </c>
      <c r="S173">
        <f t="shared" ca="1" si="22"/>
        <v>0.31608096850774003</v>
      </c>
      <c r="T173" s="56">
        <f t="shared" ca="1" si="23"/>
        <v>0.43275498809759388</v>
      </c>
    </row>
    <row r="174" spans="2:20" x14ac:dyDescent="0.25">
      <c r="B174" s="53">
        <v>40424</v>
      </c>
      <c r="C174">
        <v>234.27229790000001</v>
      </c>
      <c r="D174" s="54">
        <f t="shared" si="24"/>
        <v>1.5371997004741416E-2</v>
      </c>
      <c r="E174" s="54">
        <f t="shared" ca="1" si="25"/>
        <v>6.0730372208854634E-3</v>
      </c>
      <c r="F174" s="64">
        <f t="shared" ca="1" si="27"/>
        <v>9.2989597838559514E-3</v>
      </c>
      <c r="G174">
        <f t="shared" ca="1" si="20"/>
        <v>3.649881308088495E-3</v>
      </c>
      <c r="H174">
        <f t="shared" ca="1" si="28"/>
        <v>-1.1552338642933953</v>
      </c>
      <c r="I174">
        <f t="shared" ca="1" si="29"/>
        <v>2.7179927371937587</v>
      </c>
      <c r="J174" s="60">
        <v>169</v>
      </c>
      <c r="O174" s="53">
        <v>42473</v>
      </c>
      <c r="P174">
        <v>751.71997099999999</v>
      </c>
      <c r="Q174" s="54">
        <f t="shared" si="21"/>
        <v>1.161359147133329E-2</v>
      </c>
      <c r="R174">
        <f t="shared" ca="1" si="26"/>
        <v>0.12305483950261402</v>
      </c>
      <c r="S174">
        <f t="shared" ca="1" si="22"/>
        <v>9.8739612180949357E-2</v>
      </c>
      <c r="T174" s="56">
        <f t="shared" ca="1" si="23"/>
        <v>1.2650235678523905</v>
      </c>
    </row>
    <row r="175" spans="2:20" x14ac:dyDescent="0.25">
      <c r="B175" s="53">
        <v>40428</v>
      </c>
      <c r="C175">
        <v>231.33329749999999</v>
      </c>
      <c r="D175" s="54">
        <f t="shared" si="24"/>
        <v>-1.2545232305932087E-2</v>
      </c>
      <c r="E175" s="54">
        <f t="shared" ca="1" si="25"/>
        <v>-1.0866784369110424E-2</v>
      </c>
      <c r="F175" s="64">
        <f t="shared" ca="1" si="27"/>
        <v>-1.6784479368216632E-3</v>
      </c>
      <c r="G175">
        <f t="shared" ca="1" si="20"/>
        <v>1.9326937730533875E-2</v>
      </c>
      <c r="H175">
        <f t="shared" ca="1" si="28"/>
        <v>-0.70614622431669671</v>
      </c>
      <c r="I175">
        <f t="shared" ca="1" si="29"/>
        <v>2.7694232787486528</v>
      </c>
      <c r="J175" s="57">
        <v>170</v>
      </c>
      <c r="O175" s="53">
        <v>42474</v>
      </c>
      <c r="P175">
        <v>753.20001200000002</v>
      </c>
      <c r="Q175" s="54">
        <f t="shared" si="21"/>
        <v>1.9688727945210175E-3</v>
      </c>
      <c r="R175">
        <f t="shared" ca="1" si="26"/>
        <v>0.12007195720649148</v>
      </c>
      <c r="S175">
        <f t="shared" ca="1" si="22"/>
        <v>0.28821338081990577</v>
      </c>
      <c r="T175" s="56">
        <f t="shared" ca="1" si="23"/>
        <v>0.40180953814779008</v>
      </c>
    </row>
    <row r="176" spans="2:20" x14ac:dyDescent="0.25">
      <c r="B176" s="53">
        <v>40429</v>
      </c>
      <c r="C176">
        <v>234.41176369999999</v>
      </c>
      <c r="D176" s="54">
        <f t="shared" si="24"/>
        <v>1.3307492839417154E-2</v>
      </c>
      <c r="E176" s="54">
        <f t="shared" ca="1" si="25"/>
        <v>3.6322499864417733E-2</v>
      </c>
      <c r="F176" s="64">
        <f t="shared" ca="1" si="27"/>
        <v>-2.3015007025000579E-2</v>
      </c>
      <c r="G176">
        <f t="shared" ca="1" si="20"/>
        <v>1.2622670218926598E-2</v>
      </c>
      <c r="H176">
        <f t="shared" ca="1" si="28"/>
        <v>2.3306355803488694</v>
      </c>
      <c r="I176">
        <f t="shared" ca="1" si="29"/>
        <v>2.3123832643016549</v>
      </c>
      <c r="J176" s="60">
        <v>171</v>
      </c>
      <c r="O176" s="53">
        <v>42475</v>
      </c>
      <c r="P176">
        <v>759</v>
      </c>
      <c r="Q176" s="54">
        <f t="shared" si="21"/>
        <v>7.7004619059936824E-3</v>
      </c>
      <c r="R176">
        <f t="shared" ca="1" si="26"/>
        <v>-0.10433696634540081</v>
      </c>
      <c r="S176">
        <f t="shared" ca="1" si="22"/>
        <v>9.1675049856042232E-2</v>
      </c>
      <c r="T176" s="56">
        <f t="shared" ca="1" si="23"/>
        <v>-1.1950132231093529</v>
      </c>
    </row>
    <row r="177" spans="2:20" x14ac:dyDescent="0.25">
      <c r="B177" s="53">
        <v>40430</v>
      </c>
      <c r="C177">
        <v>237.2013192</v>
      </c>
      <c r="D177" s="54">
        <f t="shared" si="24"/>
        <v>1.190023681392576E-2</v>
      </c>
      <c r="E177" s="54">
        <f t="shared" ca="1" si="25"/>
        <v>-1.5706947828890372E-2</v>
      </c>
      <c r="F177" s="64">
        <f t="shared" ca="1" si="27"/>
        <v>2.7607184642816134E-2</v>
      </c>
      <c r="G177">
        <f t="shared" ca="1" si="20"/>
        <v>3.9021177285874786E-2</v>
      </c>
      <c r="H177">
        <f t="shared" ca="1" si="28"/>
        <v>-0.25813834370200223</v>
      </c>
      <c r="I177">
        <f t="shared" ca="1" si="29"/>
        <v>2.1990598429027166</v>
      </c>
      <c r="J177" s="57">
        <v>172</v>
      </c>
      <c r="O177" s="53">
        <v>42478</v>
      </c>
      <c r="P177">
        <v>766.60998500000005</v>
      </c>
      <c r="Q177" s="54">
        <f t="shared" si="21"/>
        <v>1.0026330698287287E-2</v>
      </c>
      <c r="R177">
        <f t="shared" ca="1" si="26"/>
        <v>-0.23001610900060407</v>
      </c>
      <c r="S177">
        <f t="shared" ca="1" si="22"/>
        <v>0.27226280422856242</v>
      </c>
      <c r="T177" s="56">
        <f t="shared" ca="1" si="23"/>
        <v>-0.84807949644798197</v>
      </c>
    </row>
    <row r="178" spans="2:20" x14ac:dyDescent="0.25">
      <c r="B178" s="53">
        <v>40431</v>
      </c>
      <c r="C178">
        <v>237.1813914</v>
      </c>
      <c r="D178" s="54">
        <f t="shared" si="24"/>
        <v>-8.4012180316765013E-5</v>
      </c>
      <c r="E178" s="54">
        <f t="shared" ca="1" si="25"/>
        <v>5.1064908967172334E-5</v>
      </c>
      <c r="F178" s="64">
        <f t="shared" ca="1" si="27"/>
        <v>-1.3507708928393733E-4</v>
      </c>
      <c r="G178">
        <f t="shared" ca="1" si="20"/>
        <v>9.9305742216750873E-3</v>
      </c>
      <c r="H178">
        <f t="shared" ca="1" si="28"/>
        <v>-0.59672296918084655</v>
      </c>
      <c r="I178">
        <f t="shared" ca="1" si="29"/>
        <v>2.773955223549315</v>
      </c>
      <c r="J178" s="60">
        <v>173</v>
      </c>
      <c r="O178" s="53">
        <v>42479</v>
      </c>
      <c r="P178">
        <v>753.92999299999997</v>
      </c>
      <c r="Q178" s="54">
        <f t="shared" si="21"/>
        <v>-1.654034287069726E-2</v>
      </c>
      <c r="R178">
        <f t="shared" ca="1" si="26"/>
        <v>-0.23028832090551318</v>
      </c>
      <c r="S178">
        <f t="shared" ca="1" si="22"/>
        <v>0.19327173024844702</v>
      </c>
      <c r="T178" s="56">
        <f t="shared" ca="1" si="23"/>
        <v>-1.2094211867578533</v>
      </c>
    </row>
    <row r="179" spans="2:20" x14ac:dyDescent="0.25">
      <c r="B179" s="53">
        <v>40434</v>
      </c>
      <c r="C179">
        <v>240.23495489999999</v>
      </c>
      <c r="D179" s="54">
        <f t="shared" si="24"/>
        <v>1.2874380582624391E-2</v>
      </c>
      <c r="E179" s="54">
        <f t="shared" ca="1" si="25"/>
        <v>-2.2689653531938669E-3</v>
      </c>
      <c r="F179" s="64">
        <f t="shared" ca="1" si="27"/>
        <v>1.5143345935818259E-2</v>
      </c>
      <c r="G179">
        <f t="shared" ca="1" si="20"/>
        <v>1.0263657457300072E-2</v>
      </c>
      <c r="H179">
        <f t="shared" ca="1" si="28"/>
        <v>-0.74180170496822251</v>
      </c>
      <c r="I179">
        <f t="shared" ca="1" si="29"/>
        <v>2.6111864113287671</v>
      </c>
      <c r="J179" s="57">
        <v>174</v>
      </c>
      <c r="O179" s="53">
        <v>42480</v>
      </c>
      <c r="P179">
        <v>752.669983</v>
      </c>
      <c r="Q179" s="54">
        <f t="shared" si="21"/>
        <v>-1.6712559676611324E-3</v>
      </c>
      <c r="R179">
        <f t="shared" ca="1" si="26"/>
        <v>7.8777013398903598E-3</v>
      </c>
      <c r="S179">
        <f t="shared" ca="1" si="22"/>
        <v>0.27555989356262267</v>
      </c>
      <c r="T179" s="56">
        <f t="shared" ca="1" si="23"/>
        <v>1.2247647565854737E-2</v>
      </c>
    </row>
    <row r="180" spans="2:20" x14ac:dyDescent="0.25">
      <c r="B180" s="53">
        <v>40435</v>
      </c>
      <c r="C180">
        <v>239.3183884</v>
      </c>
      <c r="D180" s="54">
        <f t="shared" si="24"/>
        <v>-3.8152919935465547E-3</v>
      </c>
      <c r="E180" s="54">
        <f t="shared" ca="1" si="25"/>
        <v>-1.2597691790966805E-2</v>
      </c>
      <c r="F180" s="64">
        <f t="shared" ca="1" si="27"/>
        <v>8.7823997974202511E-3</v>
      </c>
      <c r="G180">
        <f t="shared" ca="1" si="20"/>
        <v>1.264101472747736E-2</v>
      </c>
      <c r="H180">
        <f t="shared" ca="1" si="28"/>
        <v>-0.99360552766041332</v>
      </c>
      <c r="I180">
        <f t="shared" ca="1" si="29"/>
        <v>2.7247783627244719</v>
      </c>
      <c r="J180" s="60">
        <v>175</v>
      </c>
      <c r="O180" s="53">
        <v>42481</v>
      </c>
      <c r="P180">
        <v>759.14001499999995</v>
      </c>
      <c r="Q180" s="54">
        <f t="shared" si="21"/>
        <v>8.5961073858846129E-3</v>
      </c>
      <c r="R180">
        <f t="shared" ca="1" si="26"/>
        <v>-4.6128024296998964E-3</v>
      </c>
      <c r="S180">
        <f t="shared" ca="1" si="22"/>
        <v>5.4734926400453014E-3</v>
      </c>
      <c r="T180" s="56">
        <f t="shared" ca="1" si="23"/>
        <v>0.5144476875397439</v>
      </c>
    </row>
    <row r="181" spans="2:20" x14ac:dyDescent="0.25">
      <c r="B181" s="53">
        <v>40436</v>
      </c>
      <c r="C181">
        <v>239.42300280000001</v>
      </c>
      <c r="D181" s="54">
        <f t="shared" si="24"/>
        <v>4.3713481734278074E-4</v>
      </c>
      <c r="E181" s="54">
        <f t="shared" ca="1" si="25"/>
        <v>5.6892014933394505E-3</v>
      </c>
      <c r="F181" s="64">
        <f t="shared" ca="1" si="27"/>
        <v>-5.2520666759966698E-3</v>
      </c>
      <c r="G181">
        <f t="shared" ca="1" si="20"/>
        <v>1.6863235682198295E-2</v>
      </c>
      <c r="H181">
        <f t="shared" ca="1" si="28"/>
        <v>-5.5075390268263229E-3</v>
      </c>
      <c r="I181">
        <f t="shared" ca="1" si="29"/>
        <v>2.7441567913297247</v>
      </c>
      <c r="J181" s="57">
        <v>176</v>
      </c>
      <c r="O181" s="53">
        <v>42482</v>
      </c>
      <c r="P181">
        <v>718.77002000000005</v>
      </c>
      <c r="Q181" s="54">
        <f t="shared" si="21"/>
        <v>-5.3178589196091718E-2</v>
      </c>
      <c r="R181">
        <f t="shared" ca="1" si="26"/>
        <v>0.10718044788766433</v>
      </c>
      <c r="S181">
        <f t="shared" ca="1" si="22"/>
        <v>0.11720960323739905</v>
      </c>
      <c r="T181" s="56">
        <f t="shared" ca="1" si="23"/>
        <v>0.92083661486254387</v>
      </c>
    </row>
    <row r="182" spans="2:20" x14ac:dyDescent="0.25">
      <c r="B182" s="53">
        <v>40437</v>
      </c>
      <c r="C182">
        <v>239.63221609999999</v>
      </c>
      <c r="D182" s="54">
        <f t="shared" si="24"/>
        <v>8.7382288900098785E-4</v>
      </c>
      <c r="E182" s="54">
        <f t="shared" ca="1" si="25"/>
        <v>-8.3049273985355034E-3</v>
      </c>
      <c r="F182" s="64">
        <f t="shared" ca="1" si="27"/>
        <v>9.1787502875364906E-3</v>
      </c>
      <c r="G182">
        <f t="shared" ca="1" si="20"/>
        <v>3.9731714221806456E-3</v>
      </c>
      <c r="H182">
        <f t="shared" ca="1" si="28"/>
        <v>-1.6589797376095079</v>
      </c>
      <c r="I182">
        <f t="shared" ca="1" si="29"/>
        <v>2.7196103221750052</v>
      </c>
      <c r="J182" s="60">
        <v>177</v>
      </c>
      <c r="O182" s="53">
        <v>42485</v>
      </c>
      <c r="P182">
        <v>723.15002400000003</v>
      </c>
      <c r="Q182" s="54">
        <f t="shared" si="21"/>
        <v>6.0937488739443877E-3</v>
      </c>
      <c r="R182">
        <f t="shared" ca="1" si="26"/>
        <v>-7.1824543982814945E-2</v>
      </c>
      <c r="S182">
        <f t="shared" ca="1" si="22"/>
        <v>0.20980326610286587</v>
      </c>
      <c r="T182" s="56">
        <f t="shared" ca="1" si="23"/>
        <v>-0.36073943428048277</v>
      </c>
    </row>
    <row r="183" spans="2:20" x14ac:dyDescent="0.25">
      <c r="B183" s="53">
        <v>40438</v>
      </c>
      <c r="C183">
        <v>244.16025440000001</v>
      </c>
      <c r="D183" s="54">
        <f t="shared" si="24"/>
        <v>1.889578276950225E-2</v>
      </c>
      <c r="E183" s="54">
        <f t="shared" ca="1" si="25"/>
        <v>-4.2999001861033961E-2</v>
      </c>
      <c r="F183" s="64">
        <f t="shared" ca="1" si="27"/>
        <v>6.1894784630536215E-2</v>
      </c>
      <c r="G183">
        <f t="shared" ca="1" si="20"/>
        <v>2.7724137695337943E-2</v>
      </c>
      <c r="H183">
        <f t="shared" ca="1" si="28"/>
        <v>-1.5580409892739309</v>
      </c>
      <c r="I183">
        <f t="shared" ca="1" si="29"/>
        <v>-0.22970534325200057</v>
      </c>
      <c r="J183" s="57">
        <v>178</v>
      </c>
      <c r="O183" s="53">
        <v>42486</v>
      </c>
      <c r="P183">
        <v>708.14001499999995</v>
      </c>
      <c r="Q183" s="54">
        <f t="shared" si="21"/>
        <v>-2.0756424672399763E-2</v>
      </c>
      <c r="R183">
        <f t="shared" ca="1" si="26"/>
        <v>-2.6274132828337307E-4</v>
      </c>
      <c r="S183">
        <f t="shared" ca="1" si="22"/>
        <v>8.2267049900105568E-2</v>
      </c>
      <c r="T183" s="56">
        <f t="shared" ca="1" si="23"/>
        <v>0.28712252564276158</v>
      </c>
    </row>
    <row r="184" spans="2:20" x14ac:dyDescent="0.25">
      <c r="B184" s="53">
        <v>40441</v>
      </c>
      <c r="C184">
        <v>253.19141289999999</v>
      </c>
      <c r="D184" s="54">
        <f t="shared" si="24"/>
        <v>3.6988651253633258E-2</v>
      </c>
      <c r="E184" s="54">
        <f t="shared" ca="1" si="25"/>
        <v>1.7909644157825984E-2</v>
      </c>
      <c r="F184" s="64">
        <f t="shared" ca="1" si="27"/>
        <v>1.9079007095807274E-2</v>
      </c>
      <c r="G184">
        <f t="shared" ca="1" si="20"/>
        <v>2.678122186488353E-2</v>
      </c>
      <c r="H184">
        <f t="shared" ca="1" si="28"/>
        <v>0.65407273967982138</v>
      </c>
      <c r="I184">
        <f t="shared" ca="1" si="29"/>
        <v>2.5081662211486027</v>
      </c>
      <c r="J184" s="60">
        <v>179</v>
      </c>
      <c r="O184" s="53">
        <v>42487</v>
      </c>
      <c r="P184">
        <v>705.84002699999996</v>
      </c>
      <c r="Q184" s="54">
        <f t="shared" si="21"/>
        <v>-3.2479283069464519E-3</v>
      </c>
      <c r="R184">
        <f t="shared" ca="1" si="26"/>
        <v>-2.7738952201923465E-2</v>
      </c>
      <c r="S184">
        <f t="shared" ca="1" si="22"/>
        <v>6.5436535162252812E-2</v>
      </c>
      <c r="T184" s="56">
        <f t="shared" ca="1" si="23"/>
        <v>-0.46572482923029884</v>
      </c>
    </row>
    <row r="185" spans="2:20" x14ac:dyDescent="0.25">
      <c r="B185" s="53">
        <v>40442</v>
      </c>
      <c r="C185">
        <v>255.77173970000001</v>
      </c>
      <c r="D185" s="54">
        <f t="shared" si="24"/>
        <v>1.019120976673543E-2</v>
      </c>
      <c r="E185" s="54">
        <f t="shared" ca="1" si="25"/>
        <v>3.3317814570585795E-2</v>
      </c>
      <c r="F185" s="64">
        <f t="shared" ca="1" si="27"/>
        <v>-2.3126604803850363E-2</v>
      </c>
      <c r="G185">
        <f t="shared" ca="1" si="20"/>
        <v>1.2547413430400271E-2</v>
      </c>
      <c r="H185">
        <f t="shared" ca="1" si="28"/>
        <v>1.9789499064143254</v>
      </c>
      <c r="I185">
        <f t="shared" ca="1" si="29"/>
        <v>2.3080590806839316</v>
      </c>
      <c r="J185" s="57">
        <v>180</v>
      </c>
      <c r="O185" s="53">
        <v>42488</v>
      </c>
      <c r="P185">
        <v>691.02002000000005</v>
      </c>
      <c r="Q185" s="54">
        <f t="shared" si="21"/>
        <v>-2.0996268889692648E-2</v>
      </c>
      <c r="R185">
        <f t="shared" ca="1" si="26"/>
        <v>-0.15487691939644765</v>
      </c>
      <c r="S185">
        <f t="shared" ca="1" si="22"/>
        <v>0.10611524576170506</v>
      </c>
      <c r="T185" s="56">
        <f t="shared" ca="1" si="23"/>
        <v>-1.3716665907948311</v>
      </c>
    </row>
    <row r="186" spans="2:20" x14ac:dyDescent="0.25">
      <c r="B186" s="53">
        <v>40443</v>
      </c>
      <c r="C186">
        <v>257.03700070000002</v>
      </c>
      <c r="D186" s="54">
        <f t="shared" si="24"/>
        <v>4.9468365875137751E-3</v>
      </c>
      <c r="E186" s="54">
        <f t="shared" ca="1" si="25"/>
        <v>2.2630088108962013E-2</v>
      </c>
      <c r="F186" s="64">
        <f t="shared" ca="1" si="27"/>
        <v>-1.7683251521448236E-2</v>
      </c>
      <c r="G186">
        <f t="shared" ca="1" si="20"/>
        <v>3.3170604533019732E-2</v>
      </c>
      <c r="H186">
        <f t="shared" ca="1" si="28"/>
        <v>0.18141268339133659</v>
      </c>
      <c r="I186">
        <f t="shared" ca="1" si="29"/>
        <v>2.495531137357994</v>
      </c>
      <c r="J186" s="60">
        <v>181</v>
      </c>
      <c r="O186" s="53">
        <v>42489</v>
      </c>
      <c r="P186">
        <v>693.01000999999997</v>
      </c>
      <c r="Q186" s="54">
        <f t="shared" si="21"/>
        <v>2.879786319360068E-3</v>
      </c>
      <c r="R186">
        <f t="shared" ca="1" si="26"/>
        <v>0.30061050167034326</v>
      </c>
      <c r="S186">
        <f t="shared" ca="1" si="22"/>
        <v>0.3125097426873778</v>
      </c>
      <c r="T186" s="56">
        <f t="shared" ca="1" si="23"/>
        <v>0.96659249905235733</v>
      </c>
    </row>
    <row r="187" spans="2:20" x14ac:dyDescent="0.25">
      <c r="B187" s="53">
        <v>40444</v>
      </c>
      <c r="C187">
        <v>255.7817039</v>
      </c>
      <c r="D187" s="54">
        <f t="shared" si="24"/>
        <v>-4.8837202293110357E-3</v>
      </c>
      <c r="E187" s="54">
        <f t="shared" ca="1" si="25"/>
        <v>4.1779264426324136E-3</v>
      </c>
      <c r="F187" s="64">
        <f t="shared" ca="1" si="27"/>
        <v>-9.0616466719434484E-3</v>
      </c>
      <c r="G187">
        <f t="shared" ca="1" si="20"/>
        <v>8.2034981891397716E-3</v>
      </c>
      <c r="H187">
        <f t="shared" ca="1" si="28"/>
        <v>-4.8666461436174431E-2</v>
      </c>
      <c r="I187">
        <f t="shared" ca="1" si="29"/>
        <v>2.6944989902855978</v>
      </c>
      <c r="J187" s="57">
        <v>182</v>
      </c>
      <c r="O187" s="53">
        <v>42492</v>
      </c>
      <c r="P187">
        <v>698.21002199999998</v>
      </c>
      <c r="Q187" s="54">
        <f t="shared" si="21"/>
        <v>7.5035164354985513E-3</v>
      </c>
      <c r="R187">
        <f t="shared" ca="1" si="26"/>
        <v>0.26558903176950449</v>
      </c>
      <c r="S187">
        <f t="shared" ca="1" si="22"/>
        <v>0.22028023885563966</v>
      </c>
      <c r="T187" s="56">
        <f t="shared" ca="1" si="23"/>
        <v>1.2484952279389034</v>
      </c>
    </row>
    <row r="188" spans="2:20" x14ac:dyDescent="0.25">
      <c r="B188" s="53">
        <v>40445</v>
      </c>
      <c r="C188">
        <v>262.66094229999999</v>
      </c>
      <c r="D188" s="54">
        <f t="shared" si="24"/>
        <v>2.6894958846194437E-2</v>
      </c>
      <c r="E188" s="54">
        <f t="shared" ca="1" si="25"/>
        <v>1.6990587221442205E-3</v>
      </c>
      <c r="F188" s="64">
        <f t="shared" ca="1" si="27"/>
        <v>2.5195900124050218E-2</v>
      </c>
      <c r="G188">
        <f t="shared" ca="1" si="20"/>
        <v>2.2738416746188143E-3</v>
      </c>
      <c r="H188">
        <f t="shared" ca="1" si="28"/>
        <v>-0.22982273076724877</v>
      </c>
      <c r="I188">
        <f t="shared" ca="1" si="29"/>
        <v>2.298373385449239</v>
      </c>
      <c r="J188" s="60">
        <v>183</v>
      </c>
      <c r="O188" s="53">
        <v>42493</v>
      </c>
      <c r="P188">
        <v>692.35998500000005</v>
      </c>
      <c r="Q188" s="54">
        <f t="shared" si="21"/>
        <v>-8.3786207812409901E-3</v>
      </c>
      <c r="R188">
        <f t="shared" ca="1" si="26"/>
        <v>-0.31844685690065661</v>
      </c>
      <c r="S188">
        <f t="shared" ca="1" si="22"/>
        <v>0.28446684785453263</v>
      </c>
      <c r="T188" s="56">
        <f t="shared" ca="1" si="23"/>
        <v>-1.1239986604319885</v>
      </c>
    </row>
    <row r="189" spans="2:20" x14ac:dyDescent="0.25">
      <c r="B189" s="53">
        <v>40448</v>
      </c>
      <c r="C189">
        <v>264.21511390000001</v>
      </c>
      <c r="D189" s="54">
        <f t="shared" si="24"/>
        <v>5.9170259056822777E-3</v>
      </c>
      <c r="E189" s="54">
        <f t="shared" ca="1" si="25"/>
        <v>-9.9336855844585608E-4</v>
      </c>
      <c r="F189" s="64">
        <f t="shared" ca="1" si="27"/>
        <v>6.9103944641281338E-3</v>
      </c>
      <c r="G189">
        <f t="shared" ca="1" si="20"/>
        <v>4.0001834741236215E-3</v>
      </c>
      <c r="H189">
        <f t="shared" ca="1" si="28"/>
        <v>0.2998723742949474</v>
      </c>
      <c r="I189">
        <f t="shared" ca="1" si="29"/>
        <v>2.7457570269514155</v>
      </c>
      <c r="J189" s="57">
        <v>184</v>
      </c>
      <c r="O189" s="53">
        <v>42494</v>
      </c>
      <c r="P189">
        <v>695.70001200000002</v>
      </c>
      <c r="Q189" s="54">
        <f t="shared" si="21"/>
        <v>4.8241190599713291E-3</v>
      </c>
      <c r="R189">
        <f t="shared" ca="1" si="26"/>
        <v>0.33635670811619167</v>
      </c>
      <c r="S189">
        <f t="shared" ca="1" si="22"/>
        <v>0.25612358263507157</v>
      </c>
      <c r="T189" s="56">
        <f t="shared" ca="1" si="23"/>
        <v>1.300102355154372</v>
      </c>
    </row>
    <row r="190" spans="2:20" x14ac:dyDescent="0.25">
      <c r="B190" s="53">
        <v>40449</v>
      </c>
      <c r="C190">
        <v>262.60115839999997</v>
      </c>
      <c r="D190" s="54">
        <f t="shared" si="24"/>
        <v>-6.1084904499856905E-3</v>
      </c>
      <c r="E190" s="54">
        <f t="shared" ca="1" si="25"/>
        <v>8.3189152535695955E-3</v>
      </c>
      <c r="F190" s="64">
        <f t="shared" ca="1" si="27"/>
        <v>-1.4427405703555286E-2</v>
      </c>
      <c r="G190">
        <f t="shared" ca="1" si="20"/>
        <v>5.1866585488768548E-3</v>
      </c>
      <c r="H190">
        <f t="shared" ca="1" si="28"/>
        <v>-0.72498533734812753</v>
      </c>
      <c r="I190">
        <f t="shared" ca="1" si="29"/>
        <v>2.5847826040728079</v>
      </c>
      <c r="J190" s="60">
        <v>185</v>
      </c>
      <c r="O190" s="53">
        <v>42495</v>
      </c>
      <c r="P190">
        <v>701.42999299999997</v>
      </c>
      <c r="Q190" s="54">
        <f t="shared" si="21"/>
        <v>8.2362813010846293E-3</v>
      </c>
      <c r="R190">
        <f t="shared" ca="1" si="26"/>
        <v>-0.14611247408698852</v>
      </c>
      <c r="S190">
        <f t="shared" ca="1" si="22"/>
        <v>0.29623137626377793</v>
      </c>
      <c r="T190" s="56">
        <f t="shared" ca="1" si="23"/>
        <v>-0.48053502169689849</v>
      </c>
    </row>
    <row r="191" spans="2:20" x14ac:dyDescent="0.25">
      <c r="B191" s="53">
        <v>40450</v>
      </c>
      <c r="C191">
        <v>262.86019199999998</v>
      </c>
      <c r="D191" s="54">
        <f t="shared" si="24"/>
        <v>9.8641453669996194E-4</v>
      </c>
      <c r="E191" s="54">
        <f t="shared" ca="1" si="25"/>
        <v>-7.8092231118858362E-3</v>
      </c>
      <c r="F191" s="64">
        <f t="shared" ca="1" si="27"/>
        <v>8.7956376485857982E-3</v>
      </c>
      <c r="G191">
        <f t="shared" ca="1" si="20"/>
        <v>1.2200473988909232E-2</v>
      </c>
      <c r="H191">
        <f t="shared" ca="1" si="28"/>
        <v>-0.85788246371472532</v>
      </c>
      <c r="I191">
        <f t="shared" ca="1" si="29"/>
        <v>2.7246098507057375</v>
      </c>
      <c r="J191" s="57">
        <v>186</v>
      </c>
      <c r="O191" s="53">
        <v>42496</v>
      </c>
      <c r="P191">
        <v>711.11999500000002</v>
      </c>
      <c r="Q191" s="54">
        <f t="shared" si="21"/>
        <v>1.3814638804588514E-2</v>
      </c>
      <c r="R191">
        <f t="shared" ca="1" si="26"/>
        <v>1.3551721234268288E-2</v>
      </c>
      <c r="S191">
        <f t="shared" ca="1" si="22"/>
        <v>0.10959524084497389</v>
      </c>
      <c r="T191" s="56">
        <f t="shared" ca="1" si="23"/>
        <v>0.10388198171384401</v>
      </c>
    </row>
    <row r="192" spans="2:20" x14ac:dyDescent="0.25">
      <c r="B192" s="53">
        <v>40451</v>
      </c>
      <c r="C192">
        <v>261.9137485</v>
      </c>
      <c r="D192" s="54">
        <f t="shared" si="24"/>
        <v>-3.6005585052604188E-3</v>
      </c>
      <c r="E192" s="54">
        <f t="shared" ca="1" si="25"/>
        <v>-1.232723661635771E-2</v>
      </c>
      <c r="F192" s="64">
        <f t="shared" ca="1" si="27"/>
        <v>8.726678111097291E-3</v>
      </c>
      <c r="G192">
        <f t="shared" ca="1" si="20"/>
        <v>1.4621531298576516E-2</v>
      </c>
      <c r="H192">
        <f t="shared" ca="1" si="28"/>
        <v>-0.65545858472091134</v>
      </c>
      <c r="I192">
        <f t="shared" ca="1" si="29"/>
        <v>2.7254845709731694</v>
      </c>
      <c r="J192" s="60">
        <v>187</v>
      </c>
      <c r="O192" s="53">
        <v>42499</v>
      </c>
      <c r="P192">
        <v>712.90002400000003</v>
      </c>
      <c r="Q192" s="54">
        <f t="shared" si="21"/>
        <v>2.5031345096688121E-3</v>
      </c>
      <c r="R192">
        <f t="shared" ca="1" si="26"/>
        <v>2.9437127469720013E-2</v>
      </c>
      <c r="S192">
        <f t="shared" ca="1" si="22"/>
        <v>2.3759163702369801E-2</v>
      </c>
      <c r="T192" s="56">
        <f t="shared" ca="1" si="23"/>
        <v>1.08327931177159</v>
      </c>
    </row>
    <row r="193" spans="2:20" x14ac:dyDescent="0.25">
      <c r="B193" s="53">
        <v>40452</v>
      </c>
      <c r="C193">
        <v>261.8290624</v>
      </c>
      <c r="D193" s="54">
        <f t="shared" si="24"/>
        <v>-3.233358328266566E-4</v>
      </c>
      <c r="E193" s="54">
        <f t="shared" ca="1" si="25"/>
        <v>7.1557895989841011E-3</v>
      </c>
      <c r="F193" s="64">
        <f t="shared" ca="1" si="27"/>
        <v>-7.4791254318107578E-3</v>
      </c>
      <c r="G193">
        <f t="shared" ca="1" si="20"/>
        <v>1.1480930691142754E-2</v>
      </c>
      <c r="H193">
        <f t="shared" ca="1" si="28"/>
        <v>0.58469415981850603</v>
      </c>
      <c r="I193">
        <f t="shared" ca="1" si="29"/>
        <v>2.7179743715881965</v>
      </c>
      <c r="J193" s="57">
        <v>188</v>
      </c>
      <c r="O193" s="53">
        <v>42500</v>
      </c>
      <c r="P193">
        <v>723.17999299999997</v>
      </c>
      <c r="Q193" s="54">
        <f t="shared" si="21"/>
        <v>1.4419930781205776E-2</v>
      </c>
      <c r="R193">
        <f t="shared" ca="1" si="26"/>
        <v>0.33332729241527814</v>
      </c>
      <c r="S193">
        <f t="shared" ca="1" si="22"/>
        <v>0.24680298013683344</v>
      </c>
      <c r="T193" s="56">
        <f t="shared" ca="1" si="23"/>
        <v>1.3254411195689788</v>
      </c>
    </row>
    <row r="194" spans="2:20" x14ac:dyDescent="0.25">
      <c r="B194" s="53">
        <v>40455</v>
      </c>
      <c r="C194">
        <v>260.20015289999998</v>
      </c>
      <c r="D194" s="54">
        <f t="shared" si="24"/>
        <v>-6.2212707980885329E-3</v>
      </c>
      <c r="E194" s="54">
        <f t="shared" ca="1" si="25"/>
        <v>-6.6528699443307365E-3</v>
      </c>
      <c r="F194" s="64">
        <f t="shared" ca="1" si="27"/>
        <v>4.3159914624220364E-4</v>
      </c>
      <c r="G194">
        <f t="shared" ca="1" si="20"/>
        <v>1.0154130332145298E-2</v>
      </c>
      <c r="H194">
        <f t="shared" ca="1" si="28"/>
        <v>-0.49593429169443304</v>
      </c>
      <c r="I194">
        <f t="shared" ca="1" si="29"/>
        <v>2.7746532214300772</v>
      </c>
      <c r="J194" s="60">
        <v>189</v>
      </c>
      <c r="O194" s="53">
        <v>42501</v>
      </c>
      <c r="P194">
        <v>715.28997800000002</v>
      </c>
      <c r="Q194" s="54">
        <f t="shared" si="21"/>
        <v>-1.0910167698734924E-2</v>
      </c>
      <c r="R194">
        <f t="shared" ca="1" si="26"/>
        <v>-0.12777328118576101</v>
      </c>
      <c r="S194">
        <f t="shared" ca="1" si="22"/>
        <v>0.302001453768377</v>
      </c>
      <c r="T194" s="56">
        <f t="shared" ca="1" si="23"/>
        <v>-0.42681164585437398</v>
      </c>
    </row>
    <row r="195" spans="2:20" x14ac:dyDescent="0.25">
      <c r="B195" s="53">
        <v>40456</v>
      </c>
      <c r="C195">
        <v>268.11050599999999</v>
      </c>
      <c r="D195" s="54">
        <f t="shared" si="24"/>
        <v>3.0401031712844969E-2</v>
      </c>
      <c r="E195" s="54">
        <f t="shared" ca="1" si="25"/>
        <v>1.0914838180427174E-3</v>
      </c>
      <c r="F195" s="64">
        <f t="shared" ca="1" si="27"/>
        <v>2.9309547894802251E-2</v>
      </c>
      <c r="G195">
        <f t="shared" ca="1" si="20"/>
        <v>8.6540877603543676E-3</v>
      </c>
      <c r="H195">
        <f t="shared" ca="1" si="28"/>
        <v>0.14291600279730132</v>
      </c>
      <c r="I195">
        <f t="shared" ca="1" si="29"/>
        <v>2.1232871463482352</v>
      </c>
      <c r="J195" s="57">
        <v>190</v>
      </c>
      <c r="O195" s="53">
        <v>42502</v>
      </c>
      <c r="P195">
        <v>713.30999799999995</v>
      </c>
      <c r="Q195" s="54">
        <f t="shared" si="21"/>
        <v>-2.7680801645456141E-3</v>
      </c>
      <c r="R195">
        <f t="shared" ca="1" si="26"/>
        <v>-3.3462674997887951E-2</v>
      </c>
      <c r="S195">
        <f t="shared" ca="1" si="22"/>
        <v>9.7375140811743185E-2</v>
      </c>
      <c r="T195" s="56">
        <f t="shared" ca="1" si="23"/>
        <v>-0.41015362202950184</v>
      </c>
    </row>
    <row r="196" spans="2:20" x14ac:dyDescent="0.25">
      <c r="B196" s="53">
        <v>40457</v>
      </c>
      <c r="C196">
        <v>266.1777634</v>
      </c>
      <c r="D196" s="54">
        <f t="shared" si="24"/>
        <v>-7.2087536920316855E-3</v>
      </c>
      <c r="E196" s="54">
        <f t="shared" ca="1" si="25"/>
        <v>-5.74213627880126E-4</v>
      </c>
      <c r="F196" s="64">
        <f t="shared" ca="1" si="27"/>
        <v>-6.6345400641515595E-3</v>
      </c>
      <c r="G196">
        <f t="shared" ca="1" si="20"/>
        <v>3.2550479988215733E-3</v>
      </c>
      <c r="H196">
        <f t="shared" ca="1" si="28"/>
        <v>0.68182090555085995</v>
      </c>
      <c r="I196">
        <f t="shared" ca="1" si="29"/>
        <v>2.7288470289149909</v>
      </c>
      <c r="J196" s="60">
        <v>191</v>
      </c>
      <c r="O196" s="53">
        <v>42503</v>
      </c>
      <c r="P196">
        <v>710.830017</v>
      </c>
      <c r="Q196" s="54">
        <f t="shared" si="21"/>
        <v>-3.4767226128238743E-3</v>
      </c>
      <c r="R196">
        <f t="shared" ca="1" si="26"/>
        <v>-7.9850116582847186E-2</v>
      </c>
      <c r="S196">
        <f t="shared" ca="1" si="22"/>
        <v>9.3463769413139414E-2</v>
      </c>
      <c r="T196" s="56">
        <f t="shared" ca="1" si="23"/>
        <v>-0.80191602075626034</v>
      </c>
    </row>
    <row r="197" spans="2:20" x14ac:dyDescent="0.25">
      <c r="B197" s="53">
        <v>40458</v>
      </c>
      <c r="C197">
        <v>264.01586420000001</v>
      </c>
      <c r="D197" s="54">
        <f t="shared" si="24"/>
        <v>-8.1220127947021197E-3</v>
      </c>
      <c r="E197" s="54">
        <f t="shared" ca="1" si="25"/>
        <v>1.5354495430383877E-2</v>
      </c>
      <c r="F197" s="64">
        <f t="shared" ca="1" si="27"/>
        <v>-2.3476508225085999E-2</v>
      </c>
      <c r="G197">
        <f t="shared" ref="G197:G260" ca="1" si="30">SQRT(A_0+A_1*POWER(H196,2)+B_1*POWER(G196,2))</f>
        <v>1.1449321103777691E-2</v>
      </c>
      <c r="H197">
        <f t="shared" ca="1" si="28"/>
        <v>0.14855967624780056</v>
      </c>
      <c r="I197">
        <f t="shared" ca="1" si="29"/>
        <v>2.2943705889317307</v>
      </c>
      <c r="J197" s="57">
        <v>192</v>
      </c>
      <c r="O197" s="53">
        <v>42506</v>
      </c>
      <c r="P197">
        <v>716.48999000000003</v>
      </c>
      <c r="Q197" s="54">
        <f t="shared" ref="Q197:Q260" si="31">(P197-P196)/P196</f>
        <v>7.9624845105549843E-3</v>
      </c>
      <c r="R197">
        <f t="shared" ca="1" si="26"/>
        <v>0.13959901525687063</v>
      </c>
      <c r="S197">
        <f t="shared" ref="S197:S260" ca="1" si="32">SQRT(A_0+A_1*POWER(S196,2)+B_1*POWER(T196,2))</f>
        <v>0.18270780632056438</v>
      </c>
      <c r="T197" s="56">
        <f t="shared" ref="T197:T260" ca="1" si="33">_xlfn.NORM.INV(RAND(),0,1)</f>
        <v>0.77086074345308342</v>
      </c>
    </row>
    <row r="198" spans="2:20" x14ac:dyDescent="0.25">
      <c r="B198" s="53">
        <v>40459</v>
      </c>
      <c r="C198">
        <v>267.17401169999999</v>
      </c>
      <c r="D198" s="54">
        <f t="shared" si="24"/>
        <v>1.1961961110062659E-2</v>
      </c>
      <c r="E198" s="54">
        <f t="shared" ca="1" si="25"/>
        <v>-7.9378583133297483E-3</v>
      </c>
      <c r="F198" s="64">
        <f t="shared" ca="1" si="27"/>
        <v>1.9899819423392407E-2</v>
      </c>
      <c r="G198">
        <f t="shared" ca="1" si="30"/>
        <v>3.7376995337780107E-3</v>
      </c>
      <c r="H198">
        <f t="shared" ca="1" si="28"/>
        <v>-1.25749077409018</v>
      </c>
      <c r="I198">
        <f t="shared" ca="1" si="29"/>
        <v>2.48352648810071</v>
      </c>
      <c r="J198" s="60">
        <v>193</v>
      </c>
      <c r="O198" s="53">
        <v>42507</v>
      </c>
      <c r="P198">
        <v>706.22997999999995</v>
      </c>
      <c r="Q198" s="54">
        <f t="shared" si="31"/>
        <v>-1.4319823226002193E-2</v>
      </c>
      <c r="R198">
        <f t="shared" ca="1" si="26"/>
        <v>0.17788008664353569</v>
      </c>
      <c r="S198">
        <f t="shared" ca="1" si="32"/>
        <v>0.17565249440519784</v>
      </c>
      <c r="T198" s="56">
        <f t="shared" ca="1" si="33"/>
        <v>1.0215705492168479</v>
      </c>
    </row>
    <row r="199" spans="2:20" x14ac:dyDescent="0.25">
      <c r="B199" s="53">
        <v>40462</v>
      </c>
      <c r="C199">
        <v>268.41437000000002</v>
      </c>
      <c r="D199" s="54">
        <f t="shared" ref="D199:D262" si="34">(C199-C198)/C198</f>
        <v>4.6425110440486209E-3</v>
      </c>
      <c r="E199" s="54">
        <f t="shared" ca="1" si="25"/>
        <v>1.4984051060057796E-2</v>
      </c>
      <c r="F199" s="64">
        <f t="shared" ca="1" si="27"/>
        <v>-1.0341540016009175E-2</v>
      </c>
      <c r="G199">
        <f t="shared" ca="1" si="30"/>
        <v>2.1030975763231676E-2</v>
      </c>
      <c r="H199">
        <f t="shared" ca="1" si="28"/>
        <v>0.88591246267285662</v>
      </c>
      <c r="I199">
        <f t="shared" ca="1" si="29"/>
        <v>2.6725531230095285</v>
      </c>
      <c r="J199" s="57">
        <v>194</v>
      </c>
      <c r="O199" s="53">
        <v>42508</v>
      </c>
      <c r="P199">
        <v>706.63000499999998</v>
      </c>
      <c r="Q199" s="54">
        <f t="shared" si="31"/>
        <v>5.6642313598755448E-4</v>
      </c>
      <c r="R199">
        <f t="shared" ca="1" si="26"/>
        <v>-5.7447077600499441E-2</v>
      </c>
      <c r="S199">
        <f t="shared" ca="1" si="32"/>
        <v>0.23276231150651439</v>
      </c>
      <c r="T199" s="56">
        <f t="shared" ca="1" si="33"/>
        <v>-0.26216848292423051</v>
      </c>
    </row>
    <row r="200" spans="2:20" x14ac:dyDescent="0.25">
      <c r="B200" s="53">
        <v>40463</v>
      </c>
      <c r="C200">
        <v>269.68460540000001</v>
      </c>
      <c r="D200" s="54">
        <f t="shared" si="34"/>
        <v>4.7323673468003596E-3</v>
      </c>
      <c r="E200" s="54">
        <f t="shared" ref="E200:E263" ca="1" si="35">((E_1*D199)+(E_2*D198)+(G200*H200))</f>
        <v>1.7928888244982656E-2</v>
      </c>
      <c r="F200" s="64">
        <f t="shared" ca="1" si="27"/>
        <v>-1.3196520898182296E-2</v>
      </c>
      <c r="G200">
        <f t="shared" ca="1" si="30"/>
        <v>1.5576867516498659E-2</v>
      </c>
      <c r="H200">
        <f t="shared" ca="1" si="28"/>
        <v>0.80609608522348708</v>
      </c>
      <c r="I200">
        <f t="shared" ca="1" si="29"/>
        <v>2.6140628497266558</v>
      </c>
      <c r="J200" s="60">
        <v>195</v>
      </c>
      <c r="O200" s="53">
        <v>42509</v>
      </c>
      <c r="P200">
        <v>700.32000700000003</v>
      </c>
      <c r="Q200" s="54">
        <f t="shared" si="31"/>
        <v>-8.9297057234357761E-3</v>
      </c>
      <c r="R200">
        <f t="shared" ref="R200:R263" ca="1" si="36">((E_1*Q199)+(E_2*Q198)+(S200*T200))</f>
        <v>-6.545575390246261E-2</v>
      </c>
      <c r="S200">
        <f t="shared" ca="1" si="32"/>
        <v>5.9863860724473736E-2</v>
      </c>
      <c r="T200" s="56">
        <f t="shared" ca="1" si="33"/>
        <v>-0.98597790947410202</v>
      </c>
    </row>
    <row r="201" spans="2:20" x14ac:dyDescent="0.25">
      <c r="B201" s="53">
        <v>40464</v>
      </c>
      <c r="C201">
        <v>270.63605360000003</v>
      </c>
      <c r="D201" s="54">
        <f t="shared" si="34"/>
        <v>3.5280033822798836E-3</v>
      </c>
      <c r="E201" s="54">
        <f t="shared" ca="1" si="35"/>
        <v>1.7466726094372987E-2</v>
      </c>
      <c r="F201" s="64">
        <f t="shared" ref="F201:F264" ca="1" si="37">D201-E201</f>
        <v>-1.3938722712093104E-2</v>
      </c>
      <c r="G201">
        <f t="shared" ca="1" si="30"/>
        <v>1.3951670573094951E-2</v>
      </c>
      <c r="H201">
        <f t="shared" ref="H201:H264" ca="1" si="38">_xlfn.NORM.INV(RAND(),0,1)</f>
        <v>1.102491616812155</v>
      </c>
      <c r="I201">
        <f t="shared" ref="I201:I264" ca="1" si="39">LN(_xlfn.NORM.DIST(F201,AVERAGE($F$8:$F$1413),_xlfn.STDEV.S($F$8:$F$1413),FALSE))</f>
        <v>2.596700395667725</v>
      </c>
      <c r="J201" s="57">
        <v>196</v>
      </c>
      <c r="O201" s="53">
        <v>42510</v>
      </c>
      <c r="P201">
        <v>709.73999000000003</v>
      </c>
      <c r="Q201" s="54">
        <f t="shared" si="31"/>
        <v>1.3450969422325817E-2</v>
      </c>
      <c r="R201">
        <f t="shared" ca="1" si="36"/>
        <v>-6.9024044140912497E-2</v>
      </c>
      <c r="S201">
        <f t="shared" ca="1" si="32"/>
        <v>0.22463717154646415</v>
      </c>
      <c r="T201" s="56">
        <f t="shared" ca="1" si="33"/>
        <v>-0.3084007947083971</v>
      </c>
    </row>
    <row r="202" spans="2:20" x14ac:dyDescent="0.25">
      <c r="B202" s="53">
        <v>40465</v>
      </c>
      <c r="C202">
        <v>269.45547920000001</v>
      </c>
      <c r="D202" s="54">
        <f t="shared" si="34"/>
        <v>-4.3622214568089304E-3</v>
      </c>
      <c r="E202" s="54">
        <f t="shared" ca="1" si="35"/>
        <v>-6.4566725356762639E-3</v>
      </c>
      <c r="F202" s="64">
        <f t="shared" ca="1" si="37"/>
        <v>2.0944510788673334E-3</v>
      </c>
      <c r="G202">
        <f t="shared" ca="1" si="30"/>
        <v>1.8702040776820618E-2</v>
      </c>
      <c r="H202">
        <f t="shared" ca="1" si="38"/>
        <v>-0.45888758317710682</v>
      </c>
      <c r="I202">
        <f t="shared" ca="1" si="39"/>
        <v>2.7737063280946264</v>
      </c>
      <c r="J202" s="60">
        <v>197</v>
      </c>
      <c r="O202" s="53">
        <v>42513</v>
      </c>
      <c r="P202">
        <v>704.23999000000003</v>
      </c>
      <c r="Q202" s="54">
        <f t="shared" si="31"/>
        <v>-7.7493167603533229E-3</v>
      </c>
      <c r="R202">
        <f t="shared" ca="1" si="36"/>
        <v>3.477427267967928E-2</v>
      </c>
      <c r="S202">
        <f t="shared" ca="1" si="32"/>
        <v>7.0369326165375889E-2</v>
      </c>
      <c r="T202" s="56">
        <f t="shared" ca="1" si="33"/>
        <v>0.55115705484496136</v>
      </c>
    </row>
    <row r="203" spans="2:20" x14ac:dyDescent="0.25">
      <c r="B203" s="53">
        <v>40466</v>
      </c>
      <c r="C203">
        <v>299.60253410000001</v>
      </c>
      <c r="D203" s="54">
        <f t="shared" si="34"/>
        <v>0.11188139498779211</v>
      </c>
      <c r="E203" s="54">
        <f t="shared" ca="1" si="35"/>
        <v>-5.0509342910797948E-3</v>
      </c>
      <c r="F203" s="64">
        <f t="shared" ca="1" si="37"/>
        <v>0.1169323292788719</v>
      </c>
      <c r="G203">
        <f t="shared" ca="1" si="30"/>
        <v>8.8227522533464685E-3</v>
      </c>
      <c r="H203">
        <f t="shared" ca="1" si="38"/>
        <v>-0.75207326506614436</v>
      </c>
      <c r="I203">
        <f t="shared" ca="1" si="39"/>
        <v>-8.0999981701279182</v>
      </c>
      <c r="J203" s="57">
        <v>198</v>
      </c>
      <c r="O203" s="53">
        <v>42514</v>
      </c>
      <c r="P203">
        <v>720.09002699999996</v>
      </c>
      <c r="Q203" s="54">
        <f t="shared" si="31"/>
        <v>2.250658472263117E-2</v>
      </c>
      <c r="R203">
        <f t="shared" ca="1" si="36"/>
        <v>8.9157458770137074E-2</v>
      </c>
      <c r="S203">
        <f t="shared" ca="1" si="32"/>
        <v>0.12557816781039349</v>
      </c>
      <c r="T203" s="56">
        <f t="shared" ca="1" si="33"/>
        <v>0.66187056236171182</v>
      </c>
    </row>
    <row r="204" spans="2:20" x14ac:dyDescent="0.25">
      <c r="B204" s="53">
        <v>40469</v>
      </c>
      <c r="C204">
        <v>307.70218770000002</v>
      </c>
      <c r="D204" s="54">
        <f t="shared" si="34"/>
        <v>2.7034663189118902E-2</v>
      </c>
      <c r="E204" s="54">
        <f t="shared" ca="1" si="35"/>
        <v>-9.4830812776346383E-3</v>
      </c>
      <c r="F204" s="64">
        <f t="shared" ca="1" si="37"/>
        <v>3.6517744466753543E-2</v>
      </c>
      <c r="G204">
        <f t="shared" ca="1" si="30"/>
        <v>1.2753151066487301E-2</v>
      </c>
      <c r="H204">
        <f t="shared" ca="1" si="38"/>
        <v>-0.59011677341381097</v>
      </c>
      <c r="I204">
        <f t="shared" ca="1" si="39"/>
        <v>1.7505591234411115</v>
      </c>
      <c r="J204" s="60">
        <v>199</v>
      </c>
      <c r="O204" s="53">
        <v>42515</v>
      </c>
      <c r="P204">
        <v>725.27002000000005</v>
      </c>
      <c r="Q204" s="54">
        <f t="shared" si="31"/>
        <v>7.1935352605571939E-3</v>
      </c>
      <c r="R204">
        <f t="shared" ca="1" si="36"/>
        <v>3.8843303296384205E-2</v>
      </c>
      <c r="S204">
        <f t="shared" ca="1" si="32"/>
        <v>0.15081012386432313</v>
      </c>
      <c r="T204" s="56">
        <f t="shared" ca="1" si="33"/>
        <v>0.28063957318409366</v>
      </c>
    </row>
    <row r="205" spans="2:20" x14ac:dyDescent="0.25">
      <c r="B205" s="53">
        <v>40470</v>
      </c>
      <c r="C205">
        <v>302.78063980000002</v>
      </c>
      <c r="D205" s="54">
        <f t="shared" si="34"/>
        <v>-1.5994517090656378E-2</v>
      </c>
      <c r="E205" s="54">
        <f t="shared" ca="1" si="35"/>
        <v>4.8142234077645486E-2</v>
      </c>
      <c r="F205" s="64">
        <f t="shared" ca="1" si="37"/>
        <v>-6.4136751168301864E-2</v>
      </c>
      <c r="G205">
        <f t="shared" ca="1" si="30"/>
        <v>1.0318989750452241E-2</v>
      </c>
      <c r="H205">
        <f t="shared" ca="1" si="38"/>
        <v>-0.204129199385222</v>
      </c>
      <c r="I205">
        <f t="shared" ca="1" si="39"/>
        <v>-0.64340650861737736</v>
      </c>
      <c r="J205" s="57">
        <v>200</v>
      </c>
      <c r="O205" s="53">
        <v>42516</v>
      </c>
      <c r="P205">
        <v>724.11999500000002</v>
      </c>
      <c r="Q205" s="54">
        <f t="shared" si="31"/>
        <v>-1.5856508173328712E-3</v>
      </c>
      <c r="R205">
        <f t="shared" ca="1" si="36"/>
        <v>8.3625160457038397E-2</v>
      </c>
      <c r="S205">
        <f t="shared" ca="1" si="32"/>
        <v>6.3994839671587922E-2</v>
      </c>
      <c r="T205" s="56">
        <f t="shared" ca="1" si="33"/>
        <v>1.1487938542424574</v>
      </c>
    </row>
    <row r="206" spans="2:20" x14ac:dyDescent="0.25">
      <c r="B206" s="53">
        <v>40471</v>
      </c>
      <c r="C206">
        <v>302.85534730000001</v>
      </c>
      <c r="D206" s="54">
        <f t="shared" si="34"/>
        <v>2.4673803466871515E-4</v>
      </c>
      <c r="E206" s="54">
        <f t="shared" ca="1" si="35"/>
        <v>1.3941907629834195E-2</v>
      </c>
      <c r="F206" s="64">
        <f t="shared" ca="1" si="37"/>
        <v>-1.3695169595165479E-2</v>
      </c>
      <c r="G206">
        <f t="shared" ca="1" si="30"/>
        <v>4.2607080118045515E-3</v>
      </c>
      <c r="H206">
        <f t="shared" ca="1" si="38"/>
        <v>0.4225529107019394</v>
      </c>
      <c r="I206">
        <f t="shared" ca="1" si="39"/>
        <v>2.6024959897400137</v>
      </c>
      <c r="J206" s="60">
        <v>201</v>
      </c>
      <c r="O206" s="53">
        <v>42517</v>
      </c>
      <c r="P206">
        <v>732.65997300000004</v>
      </c>
      <c r="Q206" s="54">
        <f t="shared" si="31"/>
        <v>1.1793595065690762E-2</v>
      </c>
      <c r="R206">
        <f t="shared" ca="1" si="36"/>
        <v>-0.15916215423210656</v>
      </c>
      <c r="S206">
        <f t="shared" ca="1" si="32"/>
        <v>0.26173072499114824</v>
      </c>
      <c r="T206" s="56">
        <f t="shared" ca="1" si="33"/>
        <v>-0.62045786818394921</v>
      </c>
    </row>
    <row r="207" spans="2:20" x14ac:dyDescent="0.25">
      <c r="B207" s="53">
        <v>40472</v>
      </c>
      <c r="C207">
        <v>304.85284819999998</v>
      </c>
      <c r="D207" s="54">
        <f t="shared" si="34"/>
        <v>6.5955609428989511E-3</v>
      </c>
      <c r="E207" s="54">
        <f t="shared" ca="1" si="35"/>
        <v>-1.0160170590557646E-2</v>
      </c>
      <c r="F207" s="64">
        <f t="shared" ca="1" si="37"/>
        <v>1.6755731533456598E-2</v>
      </c>
      <c r="G207">
        <f t="shared" ca="1" si="30"/>
        <v>7.1906567623866218E-3</v>
      </c>
      <c r="H207">
        <f t="shared" ca="1" si="38"/>
        <v>-0.41397009637787002</v>
      </c>
      <c r="I207">
        <f t="shared" ca="1" si="39"/>
        <v>2.5720067851328734</v>
      </c>
      <c r="J207" s="57">
        <v>202</v>
      </c>
      <c r="O207" s="53">
        <v>42521</v>
      </c>
      <c r="P207">
        <v>735.71997099999999</v>
      </c>
      <c r="Q207" s="54">
        <f t="shared" si="31"/>
        <v>4.176559540260227E-3</v>
      </c>
      <c r="R207">
        <f t="shared" ca="1" si="36"/>
        <v>-7.831618717597548E-2</v>
      </c>
      <c r="S207">
        <f t="shared" ca="1" si="32"/>
        <v>0.1414283296083064</v>
      </c>
      <c r="T207" s="56">
        <f t="shared" ca="1" si="33"/>
        <v>-0.54871780707179429</v>
      </c>
    </row>
    <row r="208" spans="2:20" x14ac:dyDescent="0.25">
      <c r="B208" s="53">
        <v>40473</v>
      </c>
      <c r="C208">
        <v>305.1218609</v>
      </c>
      <c r="D208" s="54">
        <f t="shared" si="34"/>
        <v>8.8243459619420043E-4</v>
      </c>
      <c r="E208" s="54">
        <f t="shared" ca="1" si="35"/>
        <v>-1.6782036132422231E-3</v>
      </c>
      <c r="F208" s="64">
        <f t="shared" ca="1" si="37"/>
        <v>2.5606382094364236E-3</v>
      </c>
      <c r="G208">
        <f t="shared" ca="1" si="30"/>
        <v>7.1726377462580249E-3</v>
      </c>
      <c r="H208">
        <f t="shared" ca="1" si="38"/>
        <v>-0.24943853768946211</v>
      </c>
      <c r="I208">
        <f t="shared" ca="1" si="39"/>
        <v>2.7726390223694359</v>
      </c>
      <c r="J208" s="60">
        <v>203</v>
      </c>
      <c r="O208" s="53">
        <v>42522</v>
      </c>
      <c r="P208">
        <v>734.15002400000003</v>
      </c>
      <c r="Q208" s="54">
        <f t="shared" si="31"/>
        <v>-2.1338920538830344E-3</v>
      </c>
      <c r="R208">
        <f t="shared" ca="1" si="36"/>
        <v>0.31296779239839684</v>
      </c>
      <c r="S208">
        <f t="shared" ca="1" si="32"/>
        <v>0.12503925125732071</v>
      </c>
      <c r="T208" s="56">
        <f t="shared" ca="1" si="33"/>
        <v>2.460595193727904</v>
      </c>
    </row>
    <row r="209" spans="2:20" x14ac:dyDescent="0.25">
      <c r="B209" s="53">
        <v>40476</v>
      </c>
      <c r="C209">
        <v>307.09943390000001</v>
      </c>
      <c r="D209" s="54">
        <f t="shared" si="34"/>
        <v>6.4812563549752743E-3</v>
      </c>
      <c r="E209" s="54">
        <f t="shared" ca="1" si="35"/>
        <v>1.1884508292856796E-2</v>
      </c>
      <c r="F209" s="64">
        <f t="shared" ca="1" si="37"/>
        <v>-5.403251937881522E-3</v>
      </c>
      <c r="G209">
        <f t="shared" ca="1" si="30"/>
        <v>4.5850500994377161E-3</v>
      </c>
      <c r="H209">
        <f t="shared" ca="1" si="38"/>
        <v>1.9459535608226757</v>
      </c>
      <c r="I209">
        <f t="shared" ca="1" si="39"/>
        <v>2.7426329261693709</v>
      </c>
      <c r="J209" s="57">
        <v>204</v>
      </c>
      <c r="O209" s="53">
        <v>42523</v>
      </c>
      <c r="P209">
        <v>730.40002400000003</v>
      </c>
      <c r="Q209" s="54">
        <f t="shared" si="31"/>
        <v>-5.1079478000534669E-3</v>
      </c>
      <c r="R209">
        <f t="shared" ca="1" si="36"/>
        <v>-0.44984474521860218</v>
      </c>
      <c r="S209">
        <f t="shared" ca="1" si="32"/>
        <v>0.56059555105585401</v>
      </c>
      <c r="T209" s="56">
        <f t="shared" ca="1" si="33"/>
        <v>-0.80578678181214791</v>
      </c>
    </row>
    <row r="210" spans="2:20" x14ac:dyDescent="0.25">
      <c r="B210" s="53">
        <v>40477</v>
      </c>
      <c r="C210">
        <v>308.14551749999998</v>
      </c>
      <c r="D210" s="54">
        <f t="shared" si="34"/>
        <v>3.406335162247834E-3</v>
      </c>
      <c r="E210" s="54">
        <f t="shared" ca="1" si="35"/>
        <v>8.361503088322576E-3</v>
      </c>
      <c r="F210" s="64">
        <f t="shared" ca="1" si="37"/>
        <v>-4.955167926074742E-3</v>
      </c>
      <c r="G210">
        <f t="shared" ca="1" si="30"/>
        <v>3.2513480714870403E-2</v>
      </c>
      <c r="H210">
        <f t="shared" ca="1" si="38"/>
        <v>0.24497753447933243</v>
      </c>
      <c r="I210">
        <f t="shared" ca="1" si="39"/>
        <v>2.7470418930588862</v>
      </c>
      <c r="J210" s="60">
        <v>205</v>
      </c>
      <c r="O210" s="53">
        <v>42524</v>
      </c>
      <c r="P210">
        <v>722.34002699999996</v>
      </c>
      <c r="Q210" s="54">
        <f t="shared" si="31"/>
        <v>-1.1035044818125672E-2</v>
      </c>
      <c r="R210">
        <f t="shared" ca="1" si="36"/>
        <v>-0.24396043063331307</v>
      </c>
      <c r="S210">
        <f t="shared" ca="1" si="32"/>
        <v>0.18382131174673907</v>
      </c>
      <c r="T210" s="56">
        <f t="shared" ca="1" si="33"/>
        <v>-1.3219466591589493</v>
      </c>
    </row>
    <row r="211" spans="2:20" x14ac:dyDescent="0.25">
      <c r="B211" s="53">
        <v>40478</v>
      </c>
      <c r="C211">
        <v>307.0845109</v>
      </c>
      <c r="D211" s="54">
        <f t="shared" si="34"/>
        <v>-3.4431998511871417E-3</v>
      </c>
      <c r="E211" s="54">
        <f t="shared" ca="1" si="35"/>
        <v>4.7246387011395576E-3</v>
      </c>
      <c r="F211" s="64">
        <f t="shared" ca="1" si="37"/>
        <v>-8.1678385523266984E-3</v>
      </c>
      <c r="G211">
        <f t="shared" ca="1" si="30"/>
        <v>8.5210487485223273E-3</v>
      </c>
      <c r="H211">
        <f t="shared" ca="1" si="38"/>
        <v>0.21285149440638376</v>
      </c>
      <c r="I211">
        <f t="shared" ca="1" si="39"/>
        <v>2.7082551968974324</v>
      </c>
      <c r="J211" s="57">
        <v>206</v>
      </c>
      <c r="O211" s="53">
        <v>42527</v>
      </c>
      <c r="P211">
        <v>716.54998799999998</v>
      </c>
      <c r="Q211" s="54">
        <f t="shared" si="31"/>
        <v>-8.0156696065244899E-3</v>
      </c>
      <c r="R211">
        <f t="shared" ca="1" si="36"/>
        <v>-9.0398140590592473E-3</v>
      </c>
      <c r="S211">
        <f t="shared" ca="1" si="32"/>
        <v>0.30119285536240675</v>
      </c>
      <c r="T211" s="56">
        <f t="shared" ca="1" si="33"/>
        <v>-2.2396089767257148E-2</v>
      </c>
    </row>
    <row r="212" spans="2:20" x14ac:dyDescent="0.25">
      <c r="B212" s="53">
        <v>40479</v>
      </c>
      <c r="C212">
        <v>308.13556870000002</v>
      </c>
      <c r="D212" s="54">
        <f t="shared" si="34"/>
        <v>3.4226988424769286E-3</v>
      </c>
      <c r="E212" s="54">
        <f t="shared" ca="1" si="35"/>
        <v>1.3038921884160753E-3</v>
      </c>
      <c r="F212" s="64">
        <f t="shared" ca="1" si="37"/>
        <v>2.1188066540608532E-3</v>
      </c>
      <c r="G212">
        <f t="shared" ca="1" si="30"/>
        <v>4.1723781109191524E-3</v>
      </c>
      <c r="H212">
        <f t="shared" ca="1" si="38"/>
        <v>-5.4142221065066207E-2</v>
      </c>
      <c r="I212">
        <f t="shared" ca="1" si="39"/>
        <v>2.7736592611474742</v>
      </c>
      <c r="J212" s="60">
        <v>207</v>
      </c>
      <c r="O212" s="53">
        <v>42528</v>
      </c>
      <c r="P212">
        <v>716.65002400000003</v>
      </c>
      <c r="Q212" s="54">
        <f t="shared" si="31"/>
        <v>1.396078454753188E-4</v>
      </c>
      <c r="R212">
        <f t="shared" ca="1" si="36"/>
        <v>-1.3921169407606333E-2</v>
      </c>
      <c r="S212">
        <f t="shared" ca="1" si="32"/>
        <v>7.2337332949586027E-3</v>
      </c>
      <c r="T212" s="56">
        <f t="shared" ca="1" si="33"/>
        <v>-1.2393284715199699</v>
      </c>
    </row>
    <row r="213" spans="2:20" x14ac:dyDescent="0.25">
      <c r="B213" s="53">
        <v>40480</v>
      </c>
      <c r="C213">
        <v>305.70465639999998</v>
      </c>
      <c r="D213" s="54">
        <f t="shared" si="34"/>
        <v>-7.8890999512191175E-3</v>
      </c>
      <c r="E213" s="54">
        <f t="shared" ca="1" si="35"/>
        <v>-2.2771830797808264E-3</v>
      </c>
      <c r="F213" s="64">
        <f t="shared" ca="1" si="37"/>
        <v>-5.6119168714382911E-3</v>
      </c>
      <c r="G213">
        <f t="shared" ca="1" si="30"/>
        <v>1.6546046161305217E-3</v>
      </c>
      <c r="H213">
        <f t="shared" ca="1" si="38"/>
        <v>-0.44169588477217014</v>
      </c>
      <c r="I213">
        <f t="shared" ca="1" si="39"/>
        <v>2.7404690354064236</v>
      </c>
      <c r="J213" s="57">
        <v>208</v>
      </c>
      <c r="O213" s="53">
        <v>42529</v>
      </c>
      <c r="P213">
        <v>728.28002900000001</v>
      </c>
      <c r="Q213" s="54">
        <f t="shared" si="31"/>
        <v>1.6228290812141218E-2</v>
      </c>
      <c r="R213">
        <f t="shared" ca="1" si="36"/>
        <v>-0.2413468480204071</v>
      </c>
      <c r="S213">
        <f t="shared" ca="1" si="32"/>
        <v>0.28235468647465978</v>
      </c>
      <c r="T213" s="56">
        <f t="shared" ca="1" si="33"/>
        <v>-0.8420148984722523</v>
      </c>
    </row>
    <row r="214" spans="2:20" x14ac:dyDescent="0.25">
      <c r="B214" s="53">
        <v>40483</v>
      </c>
      <c r="C214">
        <v>306.35224060000002</v>
      </c>
      <c r="D214" s="54">
        <f t="shared" si="34"/>
        <v>2.118332797498206E-3</v>
      </c>
      <c r="E214" s="54">
        <f t="shared" ca="1" si="35"/>
        <v>1.5652448724204509E-3</v>
      </c>
      <c r="F214" s="64">
        <f t="shared" ca="1" si="37"/>
        <v>5.5308792507775513E-4</v>
      </c>
      <c r="G214">
        <f t="shared" ca="1" si="30"/>
        <v>7.4508229727786061E-3</v>
      </c>
      <c r="H214">
        <f t="shared" ca="1" si="38"/>
        <v>3.7818946756135855E-3</v>
      </c>
      <c r="I214">
        <f t="shared" ca="1" si="39"/>
        <v>2.7747353222133411</v>
      </c>
      <c r="J214" s="60">
        <v>209</v>
      </c>
      <c r="O214" s="53">
        <v>42530</v>
      </c>
      <c r="P214">
        <v>728.580017</v>
      </c>
      <c r="Q214" s="54">
        <f t="shared" si="31"/>
        <v>4.1191298409198147E-4</v>
      </c>
      <c r="R214">
        <f t="shared" ca="1" si="36"/>
        <v>-0.24037932976572668</v>
      </c>
      <c r="S214">
        <f t="shared" ca="1" si="32"/>
        <v>0.19189451622529291</v>
      </c>
      <c r="T214" s="56">
        <f t="shared" ca="1" si="33"/>
        <v>-1.2529920856768155</v>
      </c>
    </row>
    <row r="215" spans="2:20" x14ac:dyDescent="0.25">
      <c r="B215" s="53">
        <v>40484</v>
      </c>
      <c r="C215">
        <v>306.65113029999998</v>
      </c>
      <c r="D215" s="54">
        <f t="shared" si="34"/>
        <v>9.7564065278117975E-4</v>
      </c>
      <c r="E215" s="54">
        <f t="shared" ca="1" si="35"/>
        <v>-6.3453312632756739E-4</v>
      </c>
      <c r="F215" s="64">
        <f t="shared" ca="1" si="37"/>
        <v>1.610173779108747E-3</v>
      </c>
      <c r="G215">
        <f t="shared" ca="1" si="30"/>
        <v>1.9755750389519491E-3</v>
      </c>
      <c r="H215">
        <f t="shared" ca="1" si="38"/>
        <v>1.472271669826946</v>
      </c>
      <c r="I215">
        <f t="shared" ca="1" si="39"/>
        <v>2.7744431947728216</v>
      </c>
      <c r="J215" s="57">
        <v>210</v>
      </c>
      <c r="O215" s="53">
        <v>42531</v>
      </c>
      <c r="P215">
        <v>719.40997300000004</v>
      </c>
      <c r="Q215" s="54">
        <f t="shared" si="31"/>
        <v>-1.2586186535500275E-2</v>
      </c>
      <c r="R215">
        <f t="shared" ca="1" si="36"/>
        <v>-1.1077322453907685E-2</v>
      </c>
      <c r="S215">
        <f t="shared" ca="1" si="32"/>
        <v>0.28548555414680177</v>
      </c>
      <c r="T215" s="56">
        <f t="shared" ca="1" si="33"/>
        <v>-6.4331731381931906E-2</v>
      </c>
    </row>
    <row r="216" spans="2:20" x14ac:dyDescent="0.25">
      <c r="B216" s="53">
        <v>40485</v>
      </c>
      <c r="C216">
        <v>308.93256689999998</v>
      </c>
      <c r="D216" s="54">
        <f t="shared" si="34"/>
        <v>7.43984409177965E-3</v>
      </c>
      <c r="E216" s="54">
        <f t="shared" ca="1" si="35"/>
        <v>2.541057886753819E-3</v>
      </c>
      <c r="F216" s="64">
        <f t="shared" ca="1" si="37"/>
        <v>4.898786205025831E-3</v>
      </c>
      <c r="G216">
        <f t="shared" ca="1" si="30"/>
        <v>2.4599348867171487E-2</v>
      </c>
      <c r="H216">
        <f t="shared" ca="1" si="38"/>
        <v>6.4621848143941465E-2</v>
      </c>
      <c r="I216">
        <f t="shared" ca="1" si="39"/>
        <v>2.7619887867186934</v>
      </c>
      <c r="J216" s="60">
        <v>211</v>
      </c>
      <c r="O216" s="53">
        <v>42534</v>
      </c>
      <c r="P216">
        <v>718.35998500000005</v>
      </c>
      <c r="Q216" s="54">
        <f t="shared" si="31"/>
        <v>-1.4595127109809816E-3</v>
      </c>
      <c r="R216">
        <f t="shared" ca="1" si="36"/>
        <v>3.5152319345880201E-2</v>
      </c>
      <c r="S216">
        <f t="shared" ca="1" si="32"/>
        <v>1.5444684961839251E-2</v>
      </c>
      <c r="T216" s="56">
        <f t="shared" ca="1" si="33"/>
        <v>2.2640499281717807</v>
      </c>
    </row>
    <row r="217" spans="2:20" x14ac:dyDescent="0.25">
      <c r="B217" s="53">
        <v>40486</v>
      </c>
      <c r="C217">
        <v>310.96995479999998</v>
      </c>
      <c r="D217" s="54">
        <f t="shared" si="34"/>
        <v>6.5949275611965237E-3</v>
      </c>
      <c r="E217" s="54">
        <f t="shared" ca="1" si="35"/>
        <v>4.3216622874625915E-3</v>
      </c>
      <c r="F217" s="64">
        <f t="shared" ca="1" si="37"/>
        <v>2.2732652737339322E-3</v>
      </c>
      <c r="G217">
        <f t="shared" ca="1" si="30"/>
        <v>5.7957056436048794E-3</v>
      </c>
      <c r="H217">
        <f t="shared" ca="1" si="38"/>
        <v>0.670039949271515</v>
      </c>
      <c r="I217">
        <f t="shared" ca="1" si="39"/>
        <v>2.7733384581344831</v>
      </c>
      <c r="J217" s="57">
        <v>212</v>
      </c>
      <c r="O217" s="53">
        <v>42535</v>
      </c>
      <c r="P217">
        <v>718.27002000000005</v>
      </c>
      <c r="Q217" s="54">
        <f t="shared" si="31"/>
        <v>-1.2523665276262082E-4</v>
      </c>
      <c r="R217">
        <f t="shared" ca="1" si="36"/>
        <v>0.61669116062884732</v>
      </c>
      <c r="S217">
        <f t="shared" ca="1" si="32"/>
        <v>0.51581343198270568</v>
      </c>
      <c r="T217" s="56">
        <f t="shared" ca="1" si="33"/>
        <v>1.2065290580805867</v>
      </c>
    </row>
    <row r="218" spans="2:20" x14ac:dyDescent="0.25">
      <c r="B218" s="53">
        <v>40487</v>
      </c>
      <c r="C218">
        <v>311.37342799999999</v>
      </c>
      <c r="D218" s="54">
        <f t="shared" si="34"/>
        <v>1.297466825242011E-3</v>
      </c>
      <c r="E218" s="54">
        <f t="shared" ca="1" si="35"/>
        <v>1.2841751347208778E-2</v>
      </c>
      <c r="F218" s="64">
        <f t="shared" ca="1" si="37"/>
        <v>-1.1544284521966767E-2</v>
      </c>
      <c r="G218">
        <f t="shared" ca="1" si="30"/>
        <v>1.1306782261981478E-2</v>
      </c>
      <c r="H218">
        <f t="shared" ca="1" si="38"/>
        <v>0.84022620086698918</v>
      </c>
      <c r="I218">
        <f t="shared" ca="1" si="39"/>
        <v>2.6495178018157555</v>
      </c>
      <c r="J218" s="60">
        <v>213</v>
      </c>
      <c r="O218" s="53">
        <v>42536</v>
      </c>
      <c r="P218">
        <v>718.919983</v>
      </c>
      <c r="Q218" s="54">
        <f t="shared" si="31"/>
        <v>9.0490063889894356E-4</v>
      </c>
      <c r="R218">
        <f t="shared" ca="1" si="36"/>
        <v>8.3984619250120546E-2</v>
      </c>
      <c r="S218">
        <f t="shared" ca="1" si="32"/>
        <v>0.27501691011348661</v>
      </c>
      <c r="T218" s="56">
        <f t="shared" ca="1" si="33"/>
        <v>0.30776332176679849</v>
      </c>
    </row>
    <row r="219" spans="2:20" x14ac:dyDescent="0.25">
      <c r="B219" s="53">
        <v>40490</v>
      </c>
      <c r="C219">
        <v>312.21528749999999</v>
      </c>
      <c r="D219" s="54">
        <f t="shared" si="34"/>
        <v>2.7036973109985422E-3</v>
      </c>
      <c r="E219" s="54">
        <f t="shared" ca="1" si="35"/>
        <v>-9.5242144162340329E-3</v>
      </c>
      <c r="F219" s="64">
        <f t="shared" ca="1" si="37"/>
        <v>1.2227911727232576E-2</v>
      </c>
      <c r="G219">
        <f t="shared" ca="1" si="30"/>
        <v>1.4294943822203568E-2</v>
      </c>
      <c r="H219">
        <f t="shared" ca="1" si="38"/>
        <v>-0.87346623987318028</v>
      </c>
      <c r="I219">
        <f t="shared" ca="1" si="39"/>
        <v>2.6713646329668341</v>
      </c>
      <c r="J219" s="57">
        <v>214</v>
      </c>
      <c r="O219" s="53">
        <v>42537</v>
      </c>
      <c r="P219">
        <v>710.35998500000005</v>
      </c>
      <c r="Q219" s="54">
        <f t="shared" si="31"/>
        <v>-1.1906746512010574E-2</v>
      </c>
      <c r="R219">
        <f t="shared" ca="1" si="36"/>
        <v>-5.7079672797670324E-2</v>
      </c>
      <c r="S219">
        <f t="shared" ca="1" si="32"/>
        <v>7.0274231132642265E-2</v>
      </c>
      <c r="T219" s="56">
        <f t="shared" ca="1" si="33"/>
        <v>-0.81144170749554889</v>
      </c>
    </row>
    <row r="220" spans="2:20" x14ac:dyDescent="0.25">
      <c r="B220" s="53">
        <v>40491</v>
      </c>
      <c r="C220">
        <v>311.2439114</v>
      </c>
      <c r="D220" s="54">
        <f t="shared" si="34"/>
        <v>-3.1112381068143127E-3</v>
      </c>
      <c r="E220" s="54">
        <f t="shared" ca="1" si="35"/>
        <v>-9.6853540165862118E-3</v>
      </c>
      <c r="F220" s="64">
        <f t="shared" ca="1" si="37"/>
        <v>6.5741159097718986E-3</v>
      </c>
      <c r="G220">
        <f t="shared" ca="1" si="30"/>
        <v>1.4972866532791822E-2</v>
      </c>
      <c r="H220">
        <f t="shared" ca="1" si="38"/>
        <v>-0.68578177235311644</v>
      </c>
      <c r="I220">
        <f t="shared" ca="1" si="39"/>
        <v>2.7489256125278141</v>
      </c>
      <c r="J220" s="60">
        <v>215</v>
      </c>
      <c r="O220" s="53">
        <v>42538</v>
      </c>
      <c r="P220">
        <v>691.71997099999999</v>
      </c>
      <c r="Q220" s="54">
        <f t="shared" si="31"/>
        <v>-2.6240236490798482E-2</v>
      </c>
      <c r="R220">
        <f t="shared" ca="1" si="36"/>
        <v>4.5725566468166577E-2</v>
      </c>
      <c r="S220">
        <f t="shared" ca="1" si="32"/>
        <v>0.18487504589302597</v>
      </c>
      <c r="T220" s="56">
        <f t="shared" ca="1" si="33"/>
        <v>0.24513509891629748</v>
      </c>
    </row>
    <row r="221" spans="2:20" x14ac:dyDescent="0.25">
      <c r="B221" s="53">
        <v>40492</v>
      </c>
      <c r="C221">
        <v>310.27754010000001</v>
      </c>
      <c r="D221" s="54">
        <f t="shared" si="34"/>
        <v>-3.1048681262652697E-3</v>
      </c>
      <c r="E221" s="54">
        <f t="shared" ca="1" si="35"/>
        <v>-4.7062036989431368E-3</v>
      </c>
      <c r="F221" s="64">
        <f t="shared" ca="1" si="37"/>
        <v>1.6013355726778671E-3</v>
      </c>
      <c r="G221">
        <f t="shared" ca="1" si="30"/>
        <v>1.1986770559644387E-2</v>
      </c>
      <c r="H221">
        <f t="shared" ca="1" si="38"/>
        <v>-0.49391407511345436</v>
      </c>
      <c r="I221">
        <f t="shared" ca="1" si="39"/>
        <v>2.7744531218858928</v>
      </c>
      <c r="J221" s="57">
        <v>216</v>
      </c>
      <c r="O221" s="53">
        <v>42541</v>
      </c>
      <c r="P221">
        <v>693.71002199999998</v>
      </c>
      <c r="Q221" s="54">
        <f t="shared" si="31"/>
        <v>2.8769604513847326E-3</v>
      </c>
      <c r="R221">
        <f t="shared" ca="1" si="36"/>
        <v>8.9489458065804411E-3</v>
      </c>
      <c r="S221">
        <f t="shared" ca="1" si="32"/>
        <v>5.5942749748213484E-2</v>
      </c>
      <c r="T221" s="56">
        <f t="shared" ca="1" si="33"/>
        <v>0.25556406170248297</v>
      </c>
    </row>
    <row r="222" spans="2:20" x14ac:dyDescent="0.25">
      <c r="B222" s="53">
        <v>40493</v>
      </c>
      <c r="C222">
        <v>307.44315410000002</v>
      </c>
      <c r="D222" s="54">
        <f t="shared" si="34"/>
        <v>-9.13500216318105E-3</v>
      </c>
      <c r="E222" s="54">
        <f t="shared" ca="1" si="35"/>
        <v>-1.3086923752168678E-2</v>
      </c>
      <c r="F222" s="64">
        <f t="shared" ca="1" si="37"/>
        <v>3.9519215889876284E-3</v>
      </c>
      <c r="G222">
        <f t="shared" ca="1" si="30"/>
        <v>8.7431243329029878E-3</v>
      </c>
      <c r="H222">
        <f t="shared" ca="1" si="38"/>
        <v>-1.3369992753812228</v>
      </c>
      <c r="I222">
        <f t="shared" ca="1" si="39"/>
        <v>2.7673660029824476</v>
      </c>
      <c r="J222" s="60">
        <v>217</v>
      </c>
      <c r="O222" s="53">
        <v>42542</v>
      </c>
      <c r="P222">
        <v>695.94000200000005</v>
      </c>
      <c r="Q222" s="54">
        <f t="shared" si="31"/>
        <v>3.2145708282704738E-3</v>
      </c>
      <c r="R222">
        <f t="shared" ca="1" si="36"/>
        <v>-0.12094566310182545</v>
      </c>
      <c r="S222">
        <f t="shared" ca="1" si="32"/>
        <v>5.8240692371859235E-2</v>
      </c>
      <c r="T222" s="56">
        <f t="shared" ca="1" si="33"/>
        <v>-1.8743028710456446</v>
      </c>
    </row>
    <row r="223" spans="2:20" x14ac:dyDescent="0.25">
      <c r="B223" s="53">
        <v>40494</v>
      </c>
      <c r="C223">
        <v>300.5191006</v>
      </c>
      <c r="D223" s="54">
        <f t="shared" si="34"/>
        <v>-2.2521410568627828E-2</v>
      </c>
      <c r="E223" s="54">
        <f t="shared" ca="1" si="35"/>
        <v>-1.1940341859969353E-2</v>
      </c>
      <c r="F223" s="64">
        <f t="shared" ca="1" si="37"/>
        <v>-1.0581068708658475E-2</v>
      </c>
      <c r="G223">
        <f t="shared" ca="1" si="30"/>
        <v>2.2428042823102429E-2</v>
      </c>
      <c r="H223">
        <f t="shared" ca="1" si="38"/>
        <v>-0.47020268573258539</v>
      </c>
      <c r="I223">
        <f t="shared" ca="1" si="39"/>
        <v>2.6681519892148504</v>
      </c>
      <c r="J223" s="57">
        <v>218</v>
      </c>
      <c r="O223" s="53">
        <v>42543</v>
      </c>
      <c r="P223">
        <v>697.46002199999998</v>
      </c>
      <c r="Q223" s="54">
        <f t="shared" si="31"/>
        <v>2.1841250619761489E-3</v>
      </c>
      <c r="R223">
        <f t="shared" ca="1" si="36"/>
        <v>0.40478724256049847</v>
      </c>
      <c r="S223">
        <f t="shared" ca="1" si="32"/>
        <v>0.42701965962386518</v>
      </c>
      <c r="T223" s="56">
        <f t="shared" ca="1" si="33"/>
        <v>0.94490985955564777</v>
      </c>
    </row>
    <row r="224" spans="2:20" x14ac:dyDescent="0.25">
      <c r="B224" s="53">
        <v>40497</v>
      </c>
      <c r="C224">
        <v>296.62367760000001</v>
      </c>
      <c r="D224" s="54">
        <f t="shared" si="34"/>
        <v>-1.2962314183100527E-2</v>
      </c>
      <c r="E224" s="54">
        <f t="shared" ca="1" si="35"/>
        <v>-5.9511111806141324E-3</v>
      </c>
      <c r="F224" s="64">
        <f t="shared" ca="1" si="37"/>
        <v>-7.0112030024863945E-3</v>
      </c>
      <c r="G224">
        <f t="shared" ca="1" si="30"/>
        <v>9.4193644600916206E-3</v>
      </c>
      <c r="H224">
        <f t="shared" ca="1" si="38"/>
        <v>-0.19619270869893021</v>
      </c>
      <c r="I224">
        <f t="shared" ca="1" si="39"/>
        <v>2.7241404958552575</v>
      </c>
      <c r="J224" s="60">
        <v>219</v>
      </c>
      <c r="O224" s="53">
        <v>42544</v>
      </c>
      <c r="P224">
        <v>701.86999500000002</v>
      </c>
      <c r="Q224" s="54">
        <f t="shared" si="31"/>
        <v>6.3229043398849265E-3</v>
      </c>
      <c r="R224">
        <f t="shared" ca="1" si="36"/>
        <v>-0.10615177247220364</v>
      </c>
      <c r="S224">
        <f t="shared" ca="1" si="32"/>
        <v>0.21539658631235672</v>
      </c>
      <c r="T224" s="56">
        <f t="shared" ca="1" si="33"/>
        <v>-0.49952295018211584</v>
      </c>
    </row>
    <row r="225" spans="2:20" x14ac:dyDescent="0.25">
      <c r="B225" s="53">
        <v>40498</v>
      </c>
      <c r="C225">
        <v>290.77060990000001</v>
      </c>
      <c r="D225" s="54">
        <f t="shared" si="34"/>
        <v>-1.9732301033273943E-2</v>
      </c>
      <c r="E225" s="54">
        <f t="shared" ca="1" si="35"/>
        <v>-1.0351301263270132E-2</v>
      </c>
      <c r="F225" s="64">
        <f t="shared" ca="1" si="37"/>
        <v>-9.3809997700038117E-3</v>
      </c>
      <c r="G225">
        <f t="shared" ca="1" si="30"/>
        <v>4.0431129162804723E-3</v>
      </c>
      <c r="H225">
        <f t="shared" ca="1" si="38"/>
        <v>-5.8435499725205439E-2</v>
      </c>
      <c r="I225">
        <f t="shared" ca="1" si="39"/>
        <v>2.6892709752577928</v>
      </c>
      <c r="J225" s="57">
        <v>220</v>
      </c>
      <c r="O225" s="53">
        <v>42545</v>
      </c>
      <c r="P225">
        <v>675.21997099999999</v>
      </c>
      <c r="Q225" s="54">
        <f t="shared" si="31"/>
        <v>-3.7970028908273862E-2</v>
      </c>
      <c r="R225">
        <f t="shared" ca="1" si="36"/>
        <v>-0.13188070938558449</v>
      </c>
      <c r="S225">
        <f t="shared" ca="1" si="32"/>
        <v>0.11386620953154239</v>
      </c>
      <c r="T225" s="56">
        <f t="shared" ca="1" si="33"/>
        <v>-1.1668233553011882</v>
      </c>
    </row>
    <row r="226" spans="2:20" x14ac:dyDescent="0.25">
      <c r="B226" s="53">
        <v>40499</v>
      </c>
      <c r="C226">
        <v>290.68592330000001</v>
      </c>
      <c r="D226" s="54">
        <f t="shared" si="34"/>
        <v>-2.9124883023467401E-4</v>
      </c>
      <c r="E226" s="54">
        <f t="shared" ca="1" si="35"/>
        <v>-6.1269323964459506E-3</v>
      </c>
      <c r="F226" s="64">
        <f t="shared" ca="1" si="37"/>
        <v>5.835683566211277E-3</v>
      </c>
      <c r="G226">
        <f t="shared" ca="1" si="30"/>
        <v>1.6784676143669836E-3</v>
      </c>
      <c r="H226">
        <f t="shared" ca="1" si="38"/>
        <v>-0.18168800153750531</v>
      </c>
      <c r="I226">
        <f t="shared" ca="1" si="39"/>
        <v>2.7552423628111868</v>
      </c>
      <c r="J226" s="60">
        <v>221</v>
      </c>
      <c r="O226" s="53">
        <v>42548</v>
      </c>
      <c r="P226">
        <v>668.26000999999997</v>
      </c>
      <c r="Q226" s="54">
        <f t="shared" si="31"/>
        <v>-1.0307694231395921E-2</v>
      </c>
      <c r="R226">
        <f t="shared" ca="1" si="36"/>
        <v>-0.12425663562066708</v>
      </c>
      <c r="S226">
        <f t="shared" ca="1" si="32"/>
        <v>0.26584292192131054</v>
      </c>
      <c r="T226" s="56">
        <f t="shared" ca="1" si="33"/>
        <v>-0.4780857933821443</v>
      </c>
    </row>
    <row r="227" spans="2:20" x14ac:dyDescent="0.25">
      <c r="B227" s="53">
        <v>40500</v>
      </c>
      <c r="C227">
        <v>297.16664750000001</v>
      </c>
      <c r="D227" s="54">
        <f t="shared" si="34"/>
        <v>2.2294592481217672E-2</v>
      </c>
      <c r="E227" s="54">
        <f t="shared" ca="1" si="35"/>
        <v>-3.6484949407420766E-3</v>
      </c>
      <c r="F227" s="64">
        <f t="shared" ca="1" si="37"/>
        <v>2.5943087421959748E-2</v>
      </c>
      <c r="G227">
        <f t="shared" ca="1" si="30"/>
        <v>3.2187975555867526E-3</v>
      </c>
      <c r="H227">
        <f t="shared" ca="1" si="38"/>
        <v>1.6197606679582124</v>
      </c>
      <c r="I227">
        <f t="shared" ca="1" si="39"/>
        <v>2.2686034976687544</v>
      </c>
      <c r="J227" s="57">
        <v>222</v>
      </c>
      <c r="O227" s="53">
        <v>42549</v>
      </c>
      <c r="P227">
        <v>680.03997800000002</v>
      </c>
      <c r="Q227" s="54">
        <f t="shared" si="31"/>
        <v>1.7627821242812442E-2</v>
      </c>
      <c r="R227">
        <f t="shared" ca="1" si="36"/>
        <v>4.5728467434730177E-2</v>
      </c>
      <c r="S227">
        <f t="shared" ca="1" si="32"/>
        <v>0.10901601070008871</v>
      </c>
      <c r="T227" s="56">
        <f t="shared" ca="1" si="33"/>
        <v>0.57589472527941321</v>
      </c>
    </row>
    <row r="228" spans="2:20" x14ac:dyDescent="0.25">
      <c r="B228" s="53">
        <v>40501</v>
      </c>
      <c r="C228">
        <v>294.312364</v>
      </c>
      <c r="D228" s="54">
        <f t="shared" si="34"/>
        <v>-9.6049927675682656E-3</v>
      </c>
      <c r="E228" s="54">
        <f t="shared" ca="1" si="35"/>
        <v>-2.549423984923347E-2</v>
      </c>
      <c r="F228" s="64">
        <f t="shared" ca="1" si="37"/>
        <v>1.5889247081665205E-2</v>
      </c>
      <c r="G228">
        <f t="shared" ca="1" si="30"/>
        <v>2.7065109118899672E-2</v>
      </c>
      <c r="H228">
        <f t="shared" ca="1" si="38"/>
        <v>-0.9371408135906677</v>
      </c>
      <c r="I228">
        <f t="shared" ca="1" si="39"/>
        <v>2.593583774091893</v>
      </c>
      <c r="J228" s="60">
        <v>223</v>
      </c>
      <c r="O228" s="53">
        <v>42550</v>
      </c>
      <c r="P228">
        <v>684.10998500000005</v>
      </c>
      <c r="Q228" s="54">
        <f t="shared" si="31"/>
        <v>5.9849525493632554E-3</v>
      </c>
      <c r="R228">
        <f t="shared" ca="1" si="36"/>
        <v>0.18440248495747905</v>
      </c>
      <c r="S228">
        <f t="shared" ca="1" si="32"/>
        <v>0.1312210344292733</v>
      </c>
      <c r="T228" s="56">
        <f t="shared" ca="1" si="33"/>
        <v>1.4405584738517077</v>
      </c>
    </row>
    <row r="229" spans="2:20" x14ac:dyDescent="0.25">
      <c r="B229" s="53">
        <v>40504</v>
      </c>
      <c r="C229">
        <v>294.5066084</v>
      </c>
      <c r="D229" s="54">
        <f t="shared" si="34"/>
        <v>6.5999401914355969E-4</v>
      </c>
      <c r="E229" s="54">
        <f t="shared" ca="1" si="35"/>
        <v>3.5582621864070269E-2</v>
      </c>
      <c r="F229" s="64">
        <f t="shared" ca="1" si="37"/>
        <v>-3.492262784492671E-2</v>
      </c>
      <c r="G229">
        <f t="shared" ca="1" si="30"/>
        <v>1.6844064117484254E-2</v>
      </c>
      <c r="H229">
        <f t="shared" ca="1" si="38"/>
        <v>1.5180326556056585</v>
      </c>
      <c r="I229">
        <f t="shared" ca="1" si="39"/>
        <v>1.7375113681439496</v>
      </c>
      <c r="J229" s="57">
        <v>224</v>
      </c>
      <c r="O229" s="53">
        <v>42551</v>
      </c>
      <c r="P229">
        <v>692.09997599999997</v>
      </c>
      <c r="Q229" s="54">
        <f t="shared" si="31"/>
        <v>1.167939538260053E-2</v>
      </c>
      <c r="R229">
        <f t="shared" ca="1" si="36"/>
        <v>0.1231611259127241</v>
      </c>
      <c r="S229">
        <f t="shared" ca="1" si="32"/>
        <v>0.32820740552401712</v>
      </c>
      <c r="T229" s="56">
        <f t="shared" ca="1" si="33"/>
        <v>0.35113167239556459</v>
      </c>
    </row>
    <row r="230" spans="2:20" x14ac:dyDescent="0.25">
      <c r="B230" s="53">
        <v>40505</v>
      </c>
      <c r="C230">
        <v>290.41694100000001</v>
      </c>
      <c r="D230" s="54">
        <f t="shared" si="34"/>
        <v>-1.3886504694133703E-2</v>
      </c>
      <c r="E230" s="54">
        <f t="shared" ca="1" si="35"/>
        <v>-2.560796971610485E-2</v>
      </c>
      <c r="F230" s="64">
        <f t="shared" ca="1" si="37"/>
        <v>1.1721465021971147E-2</v>
      </c>
      <c r="G230">
        <f t="shared" ca="1" si="30"/>
        <v>2.5647157879334623E-2</v>
      </c>
      <c r="H230">
        <f t="shared" ca="1" si="38"/>
        <v>-0.83027470590965413</v>
      </c>
      <c r="I230">
        <f t="shared" ca="1" si="39"/>
        <v>2.6804182814707196</v>
      </c>
      <c r="J230" s="60">
        <v>225</v>
      </c>
      <c r="O230" s="53">
        <v>42552</v>
      </c>
      <c r="P230">
        <v>699.21002199999998</v>
      </c>
      <c r="Q230" s="54">
        <f t="shared" si="31"/>
        <v>1.0273148745203846E-2</v>
      </c>
      <c r="R230">
        <f t="shared" ca="1" si="36"/>
        <v>1.2573615980882025E-2</v>
      </c>
      <c r="S230">
        <f t="shared" ca="1" si="32"/>
        <v>8.0191084897620904E-2</v>
      </c>
      <c r="T230" s="56">
        <f t="shared" ca="1" si="33"/>
        <v>0.12327371126221491</v>
      </c>
    </row>
    <row r="231" spans="2:20" x14ac:dyDescent="0.25">
      <c r="B231" s="53">
        <v>40506</v>
      </c>
      <c r="C231">
        <v>296.37462319999997</v>
      </c>
      <c r="D231" s="54">
        <f t="shared" si="34"/>
        <v>2.0514237838487409E-2</v>
      </c>
      <c r="E231" s="54">
        <f t="shared" ca="1" si="35"/>
        <v>-1.2487041178417835E-2</v>
      </c>
      <c r="F231" s="64">
        <f t="shared" ca="1" si="37"/>
        <v>3.3001279016905243E-2</v>
      </c>
      <c r="G231">
        <f t="shared" ca="1" si="30"/>
        <v>1.5073824028409925E-2</v>
      </c>
      <c r="H231">
        <f t="shared" ca="1" si="38"/>
        <v>-0.84804084048100115</v>
      </c>
      <c r="I231">
        <f t="shared" ca="1" si="39"/>
        <v>1.9428794408390433</v>
      </c>
      <c r="J231" s="57">
        <v>226</v>
      </c>
      <c r="O231" s="53">
        <v>42556</v>
      </c>
      <c r="P231">
        <v>694.95001200000002</v>
      </c>
      <c r="Q231" s="54">
        <f t="shared" si="31"/>
        <v>-6.0926043191068075E-3</v>
      </c>
      <c r="R231">
        <f t="shared" ca="1" si="36"/>
        <v>-7.4680703509759118E-3</v>
      </c>
      <c r="S231">
        <f t="shared" ca="1" si="32"/>
        <v>2.8135081486687526E-2</v>
      </c>
      <c r="T231" s="56">
        <f t="shared" ca="1" si="33"/>
        <v>-0.45188060979273542</v>
      </c>
    </row>
    <row r="232" spans="2:20" x14ac:dyDescent="0.25">
      <c r="B232" s="53">
        <v>40508</v>
      </c>
      <c r="C232">
        <v>293.89891069999999</v>
      </c>
      <c r="D232" s="54">
        <f t="shared" si="34"/>
        <v>-8.3533214594061992E-3</v>
      </c>
      <c r="E232" s="54">
        <f t="shared" ca="1" si="35"/>
        <v>-4.2965542881464799E-3</v>
      </c>
      <c r="F232" s="64">
        <f t="shared" ca="1" si="37"/>
        <v>-4.0567671712597193E-3</v>
      </c>
      <c r="G232">
        <f t="shared" ca="1" si="30"/>
        <v>1.4600662422514548E-2</v>
      </c>
      <c r="H232">
        <f t="shared" ca="1" si="38"/>
        <v>0.13285695583821786</v>
      </c>
      <c r="I232">
        <f t="shared" ca="1" si="39"/>
        <v>2.7549045237152492</v>
      </c>
      <c r="J232" s="60">
        <v>227</v>
      </c>
      <c r="O232" s="53">
        <v>42557</v>
      </c>
      <c r="P232">
        <v>697.77002000000005</v>
      </c>
      <c r="Q232" s="54">
        <f t="shared" si="31"/>
        <v>4.0578573297442144E-3</v>
      </c>
      <c r="R232">
        <f t="shared" ca="1" si="36"/>
        <v>0.11497496984144664</v>
      </c>
      <c r="S232">
        <f t="shared" ca="1" si="32"/>
        <v>0.10295675122100545</v>
      </c>
      <c r="T232" s="56">
        <f t="shared" ca="1" si="33"/>
        <v>1.0719180303701563</v>
      </c>
    </row>
    <row r="233" spans="2:20" x14ac:dyDescent="0.25">
      <c r="B233" s="53">
        <v>40511</v>
      </c>
      <c r="C233">
        <v>289.96863689999998</v>
      </c>
      <c r="D233" s="54">
        <f t="shared" si="34"/>
        <v>-1.33728763765711E-2</v>
      </c>
      <c r="E233" s="54">
        <f t="shared" ca="1" si="35"/>
        <v>8.2304590300112113E-3</v>
      </c>
      <c r="F233" s="64">
        <f t="shared" ca="1" si="37"/>
        <v>-2.1603335406582311E-2</v>
      </c>
      <c r="G233">
        <f t="shared" ca="1" si="30"/>
        <v>4.1231361733250881E-3</v>
      </c>
      <c r="H233">
        <f t="shared" ca="1" si="38"/>
        <v>-0.23835062735159368</v>
      </c>
      <c r="I233">
        <f t="shared" ca="1" si="39"/>
        <v>2.3653454076734133</v>
      </c>
      <c r="J233" s="57">
        <v>228</v>
      </c>
      <c r="O233" s="53">
        <v>42558</v>
      </c>
      <c r="P233">
        <v>695.35998500000005</v>
      </c>
      <c r="Q233" s="54">
        <f t="shared" si="31"/>
        <v>-3.4539102152884031E-3</v>
      </c>
      <c r="R233">
        <f t="shared" ca="1" si="36"/>
        <v>0.24632279302792193</v>
      </c>
      <c r="S233">
        <f t="shared" ca="1" si="32"/>
        <v>0.24422031971530239</v>
      </c>
      <c r="T233" s="56">
        <f t="shared" ca="1" si="33"/>
        <v>1.0198129050523741</v>
      </c>
    </row>
    <row r="234" spans="2:20" x14ac:dyDescent="0.25">
      <c r="B234" s="53">
        <v>40512</v>
      </c>
      <c r="C234">
        <v>276.8178881</v>
      </c>
      <c r="D234" s="54">
        <f t="shared" si="34"/>
        <v>-4.5352314445424681E-2</v>
      </c>
      <c r="E234" s="54">
        <f t="shared" ca="1" si="35"/>
        <v>-1.9783028830668396E-3</v>
      </c>
      <c r="F234" s="64">
        <f t="shared" ca="1" si="37"/>
        <v>-4.3374011562357845E-2</v>
      </c>
      <c r="G234">
        <f t="shared" ca="1" si="30"/>
        <v>4.2104461812659732E-3</v>
      </c>
      <c r="H234">
        <f t="shared" ca="1" si="38"/>
        <v>0.42123125974136144</v>
      </c>
      <c r="I234">
        <f t="shared" ca="1" si="39"/>
        <v>1.1904941095842474</v>
      </c>
      <c r="J234" s="60">
        <v>229</v>
      </c>
      <c r="O234" s="53">
        <v>42559</v>
      </c>
      <c r="P234">
        <v>705.63000499999998</v>
      </c>
      <c r="Q234" s="54">
        <f t="shared" si="31"/>
        <v>1.4769357198487529E-2</v>
      </c>
      <c r="R234">
        <f t="shared" ca="1" si="36"/>
        <v>-0.1062578055670098</v>
      </c>
      <c r="S234">
        <f t="shared" ca="1" si="32"/>
        <v>0.23237916702364592</v>
      </c>
      <c r="T234" s="56">
        <f t="shared" ca="1" si="33"/>
        <v>-0.46510284216768621</v>
      </c>
    </row>
    <row r="235" spans="2:20" x14ac:dyDescent="0.25">
      <c r="B235" s="53">
        <v>40513</v>
      </c>
      <c r="C235">
        <v>281.12175910000002</v>
      </c>
      <c r="D235" s="54">
        <f t="shared" si="34"/>
        <v>1.5547662145465284E-2</v>
      </c>
      <c r="E235" s="54">
        <f t="shared" ca="1" si="35"/>
        <v>4.664077855385979E-3</v>
      </c>
      <c r="F235" s="64">
        <f t="shared" ca="1" si="37"/>
        <v>1.0883584290079306E-2</v>
      </c>
      <c r="G235">
        <f t="shared" ca="1" si="30"/>
        <v>7.1674781765807983E-3</v>
      </c>
      <c r="H235">
        <f t="shared" ca="1" si="38"/>
        <v>1.4887922625300596</v>
      </c>
      <c r="I235">
        <f t="shared" ca="1" si="39"/>
        <v>2.6944869322587066</v>
      </c>
      <c r="J235" s="57">
        <v>230</v>
      </c>
      <c r="O235" s="53">
        <v>42562</v>
      </c>
      <c r="P235">
        <v>715.09002699999996</v>
      </c>
      <c r="Q235" s="54">
        <f t="shared" si="31"/>
        <v>1.3406490558745416E-2</v>
      </c>
      <c r="R235">
        <f t="shared" ca="1" si="36"/>
        <v>2.9193921337464009E-2</v>
      </c>
      <c r="S235">
        <f t="shared" ca="1" si="32"/>
        <v>0.10603888942632754</v>
      </c>
      <c r="T235" s="56">
        <f t="shared" ca="1" si="33"/>
        <v>0.28993973088925673</v>
      </c>
    </row>
    <row r="236" spans="2:20" x14ac:dyDescent="0.25">
      <c r="B236" s="53">
        <v>40514</v>
      </c>
      <c r="C236">
        <v>284.8428346</v>
      </c>
      <c r="D236" s="54">
        <f t="shared" si="34"/>
        <v>1.3236526094290449E-2</v>
      </c>
      <c r="E236" s="54">
        <f t="shared" ca="1" si="35"/>
        <v>-2.6690692297782655E-3</v>
      </c>
      <c r="F236" s="64">
        <f t="shared" ca="1" si="37"/>
        <v>1.5905595324068714E-2</v>
      </c>
      <c r="G236">
        <f t="shared" ca="1" si="30"/>
        <v>2.492430609828436E-2</v>
      </c>
      <c r="H236">
        <f t="shared" ca="1" si="38"/>
        <v>0.71012189913216117</v>
      </c>
      <c r="I236">
        <f t="shared" ca="1" si="39"/>
        <v>2.5931879020938924</v>
      </c>
      <c r="J236" s="60">
        <v>231</v>
      </c>
      <c r="O236" s="53">
        <v>42563</v>
      </c>
      <c r="P236">
        <v>720.64001499999995</v>
      </c>
      <c r="Q236" s="54">
        <f t="shared" si="31"/>
        <v>7.7612437461667821E-3</v>
      </c>
      <c r="R236">
        <f t="shared" ca="1" si="36"/>
        <v>2.0756435075211573E-2</v>
      </c>
      <c r="S236">
        <f t="shared" ca="1" si="32"/>
        <v>6.6087592254277683E-2</v>
      </c>
      <c r="T236" s="56">
        <f t="shared" ca="1" si="33"/>
        <v>0.21370108107813388</v>
      </c>
    </row>
    <row r="237" spans="2:20" x14ac:dyDescent="0.25">
      <c r="B237" s="53">
        <v>40515</v>
      </c>
      <c r="C237">
        <v>285.43063489999997</v>
      </c>
      <c r="D237" s="54">
        <f t="shared" si="34"/>
        <v>2.0635951781107905E-3</v>
      </c>
      <c r="E237" s="54">
        <f t="shared" ca="1" si="35"/>
        <v>3.0326578758619605E-3</v>
      </c>
      <c r="F237" s="64">
        <f t="shared" ca="1" si="37"/>
        <v>-9.6906269775116991E-4</v>
      </c>
      <c r="G237">
        <f t="shared" ca="1" si="30"/>
        <v>1.3181691442345203E-2</v>
      </c>
      <c r="H237">
        <f t="shared" ca="1" si="38"/>
        <v>-0.29968359651253723</v>
      </c>
      <c r="I237">
        <f t="shared" ca="1" si="39"/>
        <v>2.7719842657683502</v>
      </c>
      <c r="J237" s="57">
        <v>232</v>
      </c>
      <c r="O237" s="53">
        <v>42564</v>
      </c>
      <c r="P237">
        <v>716.97997999999995</v>
      </c>
      <c r="Q237" s="54">
        <f t="shared" si="31"/>
        <v>-5.078867289932538E-3</v>
      </c>
      <c r="R237">
        <f t="shared" ca="1" si="36"/>
        <v>-7.9254897787073217E-2</v>
      </c>
      <c r="S237">
        <f t="shared" ca="1" si="32"/>
        <v>4.8709879849416E-2</v>
      </c>
      <c r="T237" s="56">
        <f t="shared" ca="1" si="33"/>
        <v>-1.7506952434327936</v>
      </c>
    </row>
    <row r="238" spans="2:20" x14ac:dyDescent="0.25">
      <c r="B238" s="53">
        <v>40518</v>
      </c>
      <c r="C238">
        <v>288.10062210000001</v>
      </c>
      <c r="D238" s="54">
        <f t="shared" si="34"/>
        <v>9.354241884146252E-3</v>
      </c>
      <c r="E238" s="54">
        <f t="shared" ca="1" si="35"/>
        <v>-3.5715607594354482E-4</v>
      </c>
      <c r="F238" s="64">
        <f t="shared" ca="1" si="37"/>
        <v>9.7113979600897959E-3</v>
      </c>
      <c r="G238">
        <f t="shared" ca="1" si="30"/>
        <v>5.9209996987149753E-3</v>
      </c>
      <c r="H238">
        <f t="shared" ca="1" si="38"/>
        <v>-1.0643440186993922</v>
      </c>
      <c r="I238">
        <f t="shared" ca="1" si="39"/>
        <v>2.7122653339254539</v>
      </c>
      <c r="J238" s="60">
        <v>233</v>
      </c>
      <c r="O238" s="53">
        <v>42565</v>
      </c>
      <c r="P238">
        <v>720.95001200000002</v>
      </c>
      <c r="Q238" s="54">
        <f t="shared" si="31"/>
        <v>5.5371587920768168E-3</v>
      </c>
      <c r="R238">
        <f t="shared" ca="1" si="36"/>
        <v>0.26838265253729293</v>
      </c>
      <c r="S238">
        <f t="shared" ca="1" si="32"/>
        <v>0.39885827384201067</v>
      </c>
      <c r="T238" s="56">
        <f t="shared" ca="1" si="33"/>
        <v>0.66413818497635513</v>
      </c>
    </row>
    <row r="239" spans="2:20" x14ac:dyDescent="0.25">
      <c r="B239" s="53">
        <v>40519</v>
      </c>
      <c r="C239">
        <v>292.4742258</v>
      </c>
      <c r="D239" s="54">
        <f t="shared" si="34"/>
        <v>1.5180820048635326E-2</v>
      </c>
      <c r="E239" s="54">
        <f t="shared" ca="1" si="35"/>
        <v>-1.66629695658672E-2</v>
      </c>
      <c r="F239" s="64">
        <f t="shared" ca="1" si="37"/>
        <v>3.184378961450253E-2</v>
      </c>
      <c r="G239">
        <f t="shared" ca="1" si="30"/>
        <v>1.7845252419395694E-2</v>
      </c>
      <c r="H239">
        <f t="shared" ca="1" si="38"/>
        <v>-0.9856925687304986</v>
      </c>
      <c r="I239">
        <f t="shared" ca="1" si="39"/>
        <v>2.0018134780480792</v>
      </c>
      <c r="J239" s="57">
        <v>234</v>
      </c>
      <c r="O239" s="53">
        <v>42566</v>
      </c>
      <c r="P239">
        <v>719.84997599999997</v>
      </c>
      <c r="Q239" s="54">
        <f t="shared" si="31"/>
        <v>-1.5258145248495335E-3</v>
      </c>
      <c r="R239">
        <f t="shared" ca="1" si="36"/>
        <v>-0.17430420023229479</v>
      </c>
      <c r="S239">
        <f t="shared" ca="1" si="32"/>
        <v>0.1514585635099841</v>
      </c>
      <c r="T239" s="56">
        <f t="shared" ca="1" si="33"/>
        <v>-1.1357778038348809</v>
      </c>
    </row>
    <row r="240" spans="2:20" x14ac:dyDescent="0.25">
      <c r="B240" s="53">
        <v>40520</v>
      </c>
      <c r="C240">
        <v>294.16789349999999</v>
      </c>
      <c r="D240" s="54">
        <f t="shared" si="34"/>
        <v>5.7908271929512081E-3</v>
      </c>
      <c r="E240" s="54">
        <f t="shared" ca="1" si="35"/>
        <v>3.0453775770669159E-2</v>
      </c>
      <c r="F240" s="64">
        <f t="shared" ca="1" si="37"/>
        <v>-2.466294857771795E-2</v>
      </c>
      <c r="G240">
        <f t="shared" ca="1" si="30"/>
        <v>1.697764098774315E-2</v>
      </c>
      <c r="H240">
        <f t="shared" ca="1" si="38"/>
        <v>1.5462888389986869</v>
      </c>
      <c r="I240">
        <f t="shared" ca="1" si="39"/>
        <v>2.2464835489757502</v>
      </c>
      <c r="J240" s="60">
        <v>235</v>
      </c>
      <c r="O240" s="53">
        <v>42569</v>
      </c>
      <c r="P240">
        <v>733.78002900000001</v>
      </c>
      <c r="Q240" s="54">
        <f t="shared" si="31"/>
        <v>1.9351328005045378E-2</v>
      </c>
      <c r="R240">
        <f t="shared" ca="1" si="36"/>
        <v>-0.76057945310919872</v>
      </c>
      <c r="S240">
        <f t="shared" ca="1" si="32"/>
        <v>0.25877550514875342</v>
      </c>
      <c r="T240" s="56">
        <f t="shared" ca="1" si="33"/>
        <v>-2.94875774772171</v>
      </c>
    </row>
    <row r="241" spans="2:20" x14ac:dyDescent="0.25">
      <c r="B241" s="53">
        <v>40521</v>
      </c>
      <c r="C241">
        <v>294.6461046</v>
      </c>
      <c r="D241" s="54">
        <f t="shared" si="34"/>
        <v>1.6256400190730197E-3</v>
      </c>
      <c r="E241" s="54">
        <f t="shared" ca="1" si="35"/>
        <v>7.3563033148810755E-2</v>
      </c>
      <c r="F241" s="64">
        <f t="shared" ca="1" si="37"/>
        <v>-7.1937393129737737E-2</v>
      </c>
      <c r="G241">
        <f t="shared" ca="1" si="30"/>
        <v>2.6117711162806197E-2</v>
      </c>
      <c r="H241">
        <f t="shared" ca="1" si="38"/>
        <v>2.5555425820251991</v>
      </c>
      <c r="I241">
        <f t="shared" ca="1" si="39"/>
        <v>-1.5124148639593074</v>
      </c>
      <c r="J241" s="57">
        <v>236</v>
      </c>
      <c r="O241" s="53">
        <v>42570</v>
      </c>
      <c r="P241">
        <v>736.96002199999998</v>
      </c>
      <c r="Q241" s="54">
        <f t="shared" si="31"/>
        <v>4.3337142935515457E-3</v>
      </c>
      <c r="R241">
        <f t="shared" ca="1" si="36"/>
        <v>0.18388651427214403</v>
      </c>
      <c r="S241">
        <f t="shared" ca="1" si="32"/>
        <v>0.67182215761478026</v>
      </c>
      <c r="T241" s="56">
        <f t="shared" ca="1" si="33"/>
        <v>0.27473260974236019</v>
      </c>
    </row>
    <row r="242" spans="2:20" x14ac:dyDescent="0.25">
      <c r="B242" s="53">
        <v>40522</v>
      </c>
      <c r="C242">
        <v>294.99977339999998</v>
      </c>
      <c r="D242" s="54">
        <f t="shared" si="34"/>
        <v>1.2003172432233809E-3</v>
      </c>
      <c r="E242" s="54">
        <f t="shared" ca="1" si="35"/>
        <v>1.5204726226175996E-2</v>
      </c>
      <c r="F242" s="64">
        <f t="shared" ca="1" si="37"/>
        <v>-1.4004408982952615E-2</v>
      </c>
      <c r="G242">
        <f t="shared" ca="1" si="30"/>
        <v>4.3080873776057856E-2</v>
      </c>
      <c r="H242">
        <f t="shared" ca="1" si="38"/>
        <v>0.2925642084929817</v>
      </c>
      <c r="I242">
        <f t="shared" ca="1" si="39"/>
        <v>2.5951209138761326</v>
      </c>
      <c r="J242" s="60">
        <v>237</v>
      </c>
      <c r="O242" s="53">
        <v>42571</v>
      </c>
      <c r="P242">
        <v>741.19000200000005</v>
      </c>
      <c r="Q242" s="54">
        <f t="shared" si="31"/>
        <v>5.7397686085067842E-3</v>
      </c>
      <c r="R242">
        <f t="shared" ca="1" si="36"/>
        <v>4.95124657311952E-2</v>
      </c>
      <c r="S242">
        <f t="shared" ca="1" si="32"/>
        <v>6.3596171787600075E-2</v>
      </c>
      <c r="T242" s="56">
        <f t="shared" ca="1" si="33"/>
        <v>0.64188332278331472</v>
      </c>
    </row>
    <row r="243" spans="2:20" x14ac:dyDescent="0.25">
      <c r="B243" s="53">
        <v>40525</v>
      </c>
      <c r="C243">
        <v>296.2002761</v>
      </c>
      <c r="D243" s="54">
        <f t="shared" si="34"/>
        <v>4.069503803896873E-3</v>
      </c>
      <c r="E243" s="54">
        <f t="shared" ca="1" si="35"/>
        <v>7.6092477498523967E-3</v>
      </c>
      <c r="F243" s="64">
        <f t="shared" ca="1" si="37"/>
        <v>-3.5397439459555237E-3</v>
      </c>
      <c r="G243">
        <f t="shared" ca="1" si="30"/>
        <v>1.1009032777303007E-2</v>
      </c>
      <c r="H243">
        <f t="shared" ca="1" si="38"/>
        <v>0.62486139444408795</v>
      </c>
      <c r="I243">
        <f t="shared" ca="1" si="39"/>
        <v>2.7588382031079943</v>
      </c>
      <c r="J243" s="57">
        <v>238</v>
      </c>
      <c r="O243" s="53">
        <v>42572</v>
      </c>
      <c r="P243">
        <v>738.63000499999998</v>
      </c>
      <c r="Q243" s="54">
        <f t="shared" si="31"/>
        <v>-3.4539011496273076E-3</v>
      </c>
      <c r="R243">
        <f t="shared" ca="1" si="36"/>
        <v>0.33128730741799739</v>
      </c>
      <c r="S243">
        <f t="shared" ca="1" si="32"/>
        <v>0.1462458751893774</v>
      </c>
      <c r="T243" s="56">
        <f t="shared" ca="1" si="33"/>
        <v>2.251966766165816</v>
      </c>
    </row>
    <row r="244" spans="2:20" x14ac:dyDescent="0.25">
      <c r="B244" s="53">
        <v>40526</v>
      </c>
      <c r="C244">
        <v>296.34474660000001</v>
      </c>
      <c r="D244" s="54">
        <f t="shared" si="34"/>
        <v>4.8774600045017066E-4</v>
      </c>
      <c r="E244" s="54">
        <f t="shared" ca="1" si="35"/>
        <v>-7.2280299186507435E-3</v>
      </c>
      <c r="F244" s="64">
        <f t="shared" ca="1" si="37"/>
        <v>7.7157759191009145E-3</v>
      </c>
      <c r="G244">
        <f t="shared" ca="1" si="30"/>
        <v>1.0774579547888092E-2</v>
      </c>
      <c r="H244">
        <f t="shared" ca="1" si="38"/>
        <v>-0.72088071095155903</v>
      </c>
      <c r="I244">
        <f t="shared" ca="1" si="39"/>
        <v>2.7374254999861765</v>
      </c>
      <c r="J244" s="60">
        <v>239</v>
      </c>
      <c r="O244" s="53">
        <v>42573</v>
      </c>
      <c r="P244">
        <v>742.73999000000003</v>
      </c>
      <c r="Q244" s="54">
        <f t="shared" si="31"/>
        <v>5.5643352858378015E-3</v>
      </c>
      <c r="R244">
        <f t="shared" ca="1" si="36"/>
        <v>1.0992393855609972</v>
      </c>
      <c r="S244">
        <f t="shared" ca="1" si="32"/>
        <v>0.51306630580587054</v>
      </c>
      <c r="T244" s="56">
        <f t="shared" ca="1" si="33"/>
        <v>2.1374656406657095</v>
      </c>
    </row>
    <row r="245" spans="2:20" x14ac:dyDescent="0.25">
      <c r="B245" s="53">
        <v>40527</v>
      </c>
      <c r="C245">
        <v>294.04835559999998</v>
      </c>
      <c r="D245" s="54">
        <f t="shared" si="34"/>
        <v>-7.7490525016785574E-3</v>
      </c>
      <c r="E245" s="54">
        <f t="shared" ca="1" si="35"/>
        <v>9.8384274295321913E-3</v>
      </c>
      <c r="F245" s="64">
        <f t="shared" ca="1" si="37"/>
        <v>-1.758747993121075E-2</v>
      </c>
      <c r="G245">
        <f t="shared" ca="1" si="30"/>
        <v>1.2321831584329205E-2</v>
      </c>
      <c r="H245">
        <f t="shared" ca="1" si="38"/>
        <v>0.65012439954476908</v>
      </c>
      <c r="I245">
        <f t="shared" ca="1" si="39"/>
        <v>2.498400993050701</v>
      </c>
      <c r="J245" s="57">
        <v>240</v>
      </c>
      <c r="O245" s="53">
        <v>42576</v>
      </c>
      <c r="P245">
        <v>739.77002000000005</v>
      </c>
      <c r="Q245" s="54">
        <f t="shared" si="31"/>
        <v>-3.9986671513405235E-3</v>
      </c>
      <c r="R245">
        <f t="shared" ca="1" si="36"/>
        <v>0.18051754524072694</v>
      </c>
      <c r="S245">
        <f t="shared" ca="1" si="32"/>
        <v>0.48704936566197193</v>
      </c>
      <c r="T245" s="56">
        <f t="shared" ca="1" si="33"/>
        <v>0.37381973649181016</v>
      </c>
    </row>
    <row r="246" spans="2:20" x14ac:dyDescent="0.25">
      <c r="B246" s="53">
        <v>40528</v>
      </c>
      <c r="C246">
        <v>294.75071889999998</v>
      </c>
      <c r="D246" s="54">
        <f t="shared" si="34"/>
        <v>2.3885979520845918E-3</v>
      </c>
      <c r="E246" s="54">
        <f t="shared" ca="1" si="35"/>
        <v>4.9205795932074704E-4</v>
      </c>
      <c r="F246" s="64">
        <f t="shared" ca="1" si="37"/>
        <v>1.8965399927638447E-3</v>
      </c>
      <c r="G246">
        <f t="shared" ca="1" si="30"/>
        <v>1.1254125450553777E-2</v>
      </c>
      <c r="H246">
        <f t="shared" ca="1" si="38"/>
        <v>2.4269767210854245E-2</v>
      </c>
      <c r="I246">
        <f t="shared" ca="1" si="39"/>
        <v>2.7740532519958454</v>
      </c>
      <c r="J246" s="60">
        <v>241</v>
      </c>
      <c r="O246" s="53">
        <v>42577</v>
      </c>
      <c r="P246">
        <v>738.419983</v>
      </c>
      <c r="Q246" s="54">
        <f t="shared" si="31"/>
        <v>-1.8249414865447546E-3</v>
      </c>
      <c r="R246">
        <f t="shared" ca="1" si="36"/>
        <v>2.9816780482707445E-2</v>
      </c>
      <c r="S246">
        <f t="shared" ca="1" si="32"/>
        <v>8.5559416971741839E-2</v>
      </c>
      <c r="T246" s="56">
        <f t="shared" ca="1" si="33"/>
        <v>0.31928449186527463</v>
      </c>
    </row>
    <row r="247" spans="2:20" x14ac:dyDescent="0.25">
      <c r="B247" s="53">
        <v>40529</v>
      </c>
      <c r="C247">
        <v>294.29741009999998</v>
      </c>
      <c r="D247" s="54">
        <f t="shared" si="34"/>
        <v>-1.5379395907556583E-3</v>
      </c>
      <c r="E247" s="54">
        <f t="shared" ca="1" si="35"/>
        <v>1.5225672220825939E-3</v>
      </c>
      <c r="F247" s="64">
        <f t="shared" ca="1" si="37"/>
        <v>-3.0605068128382522E-3</v>
      </c>
      <c r="G247">
        <f t="shared" ca="1" si="30"/>
        <v>2.7848859802487792E-3</v>
      </c>
      <c r="H247">
        <f t="shared" ca="1" si="38"/>
        <v>1.7964041519965817</v>
      </c>
      <c r="I247">
        <f t="shared" ca="1" si="39"/>
        <v>2.7620986779999708</v>
      </c>
      <c r="J247" s="57">
        <v>242</v>
      </c>
      <c r="O247" s="53">
        <v>42578</v>
      </c>
      <c r="P247">
        <v>741.77002000000005</v>
      </c>
      <c r="Q247" s="54">
        <f t="shared" si="31"/>
        <v>4.5367637349002284E-3</v>
      </c>
      <c r="R247">
        <f t="shared" ca="1" si="36"/>
        <v>4.6759975761562288E-2</v>
      </c>
      <c r="S247">
        <f t="shared" ca="1" si="32"/>
        <v>7.2762732808902414E-2</v>
      </c>
      <c r="T247" s="56">
        <f t="shared" ca="1" si="33"/>
        <v>0.66731810147483128</v>
      </c>
    </row>
    <row r="248" spans="2:20" x14ac:dyDescent="0.25">
      <c r="B248" s="53">
        <v>40532</v>
      </c>
      <c r="C248">
        <v>296.4194536</v>
      </c>
      <c r="D248" s="54">
        <f t="shared" si="34"/>
        <v>7.2105408582391669E-3</v>
      </c>
      <c r="E248" s="54">
        <f t="shared" ca="1" si="35"/>
        <v>-2.8030453485987986E-2</v>
      </c>
      <c r="F248" s="64">
        <f t="shared" ca="1" si="37"/>
        <v>3.5240994344227151E-2</v>
      </c>
      <c r="G248">
        <f t="shared" ca="1" si="30"/>
        <v>3.0008490922313044E-2</v>
      </c>
      <c r="H248">
        <f t="shared" ca="1" si="38"/>
        <v>-0.96983197979968871</v>
      </c>
      <c r="I248">
        <f t="shared" ca="1" si="39"/>
        <v>1.8226965021485764</v>
      </c>
      <c r="J248" s="60">
        <v>243</v>
      </c>
      <c r="O248" s="53">
        <v>42579</v>
      </c>
      <c r="P248">
        <v>745.90997300000004</v>
      </c>
      <c r="Q248" s="54">
        <f t="shared" si="31"/>
        <v>5.5811813478252887E-3</v>
      </c>
      <c r="R248">
        <f t="shared" ca="1" si="36"/>
        <v>-0.24367650973477742</v>
      </c>
      <c r="S248">
        <f t="shared" ca="1" si="32"/>
        <v>0.1520414779589295</v>
      </c>
      <c r="T248" s="56">
        <f t="shared" ca="1" si="33"/>
        <v>-1.5973073493296337</v>
      </c>
    </row>
    <row r="249" spans="2:20" x14ac:dyDescent="0.25">
      <c r="B249" s="53">
        <v>40533</v>
      </c>
      <c r="C249">
        <v>300.40951189999998</v>
      </c>
      <c r="D249" s="54">
        <f t="shared" si="34"/>
        <v>1.3460851680080106E-2</v>
      </c>
      <c r="E249" s="54">
        <f t="shared" ca="1" si="35"/>
        <v>2.361316512454522E-4</v>
      </c>
      <c r="F249" s="64">
        <f t="shared" ca="1" si="37"/>
        <v>1.3224720028834654E-2</v>
      </c>
      <c r="G249">
        <f t="shared" ca="1" si="30"/>
        <v>1.760144399085347E-2</v>
      </c>
      <c r="H249">
        <f t="shared" ca="1" si="38"/>
        <v>5.2650615581055785E-2</v>
      </c>
      <c r="I249">
        <f t="shared" ca="1" si="39"/>
        <v>2.6523343206598615</v>
      </c>
      <c r="J249" s="57">
        <v>244</v>
      </c>
      <c r="O249" s="53">
        <v>42580</v>
      </c>
      <c r="P249">
        <v>768.78997800000002</v>
      </c>
      <c r="Q249" s="54">
        <f t="shared" si="31"/>
        <v>3.0673949710014109E-2</v>
      </c>
      <c r="R249">
        <f t="shared" ca="1" si="36"/>
        <v>0.51397220249368303</v>
      </c>
      <c r="S249">
        <f t="shared" ca="1" si="32"/>
        <v>0.36392046681013618</v>
      </c>
      <c r="T249" s="56">
        <f t="shared" ca="1" si="33"/>
        <v>1.4067209776366607</v>
      </c>
    </row>
    <row r="250" spans="2:20" x14ac:dyDescent="0.25">
      <c r="B250" s="53">
        <v>40534</v>
      </c>
      <c r="C250">
        <v>301.61498849999998</v>
      </c>
      <c r="D250" s="54">
        <f t="shared" si="34"/>
        <v>4.0127777325548704E-3</v>
      </c>
      <c r="E250" s="54">
        <f t="shared" ca="1" si="35"/>
        <v>3.239074622457626E-3</v>
      </c>
      <c r="F250" s="64">
        <f t="shared" ca="1" si="37"/>
        <v>7.7370311009724441E-4</v>
      </c>
      <c r="G250">
        <f t="shared" ca="1" si="30"/>
        <v>4.2273570987194347E-3</v>
      </c>
      <c r="H250">
        <f t="shared" ca="1" si="38"/>
        <v>1.0510829504848797E-4</v>
      </c>
      <c r="I250">
        <f t="shared" ca="1" si="39"/>
        <v>2.7748234385364428</v>
      </c>
      <c r="J250" s="60">
        <v>245</v>
      </c>
      <c r="O250" s="53">
        <v>42583</v>
      </c>
      <c r="P250">
        <v>772.88000499999998</v>
      </c>
      <c r="Q250" s="54">
        <f t="shared" si="31"/>
        <v>5.3200836600915775E-3</v>
      </c>
      <c r="R250">
        <f t="shared" ca="1" si="36"/>
        <v>-0.3304080801532937</v>
      </c>
      <c r="S250">
        <f t="shared" ca="1" si="32"/>
        <v>0.32054858920561591</v>
      </c>
      <c r="T250" s="56">
        <f t="shared" ca="1" si="33"/>
        <v>-1.0385796110424055</v>
      </c>
    </row>
    <row r="251" spans="2:20" x14ac:dyDescent="0.25">
      <c r="B251" s="53">
        <v>40535</v>
      </c>
      <c r="C251">
        <v>300.9873326</v>
      </c>
      <c r="D251" s="54">
        <f t="shared" si="34"/>
        <v>-2.0809837837352015E-3</v>
      </c>
      <c r="E251" s="54">
        <f t="shared" ca="1" si="35"/>
        <v>5.9848639795609705E-3</v>
      </c>
      <c r="F251" s="64">
        <f t="shared" ca="1" si="37"/>
        <v>-8.065847763296172E-3</v>
      </c>
      <c r="G251">
        <f t="shared" ca="1" si="30"/>
        <v>1.394625931340614E-3</v>
      </c>
      <c r="H251">
        <f t="shared" ca="1" si="38"/>
        <v>-4.3555237158902596E-2</v>
      </c>
      <c r="I251">
        <f t="shared" ca="1" si="39"/>
        <v>2.7097428425233194</v>
      </c>
      <c r="J251" s="57">
        <v>246</v>
      </c>
      <c r="O251" s="53">
        <v>42584</v>
      </c>
      <c r="P251">
        <v>771.07000700000003</v>
      </c>
      <c r="Q251" s="54">
        <f t="shared" si="31"/>
        <v>-2.3418874706170596E-3</v>
      </c>
      <c r="R251">
        <f t="shared" ca="1" si="36"/>
        <v>0.29558915667825958</v>
      </c>
      <c r="S251">
        <f t="shared" ca="1" si="32"/>
        <v>0.23667942310125895</v>
      </c>
      <c r="T251" s="56">
        <f t="shared" ca="1" si="33"/>
        <v>1.1906940457164978</v>
      </c>
    </row>
    <row r="252" spans="2:20" x14ac:dyDescent="0.25">
      <c r="B252" s="53">
        <v>40539</v>
      </c>
      <c r="C252">
        <v>300.06579169999998</v>
      </c>
      <c r="D252" s="54">
        <f t="shared" si="34"/>
        <v>-3.0617265252977127E-3</v>
      </c>
      <c r="E252" s="54">
        <f t="shared" ca="1" si="35"/>
        <v>3.0406016269230191E-3</v>
      </c>
      <c r="F252" s="64">
        <f t="shared" ca="1" si="37"/>
        <v>-6.1023281522207314E-3</v>
      </c>
      <c r="G252">
        <f t="shared" ca="1" si="30"/>
        <v>1.2833139610642448E-3</v>
      </c>
      <c r="H252">
        <f t="shared" ca="1" si="38"/>
        <v>0.96501610512072844</v>
      </c>
      <c r="I252">
        <f t="shared" ca="1" si="39"/>
        <v>2.7351064195918164</v>
      </c>
      <c r="J252" s="60">
        <v>247</v>
      </c>
      <c r="O252" s="53">
        <v>42585</v>
      </c>
      <c r="P252">
        <v>773.17999299999997</v>
      </c>
      <c r="Q252" s="54">
        <f t="shared" si="31"/>
        <v>2.7364389495698996E-3</v>
      </c>
      <c r="R252">
        <f t="shared" ca="1" si="36"/>
        <v>-1.0534655049677344E-2</v>
      </c>
      <c r="S252">
        <f t="shared" ca="1" si="32"/>
        <v>0.27130324865298516</v>
      </c>
      <c r="T252" s="56">
        <f t="shared" ca="1" si="33"/>
        <v>-4.7636623886448556E-2</v>
      </c>
    </row>
    <row r="253" spans="2:20" x14ac:dyDescent="0.25">
      <c r="B253" s="53">
        <v>40540</v>
      </c>
      <c r="C253">
        <v>298.34224749999998</v>
      </c>
      <c r="D253" s="54">
        <f t="shared" si="34"/>
        <v>-5.7438876662194091E-3</v>
      </c>
      <c r="E253" s="54">
        <f t="shared" ca="1" si="35"/>
        <v>-9.2429572516754387E-3</v>
      </c>
      <c r="F253" s="64">
        <f t="shared" ca="1" si="37"/>
        <v>3.4990695854560296E-3</v>
      </c>
      <c r="G253">
        <f t="shared" ca="1" si="30"/>
        <v>1.6141841353375791E-2</v>
      </c>
      <c r="H253">
        <f t="shared" ca="1" si="38"/>
        <v>-0.51470540501462259</v>
      </c>
      <c r="I253">
        <f t="shared" ca="1" si="39"/>
        <v>2.7694256530631538</v>
      </c>
      <c r="J253" s="57">
        <v>248</v>
      </c>
      <c r="O253" s="53">
        <v>42586</v>
      </c>
      <c r="P253">
        <v>771.60998500000005</v>
      </c>
      <c r="Q253" s="54">
        <f t="shared" si="31"/>
        <v>-2.0305853930701959E-3</v>
      </c>
      <c r="R253">
        <f t="shared" ca="1" si="36"/>
        <v>8.6494290267353606E-3</v>
      </c>
      <c r="S253">
        <f t="shared" ca="1" si="32"/>
        <v>1.1802985928394401E-2</v>
      </c>
      <c r="T253" s="56">
        <f t="shared" ca="1" si="33"/>
        <v>0.82192510391182483</v>
      </c>
    </row>
    <row r="254" spans="2:20" x14ac:dyDescent="0.25">
      <c r="B254" s="53">
        <v>40541</v>
      </c>
      <c r="C254">
        <v>299.3783818</v>
      </c>
      <c r="D254" s="54">
        <f t="shared" si="34"/>
        <v>3.4729720939037129E-3</v>
      </c>
      <c r="E254" s="54">
        <f t="shared" ca="1" si="35"/>
        <v>8.6948635780332677E-3</v>
      </c>
      <c r="F254" s="64">
        <f t="shared" ca="1" si="37"/>
        <v>-5.2218914841295552E-3</v>
      </c>
      <c r="G254">
        <f t="shared" ca="1" si="30"/>
        <v>9.399537291919665E-3</v>
      </c>
      <c r="H254">
        <f t="shared" ca="1" si="38"/>
        <v>1.0713341472433238</v>
      </c>
      <c r="I254">
        <f t="shared" ca="1" si="39"/>
        <v>2.7444565196770503</v>
      </c>
      <c r="J254" s="60">
        <v>249</v>
      </c>
      <c r="O254" s="53">
        <v>42587</v>
      </c>
      <c r="P254">
        <v>782.21997099999999</v>
      </c>
      <c r="Q254" s="54">
        <f t="shared" si="31"/>
        <v>1.3750451920344103E-2</v>
      </c>
      <c r="R254">
        <f t="shared" ca="1" si="36"/>
        <v>-0.33125380034244301</v>
      </c>
      <c r="S254">
        <f t="shared" ca="1" si="32"/>
        <v>0.18725979712657415</v>
      </c>
      <c r="T254" s="56">
        <f t="shared" ca="1" si="33"/>
        <v>-1.7755159408956003</v>
      </c>
    </row>
    <row r="255" spans="2:20" x14ac:dyDescent="0.25">
      <c r="B255" s="53">
        <v>40542</v>
      </c>
      <c r="C255">
        <v>298.31237049999999</v>
      </c>
      <c r="D255" s="54">
        <f t="shared" si="34"/>
        <v>-3.560749088129428E-3</v>
      </c>
      <c r="E255" s="54">
        <f t="shared" ca="1" si="35"/>
        <v>8.6504188852769941E-3</v>
      </c>
      <c r="F255" s="64">
        <f t="shared" ca="1" si="37"/>
        <v>-1.2211167973406422E-2</v>
      </c>
      <c r="G255">
        <f t="shared" ca="1" si="30"/>
        <v>1.803825055055867E-2</v>
      </c>
      <c r="H255">
        <f t="shared" ca="1" si="38"/>
        <v>0.6225689123300544</v>
      </c>
      <c r="I255">
        <f t="shared" ca="1" si="39"/>
        <v>2.6357381736339121</v>
      </c>
      <c r="J255" s="57">
        <v>250</v>
      </c>
      <c r="O255" s="53">
        <v>42590</v>
      </c>
      <c r="P255">
        <v>781.76000999999997</v>
      </c>
      <c r="Q255" s="54">
        <f t="shared" si="31"/>
        <v>-5.8802001617524688E-4</v>
      </c>
      <c r="R255">
        <f t="shared" ca="1" si="36"/>
        <v>0.48095951108953711</v>
      </c>
      <c r="S255">
        <f t="shared" ca="1" si="32"/>
        <v>0.40452433561855533</v>
      </c>
      <c r="T255" s="56">
        <f t="shared" ca="1" si="33"/>
        <v>1.1912046031891588</v>
      </c>
    </row>
    <row r="256" spans="2:20" x14ac:dyDescent="0.25">
      <c r="B256" s="53">
        <v>40543</v>
      </c>
      <c r="C256">
        <v>295.87648380000002</v>
      </c>
      <c r="D256" s="54">
        <f t="shared" si="34"/>
        <v>-8.1655571169146988E-3</v>
      </c>
      <c r="E256" s="54">
        <f t="shared" ca="1" si="35"/>
        <v>1.0574218732045356E-2</v>
      </c>
      <c r="F256" s="64">
        <f t="shared" ca="1" si="37"/>
        <v>-1.8739775848960055E-2</v>
      </c>
      <c r="G256">
        <f t="shared" ca="1" si="30"/>
        <v>1.122019726662294E-2</v>
      </c>
      <c r="H256">
        <f t="shared" ca="1" si="38"/>
        <v>0.80341713755260291</v>
      </c>
      <c r="I256">
        <f t="shared" ca="1" si="39"/>
        <v>2.4628881941894081</v>
      </c>
      <c r="J256" s="60">
        <v>251</v>
      </c>
      <c r="O256" s="53">
        <v>42591</v>
      </c>
      <c r="P256">
        <v>784.26000999999997</v>
      </c>
      <c r="Q256" s="54">
        <f t="shared" si="31"/>
        <v>3.1979123618768885E-3</v>
      </c>
      <c r="R256">
        <f t="shared" ca="1" si="36"/>
        <v>0.2351674330496055</v>
      </c>
      <c r="S256">
        <f t="shared" ca="1" si="32"/>
        <v>0.27147478556436039</v>
      </c>
      <c r="T256" s="56">
        <f t="shared" ca="1" si="33"/>
        <v>0.84351052842868124</v>
      </c>
    </row>
    <row r="257" spans="2:20" x14ac:dyDescent="0.25">
      <c r="B257" s="53">
        <v>40546</v>
      </c>
      <c r="C257">
        <v>301.04711650000002</v>
      </c>
      <c r="D257" s="54">
        <f t="shared" si="34"/>
        <v>1.7475646031724263E-2</v>
      </c>
      <c r="E257" s="54">
        <f t="shared" ca="1" si="35"/>
        <v>2.6495533547072144E-3</v>
      </c>
      <c r="F257" s="64">
        <f t="shared" ca="1" si="37"/>
        <v>1.4826092677017049E-2</v>
      </c>
      <c r="G257">
        <f t="shared" ca="1" si="30"/>
        <v>1.3688976348360133E-2</v>
      </c>
      <c r="H257">
        <f t="shared" ca="1" si="38"/>
        <v>0.31038827878933195</v>
      </c>
      <c r="I257">
        <f t="shared" ca="1" si="39"/>
        <v>2.618400832932644</v>
      </c>
      <c r="J257" s="57">
        <v>252</v>
      </c>
      <c r="O257" s="53">
        <v>42592</v>
      </c>
      <c r="P257">
        <v>784.67999299999997</v>
      </c>
      <c r="Q257" s="54">
        <f t="shared" si="31"/>
        <v>5.3551500094975132E-4</v>
      </c>
      <c r="R257">
        <f t="shared" ca="1" si="36"/>
        <v>-0.33520602398354438</v>
      </c>
      <c r="S257">
        <f t="shared" ca="1" si="32"/>
        <v>0.19223078771190458</v>
      </c>
      <c r="T257" s="56">
        <f t="shared" ca="1" si="33"/>
        <v>-1.7423951257501138</v>
      </c>
    </row>
    <row r="258" spans="2:20" x14ac:dyDescent="0.25">
      <c r="B258" s="53">
        <v>40547</v>
      </c>
      <c r="C258">
        <v>299.93627470000001</v>
      </c>
      <c r="D258" s="54">
        <f t="shared" si="34"/>
        <v>-3.6899267228158381E-3</v>
      </c>
      <c r="E258" s="54">
        <f t="shared" ca="1" si="35"/>
        <v>4.5013263201839782E-3</v>
      </c>
      <c r="F258" s="64">
        <f t="shared" ca="1" si="37"/>
        <v>-8.1912530429998163E-3</v>
      </c>
      <c r="G258">
        <f t="shared" ca="1" si="30"/>
        <v>6.1306812454148766E-3</v>
      </c>
      <c r="H258">
        <f t="shared" ca="1" si="38"/>
        <v>1.3323707547732488</v>
      </c>
      <c r="I258">
        <f t="shared" ca="1" si="39"/>
        <v>2.7079112991418861</v>
      </c>
      <c r="J258" s="60">
        <v>253</v>
      </c>
      <c r="O258" s="53">
        <v>42593</v>
      </c>
      <c r="P258">
        <v>784.84997599999997</v>
      </c>
      <c r="Q258" s="54">
        <f t="shared" si="31"/>
        <v>2.1662716204872321E-4</v>
      </c>
      <c r="R258">
        <f t="shared" ca="1" si="36"/>
        <v>0.27701618204112355</v>
      </c>
      <c r="S258">
        <f t="shared" ca="1" si="32"/>
        <v>0.39697942515948764</v>
      </c>
      <c r="T258" s="56">
        <f t="shared" ca="1" si="33"/>
        <v>0.69419196274689732</v>
      </c>
    </row>
    <row r="259" spans="2:20" x14ac:dyDescent="0.25">
      <c r="B259" s="53">
        <v>40548</v>
      </c>
      <c r="C259">
        <v>303.39831659999999</v>
      </c>
      <c r="D259" s="54">
        <f t="shared" si="34"/>
        <v>1.1542591517023913E-2</v>
      </c>
      <c r="E259" s="54">
        <f t="shared" ca="1" si="35"/>
        <v>2.6462435500125246E-3</v>
      </c>
      <c r="F259" s="64">
        <f t="shared" ca="1" si="37"/>
        <v>8.8963479670113883E-3</v>
      </c>
      <c r="G259">
        <f t="shared" ca="1" si="30"/>
        <v>2.2306006944218894E-2</v>
      </c>
      <c r="H259">
        <f t="shared" ca="1" si="38"/>
        <v>-0.23322666018002505</v>
      </c>
      <c r="I259">
        <f t="shared" ca="1" si="39"/>
        <v>2.7233185817056134</v>
      </c>
      <c r="J259" s="57">
        <v>254</v>
      </c>
      <c r="O259" s="53">
        <v>42594</v>
      </c>
      <c r="P259">
        <v>783.21997099999999</v>
      </c>
      <c r="Q259" s="54">
        <f t="shared" si="31"/>
        <v>-2.0768364016615359E-3</v>
      </c>
      <c r="R259">
        <f t="shared" ca="1" si="36"/>
        <v>6.3512012854699901E-2</v>
      </c>
      <c r="S259">
        <f t="shared" ca="1" si="32"/>
        <v>0.15829784136188466</v>
      </c>
      <c r="T259" s="56">
        <f t="shared" ca="1" si="33"/>
        <v>0.39969906136868344</v>
      </c>
    </row>
    <row r="260" spans="2:20" x14ac:dyDescent="0.25">
      <c r="B260" s="53">
        <v>40549</v>
      </c>
      <c r="C260">
        <v>305.60504680000003</v>
      </c>
      <c r="D260" s="54">
        <f t="shared" si="34"/>
        <v>7.2733765458210791E-3</v>
      </c>
      <c r="E260" s="54">
        <f t="shared" ca="1" si="35"/>
        <v>-8.1697391202405168E-4</v>
      </c>
      <c r="F260" s="64">
        <f t="shared" ca="1" si="37"/>
        <v>8.0903504578451312E-3</v>
      </c>
      <c r="G260">
        <f t="shared" ca="1" si="30"/>
        <v>6.4805958449113653E-3</v>
      </c>
      <c r="H260">
        <f t="shared" ca="1" si="38"/>
        <v>0.12962498875446052</v>
      </c>
      <c r="I260">
        <f t="shared" ca="1" si="39"/>
        <v>2.7331935277687966</v>
      </c>
      <c r="J260" s="60">
        <v>255</v>
      </c>
      <c r="O260" s="53">
        <v>42597</v>
      </c>
      <c r="P260">
        <v>782.44000200000005</v>
      </c>
      <c r="Q260" s="54">
        <f t="shared" si="31"/>
        <v>-9.958492235637047E-4</v>
      </c>
      <c r="R260">
        <f t="shared" ca="1" si="36"/>
        <v>-9.1413540985171932E-2</v>
      </c>
      <c r="S260">
        <f t="shared" ca="1" si="32"/>
        <v>9.110626680180256E-2</v>
      </c>
      <c r="T260" s="56">
        <f t="shared" ca="1" si="33"/>
        <v>-1.0044401993807093</v>
      </c>
    </row>
    <row r="261" spans="2:20" x14ac:dyDescent="0.25">
      <c r="B261" s="53">
        <v>40550</v>
      </c>
      <c r="C261">
        <v>307.06955740000001</v>
      </c>
      <c r="D261" s="54">
        <f t="shared" si="34"/>
        <v>4.7921675879862551E-3</v>
      </c>
      <c r="E261" s="54">
        <f t="shared" ca="1" si="35"/>
        <v>1.3587526269000016E-2</v>
      </c>
      <c r="F261" s="64">
        <f t="shared" ca="1" si="37"/>
        <v>-8.7953586810137607E-3</v>
      </c>
      <c r="G261">
        <f t="shared" ref="G261:G324" ca="1" si="40">SQRT(A_0+A_1*POWER(H260,2)+B_1*POWER(G260,2))</f>
        <v>2.8069004119331727E-3</v>
      </c>
      <c r="H261">
        <f t="shared" ca="1" si="38"/>
        <v>2.9938332895473683</v>
      </c>
      <c r="I261">
        <f t="shared" ca="1" si="39"/>
        <v>2.6987323080641965</v>
      </c>
      <c r="J261" s="57">
        <v>256</v>
      </c>
      <c r="O261" s="53">
        <v>42598</v>
      </c>
      <c r="P261">
        <v>777.14001499999995</v>
      </c>
      <c r="Q261" s="54">
        <f t="shared" ref="Q261:Q324" si="41">(P261-P260)/P260</f>
        <v>-6.77366569507281E-3</v>
      </c>
      <c r="R261">
        <f t="shared" ca="1" si="36"/>
        <v>0.24484629919074766</v>
      </c>
      <c r="S261">
        <f t="shared" ref="S261:S324" ca="1" si="42">SQRT(A_0+A_1*POWER(S260,2)+B_1*POWER(T260,2))</f>
        <v>0.22884617390275078</v>
      </c>
      <c r="T261" s="56">
        <f t="shared" ref="T261:T324" ca="1" si="43">_xlfn.NORM.INV(RAND(),0,1)</f>
        <v>1.0739924595846642</v>
      </c>
    </row>
    <row r="262" spans="2:20" x14ac:dyDescent="0.25">
      <c r="B262" s="53">
        <v>40553</v>
      </c>
      <c r="C262">
        <v>305.9587156</v>
      </c>
      <c r="D262" s="54">
        <f t="shared" si="34"/>
        <v>-3.6175575638485707E-3</v>
      </c>
      <c r="E262" s="54">
        <f t="shared" ca="1" si="35"/>
        <v>-1.9328055915364933E-2</v>
      </c>
      <c r="F262" s="64">
        <f t="shared" ca="1" si="37"/>
        <v>1.5710498351516361E-2</v>
      </c>
      <c r="G262">
        <f t="shared" ca="1" si="40"/>
        <v>4.9986075170017907E-2</v>
      </c>
      <c r="H262">
        <f t="shared" ca="1" si="38"/>
        <v>-0.45202103795755583</v>
      </c>
      <c r="I262">
        <f t="shared" ca="1" si="39"/>
        <v>2.5978839937405498</v>
      </c>
      <c r="J262" s="60">
        <v>257</v>
      </c>
      <c r="O262" s="53">
        <v>42599</v>
      </c>
      <c r="P262">
        <v>779.90997300000004</v>
      </c>
      <c r="Q262" s="54">
        <f t="shared" si="41"/>
        <v>3.5642972264143262E-3</v>
      </c>
      <c r="R262">
        <f t="shared" ca="1" si="36"/>
        <v>-9.7982634922096801E-2</v>
      </c>
      <c r="S262">
        <f t="shared" ca="1" si="42"/>
        <v>0.24471669452306455</v>
      </c>
      <c r="T262" s="56">
        <f t="shared" ca="1" si="43"/>
        <v>-0.39856399068662479</v>
      </c>
    </row>
    <row r="263" spans="2:20" x14ac:dyDescent="0.25">
      <c r="B263" s="53">
        <v>40554</v>
      </c>
      <c r="C263">
        <v>306.85535379999999</v>
      </c>
      <c r="D263" s="54">
        <f t="shared" ref="D263:D326" si="44">(C263-C262)/C262</f>
        <v>2.9305855799585004E-3</v>
      </c>
      <c r="E263" s="54">
        <f t="shared" ca="1" si="35"/>
        <v>-7.8733822313315389E-3</v>
      </c>
      <c r="F263" s="64">
        <f t="shared" ca="1" si="37"/>
        <v>1.080396781129004E-2</v>
      </c>
      <c r="G263">
        <f t="shared" ca="1" si="40"/>
        <v>1.3697975269420421E-2</v>
      </c>
      <c r="H263">
        <f t="shared" ca="1" si="38"/>
        <v>-0.7319022070198381</v>
      </c>
      <c r="I263">
        <f t="shared" ca="1" si="39"/>
        <v>2.695764739562394</v>
      </c>
      <c r="J263" s="57">
        <v>258</v>
      </c>
      <c r="O263" s="53">
        <v>42600</v>
      </c>
      <c r="P263">
        <v>777.5</v>
      </c>
      <c r="Q263" s="54">
        <f t="shared" si="41"/>
        <v>-3.0900656273567567E-3</v>
      </c>
      <c r="R263">
        <f t="shared" ca="1" si="36"/>
        <v>-6.6014727346694432E-2</v>
      </c>
      <c r="S263">
        <f t="shared" ca="1" si="42"/>
        <v>9.090118074033994E-2</v>
      </c>
      <c r="T263" s="56">
        <f t="shared" ca="1" si="43"/>
        <v>-0.69275887650519019</v>
      </c>
    </row>
    <row r="264" spans="2:20" x14ac:dyDescent="0.25">
      <c r="B264" s="53">
        <v>40555</v>
      </c>
      <c r="C264">
        <v>307.28376050000003</v>
      </c>
      <c r="D264" s="54">
        <f t="shared" si="44"/>
        <v>1.3961193594792646E-3</v>
      </c>
      <c r="E264" s="54">
        <f t="shared" ref="E264:E327" ca="1" si="45">((E_1*D263)+(E_2*D262)+(G264*H264))</f>
        <v>1.232962977135437E-3</v>
      </c>
      <c r="F264" s="64">
        <f t="shared" ca="1" si="37"/>
        <v>1.6315638234382763E-4</v>
      </c>
      <c r="G264">
        <f t="shared" ca="1" si="40"/>
        <v>1.2649190927647677E-2</v>
      </c>
      <c r="H264">
        <f t="shared" ca="1" si="38"/>
        <v>0.22591405609042411</v>
      </c>
      <c r="I264">
        <f t="shared" ca="1" si="39"/>
        <v>2.7743872470313127</v>
      </c>
      <c r="J264" s="60">
        <v>259</v>
      </c>
      <c r="O264" s="53">
        <v>42601</v>
      </c>
      <c r="P264">
        <v>775.419983</v>
      </c>
      <c r="Q264" s="54">
        <f t="shared" si="41"/>
        <v>-2.675263022508036E-3</v>
      </c>
      <c r="R264">
        <f t="shared" ref="R264:R327" ca="1" si="46">((E_1*Q263)+(E_2*Q262)+(S264*T264))</f>
        <v>0.25393697707131846</v>
      </c>
      <c r="S264">
        <f t="shared" ca="1" si="42"/>
        <v>0.15783990004837092</v>
      </c>
      <c r="T264" s="56">
        <f t="shared" ca="1" si="43"/>
        <v>1.5986846987045256</v>
      </c>
    </row>
    <row r="265" spans="2:20" x14ac:dyDescent="0.25">
      <c r="B265" s="53">
        <v>40556</v>
      </c>
      <c r="C265">
        <v>307.19409960000002</v>
      </c>
      <c r="D265" s="54">
        <f t="shared" si="44"/>
        <v>-2.9178535127961171E-4</v>
      </c>
      <c r="E265" s="54">
        <f t="shared" ca="1" si="45"/>
        <v>-5.5273547426685412E-3</v>
      </c>
      <c r="F265" s="64">
        <f t="shared" ref="F265:F328" ca="1" si="47">D265-E265</f>
        <v>5.2355693913889298E-3</v>
      </c>
      <c r="G265">
        <f t="shared" ca="1" si="40"/>
        <v>4.8519847148974062E-3</v>
      </c>
      <c r="H265">
        <f t="shared" ref="H265:H328" ca="1" si="48">_xlfn.NORM.INV(RAND(),0,1)</f>
        <v>-1.4104668261833726</v>
      </c>
      <c r="I265">
        <f t="shared" ref="I265:I328" ca="1" si="49">LN(_xlfn.NORM.DIST(F265,AVERAGE($F$8:$F$1413),_xlfn.STDEV.S($F$8:$F$1413),FALSE))</f>
        <v>2.7597269517825351</v>
      </c>
      <c r="J265" s="57">
        <v>260</v>
      </c>
      <c r="O265" s="53">
        <v>42604</v>
      </c>
      <c r="P265">
        <v>772.15002400000003</v>
      </c>
      <c r="Q265" s="54">
        <f t="shared" si="41"/>
        <v>-4.2170166770127866E-3</v>
      </c>
      <c r="R265">
        <f t="shared" ca="1" si="46"/>
        <v>0.41154353456657533</v>
      </c>
      <c r="S265">
        <f t="shared" ca="1" si="42"/>
        <v>0.36423494298021353</v>
      </c>
      <c r="T265" s="56">
        <f t="shared" ca="1" si="43"/>
        <v>1.1336951574559757</v>
      </c>
    </row>
    <row r="266" spans="2:20" x14ac:dyDescent="0.25">
      <c r="B266" s="53">
        <v>40557</v>
      </c>
      <c r="C266">
        <v>310.92512429999999</v>
      </c>
      <c r="D266" s="54">
        <f t="shared" si="44"/>
        <v>1.214549597423315E-2</v>
      </c>
      <c r="E266" s="54">
        <f t="shared" ca="1" si="45"/>
        <v>2.1313971150493254E-2</v>
      </c>
      <c r="F266" s="64">
        <f t="shared" ca="1" si="47"/>
        <v>-9.1684751762601043E-3</v>
      </c>
      <c r="G266">
        <f t="shared" ca="1" si="40"/>
        <v>2.3590429658451255E-2</v>
      </c>
      <c r="H266">
        <f t="shared" ca="1" si="48"/>
        <v>0.87692133259636018</v>
      </c>
      <c r="I266">
        <f t="shared" ca="1" si="49"/>
        <v>2.6927684808905439</v>
      </c>
      <c r="J266" s="60">
        <v>261</v>
      </c>
      <c r="O266" s="53">
        <v>42605</v>
      </c>
      <c r="P266">
        <v>772.080017</v>
      </c>
      <c r="Q266" s="54">
        <f t="shared" si="41"/>
        <v>-9.0665023407462004E-5</v>
      </c>
      <c r="R266">
        <f t="shared" ca="1" si="46"/>
        <v>6.7791463901684335E-2</v>
      </c>
      <c r="S266">
        <f t="shared" ca="1" si="42"/>
        <v>0.25836021807985071</v>
      </c>
      <c r="T266" s="56">
        <f t="shared" ca="1" si="43"/>
        <v>0.26704208292166021</v>
      </c>
    </row>
    <row r="267" spans="2:20" x14ac:dyDescent="0.25">
      <c r="B267" s="53">
        <v>40561</v>
      </c>
      <c r="C267">
        <v>318.62127370000002</v>
      </c>
      <c r="D267" s="54">
        <f t="shared" si="44"/>
        <v>2.4752420433461975E-2</v>
      </c>
      <c r="E267" s="54">
        <f t="shared" ca="1" si="45"/>
        <v>2.0722597676384575E-3</v>
      </c>
      <c r="F267" s="64">
        <f t="shared" ca="1" si="47"/>
        <v>2.2680160665823519E-2</v>
      </c>
      <c r="G267">
        <f t="shared" ca="1" si="40"/>
        <v>1.56253257625798E-2</v>
      </c>
      <c r="H267">
        <f t="shared" ca="1" si="48"/>
        <v>0.14099527506027806</v>
      </c>
      <c r="I267">
        <f t="shared" ca="1" si="49"/>
        <v>2.3919754168067509</v>
      </c>
      <c r="J267" s="57">
        <v>262</v>
      </c>
      <c r="O267" s="53">
        <v>42606</v>
      </c>
      <c r="P267">
        <v>769.64001499999995</v>
      </c>
      <c r="Q267" s="54">
        <f t="shared" si="41"/>
        <v>-3.1602967908442182E-3</v>
      </c>
      <c r="R267">
        <f t="shared" ca="1" si="46"/>
        <v>3.5301589589336415E-3</v>
      </c>
      <c r="S267">
        <f t="shared" ca="1" si="42"/>
        <v>6.1000462780936369E-2</v>
      </c>
      <c r="T267" s="56">
        <f t="shared" ca="1" si="43"/>
        <v>8.8919115098641255E-2</v>
      </c>
    </row>
    <row r="268" spans="2:20" x14ac:dyDescent="0.25">
      <c r="B268" s="53">
        <v>40562</v>
      </c>
      <c r="C268">
        <v>314.69597420000002</v>
      </c>
      <c r="D268" s="54">
        <f t="shared" si="44"/>
        <v>-1.2319640350492999E-2</v>
      </c>
      <c r="E268" s="54">
        <f t="shared" ca="1" si="45"/>
        <v>1.8381769775363058E-2</v>
      </c>
      <c r="F268" s="64">
        <f t="shared" ca="1" si="47"/>
        <v>-3.0701410125856057E-2</v>
      </c>
      <c r="G268">
        <f t="shared" ca="1" si="40"/>
        <v>4.3850620140170526E-3</v>
      </c>
      <c r="H268">
        <f t="shared" ca="1" si="48"/>
        <v>2.9478620067749919</v>
      </c>
      <c r="I268">
        <f t="shared" ca="1" si="49"/>
        <v>1.9675141095127888</v>
      </c>
      <c r="J268" s="60">
        <v>263</v>
      </c>
      <c r="O268" s="53">
        <v>42607</v>
      </c>
      <c r="P268">
        <v>769.40997300000004</v>
      </c>
      <c r="Q268" s="54">
        <f t="shared" si="41"/>
        <v>-2.9889558172194587E-4</v>
      </c>
      <c r="R268">
        <f t="shared" ca="1" si="46"/>
        <v>-1.3341678188268719E-2</v>
      </c>
      <c r="S268">
        <f t="shared" ca="1" si="42"/>
        <v>2.0308837118497486E-2</v>
      </c>
      <c r="T268" s="56">
        <f t="shared" ca="1" si="43"/>
        <v>-0.65493184911980917</v>
      </c>
    </row>
    <row r="269" spans="2:20" x14ac:dyDescent="0.25">
      <c r="B269" s="53">
        <v>40563</v>
      </c>
      <c r="C269">
        <v>312.21528749999999</v>
      </c>
      <c r="D269" s="54">
        <f t="shared" si="44"/>
        <v>-7.8828040501829691E-3</v>
      </c>
      <c r="E269" s="54">
        <f t="shared" ca="1" si="45"/>
        <v>1.130096104351132E-2</v>
      </c>
      <c r="F269" s="64">
        <f t="shared" ca="1" si="47"/>
        <v>-1.9183765093694287E-2</v>
      </c>
      <c r="G269">
        <f t="shared" ca="1" si="40"/>
        <v>4.9224948736856552E-2</v>
      </c>
      <c r="H269">
        <f t="shared" ca="1" si="48"/>
        <v>3.7453687765693962E-3</v>
      </c>
      <c r="I269">
        <f t="shared" ca="1" si="49"/>
        <v>2.4486322482152545</v>
      </c>
      <c r="J269" s="57">
        <v>264</v>
      </c>
      <c r="O269" s="53">
        <v>42608</v>
      </c>
      <c r="P269">
        <v>769.53997800000002</v>
      </c>
      <c r="Q269" s="54">
        <f t="shared" si="41"/>
        <v>1.6896713658789918E-4</v>
      </c>
      <c r="R269">
        <f t="shared" ca="1" si="46"/>
        <v>9.5855186830095446E-2</v>
      </c>
      <c r="S269">
        <f t="shared" ca="1" si="42"/>
        <v>0.14921514890518345</v>
      </c>
      <c r="T269" s="56">
        <f t="shared" ca="1" si="43"/>
        <v>0.6519079683211414</v>
      </c>
    </row>
    <row r="270" spans="2:20" x14ac:dyDescent="0.25">
      <c r="B270" s="53">
        <v>40564</v>
      </c>
      <c r="C270">
        <v>304.77316680000001</v>
      </c>
      <c r="D270" s="54">
        <f t="shared" si="44"/>
        <v>-2.3836503201336595E-2</v>
      </c>
      <c r="E270" s="54">
        <f t="shared" ca="1" si="45"/>
        <v>9.3782878105832107E-3</v>
      </c>
      <c r="F270" s="64">
        <f t="shared" ca="1" si="47"/>
        <v>-3.3214791011919806E-2</v>
      </c>
      <c r="G270">
        <f t="shared" ca="1" si="40"/>
        <v>1.1260229198699965E-2</v>
      </c>
      <c r="H270">
        <f t="shared" ca="1" si="48"/>
        <v>1.3242555386272603</v>
      </c>
      <c r="I270">
        <f t="shared" ca="1" si="49"/>
        <v>1.8340345375173515</v>
      </c>
      <c r="J270" s="60">
        <v>265</v>
      </c>
      <c r="O270" s="53">
        <v>42611</v>
      </c>
      <c r="P270">
        <v>772.15002400000003</v>
      </c>
      <c r="Q270" s="54">
        <f t="shared" si="41"/>
        <v>3.3916964350356482E-3</v>
      </c>
      <c r="R270">
        <f t="shared" ca="1" si="46"/>
        <v>-3.270539874483417E-2</v>
      </c>
      <c r="S270">
        <f t="shared" ca="1" si="42"/>
        <v>0.1485467383942726</v>
      </c>
      <c r="T270" s="56">
        <f t="shared" ca="1" si="43"/>
        <v>-0.21926541112015077</v>
      </c>
    </row>
    <row r="271" spans="2:20" x14ac:dyDescent="0.25">
      <c r="B271" s="53">
        <v>40567</v>
      </c>
      <c r="C271">
        <v>304.39956969999997</v>
      </c>
      <c r="D271" s="54">
        <f t="shared" si="44"/>
        <v>-1.2258201859522773E-3</v>
      </c>
      <c r="E271" s="54">
        <f t="shared" ca="1" si="45"/>
        <v>-9.4445720570703467E-3</v>
      </c>
      <c r="F271" s="64">
        <f t="shared" ca="1" si="47"/>
        <v>8.2187518711180699E-3</v>
      </c>
      <c r="G271">
        <f t="shared" ca="1" si="40"/>
        <v>2.2275137080696658E-2</v>
      </c>
      <c r="H271">
        <f t="shared" ca="1" si="48"/>
        <v>-0.26504151562145151</v>
      </c>
      <c r="I271">
        <f t="shared" ca="1" si="49"/>
        <v>2.731690663801285</v>
      </c>
      <c r="J271" s="57">
        <v>266</v>
      </c>
      <c r="O271" s="53">
        <v>42612</v>
      </c>
      <c r="P271">
        <v>769.09002699999996</v>
      </c>
      <c r="Q271" s="54">
        <f t="shared" si="41"/>
        <v>-3.9629565562249681E-3</v>
      </c>
      <c r="R271">
        <f t="shared" ca="1" si="46"/>
        <v>4.5771900508507976E-3</v>
      </c>
      <c r="S271">
        <f t="shared" ca="1" si="42"/>
        <v>5.0026312382526382E-2</v>
      </c>
      <c r="T271" s="56">
        <f t="shared" ca="1" si="43"/>
        <v>8.9977551024347707E-2</v>
      </c>
    </row>
    <row r="272" spans="2:20" x14ac:dyDescent="0.25">
      <c r="B272" s="53">
        <v>40568</v>
      </c>
      <c r="C272">
        <v>308.79807599999998</v>
      </c>
      <c r="D272" s="54">
        <f t="shared" si="44"/>
        <v>1.4449778310576923E-2</v>
      </c>
      <c r="E272" s="54">
        <f t="shared" ca="1" si="45"/>
        <v>-9.7167958803071712E-3</v>
      </c>
      <c r="F272" s="64">
        <f t="shared" ca="1" si="47"/>
        <v>2.4166574190884096E-2</v>
      </c>
      <c r="G272">
        <f t="shared" ca="1" si="40"/>
        <v>6.8075905187817498E-3</v>
      </c>
      <c r="H272">
        <f t="shared" ca="1" si="48"/>
        <v>0.14523144958515902</v>
      </c>
      <c r="I272">
        <f t="shared" ca="1" si="49"/>
        <v>2.3379071224291801</v>
      </c>
      <c r="J272" s="60">
        <v>267</v>
      </c>
      <c r="O272" s="53">
        <v>42613</v>
      </c>
      <c r="P272">
        <v>767.04998799999998</v>
      </c>
      <c r="Q272" s="54">
        <f t="shared" si="41"/>
        <v>-2.6525360209877992E-3</v>
      </c>
      <c r="R272">
        <f t="shared" ca="1" si="46"/>
        <v>-2.8838935691338628E-2</v>
      </c>
      <c r="S272">
        <f t="shared" ca="1" si="42"/>
        <v>2.0541122168409347E-2</v>
      </c>
      <c r="T272" s="56">
        <f t="shared" ca="1" si="43"/>
        <v>-1.4781152629384171</v>
      </c>
    </row>
    <row r="273" spans="2:20" x14ac:dyDescent="0.25">
      <c r="B273" s="53">
        <v>40569</v>
      </c>
      <c r="C273">
        <v>307.09943390000001</v>
      </c>
      <c r="D273" s="54">
        <f t="shared" si="44"/>
        <v>-5.5008182758236237E-3</v>
      </c>
      <c r="E273" s="54">
        <f t="shared" ca="1" si="45"/>
        <v>9.2733328164042292E-4</v>
      </c>
      <c r="F273" s="64">
        <f t="shared" ca="1" si="47"/>
        <v>-6.4281515574640463E-3</v>
      </c>
      <c r="G273">
        <f t="shared" ca="1" si="40"/>
        <v>3.0494802189987937E-3</v>
      </c>
      <c r="H273">
        <f t="shared" ca="1" si="48"/>
        <v>0.4845496780957661</v>
      </c>
      <c r="I273">
        <f t="shared" ca="1" si="49"/>
        <v>2.7313287086405285</v>
      </c>
      <c r="J273" s="57">
        <v>268</v>
      </c>
      <c r="O273" s="53">
        <v>42614</v>
      </c>
      <c r="P273">
        <v>768.78002900000001</v>
      </c>
      <c r="Q273" s="54">
        <f t="shared" si="41"/>
        <v>2.2554475289295337E-3</v>
      </c>
      <c r="R273">
        <f t="shared" ca="1" si="46"/>
        <v>-0.26751012385680423</v>
      </c>
      <c r="S273">
        <f t="shared" ca="1" si="42"/>
        <v>0.33675669402276043</v>
      </c>
      <c r="T273" s="56">
        <f t="shared" ca="1" si="43"/>
        <v>-0.78908671958102983</v>
      </c>
    </row>
    <row r="274" spans="2:20" x14ac:dyDescent="0.25">
      <c r="B274" s="53">
        <v>40570</v>
      </c>
      <c r="C274">
        <v>307.24390440000002</v>
      </c>
      <c r="D274" s="54">
        <f t="shared" si="44"/>
        <v>4.7043557900876764E-4</v>
      </c>
      <c r="E274" s="54">
        <f t="shared" ca="1" si="45"/>
        <v>7.84678092683605E-3</v>
      </c>
      <c r="F274" s="64">
        <f t="shared" ca="1" si="47"/>
        <v>-7.376345347827282E-3</v>
      </c>
      <c r="G274">
        <f t="shared" ca="1" si="40"/>
        <v>8.1801102091506542E-3</v>
      </c>
      <c r="H274">
        <f t="shared" ca="1" si="48"/>
        <v>0.16591352015242936</v>
      </c>
      <c r="I274">
        <f t="shared" ca="1" si="49"/>
        <v>2.7193590919615778</v>
      </c>
      <c r="J274" s="60">
        <v>269</v>
      </c>
      <c r="O274" s="53">
        <v>42615</v>
      </c>
      <c r="P274">
        <v>771.46002199999998</v>
      </c>
      <c r="Q274" s="54">
        <f t="shared" si="41"/>
        <v>3.4860335842568663E-3</v>
      </c>
      <c r="R274">
        <f t="shared" ca="1" si="46"/>
        <v>-4.9518816590150311E-2</v>
      </c>
      <c r="S274">
        <f t="shared" ca="1" si="42"/>
        <v>0.17986617857190484</v>
      </c>
      <c r="T274" s="56">
        <f t="shared" ca="1" si="43"/>
        <v>-0.26868613538140557</v>
      </c>
    </row>
    <row r="275" spans="2:20" x14ac:dyDescent="0.25">
      <c r="B275" s="53">
        <v>40571</v>
      </c>
      <c r="C275">
        <v>299.37337710000003</v>
      </c>
      <c r="D275" s="54">
        <f t="shared" si="44"/>
        <v>-2.5616544990111092E-2</v>
      </c>
      <c r="E275" s="54">
        <f t="shared" ca="1" si="45"/>
        <v>3.8978145607066047E-3</v>
      </c>
      <c r="F275" s="64">
        <f t="shared" ca="1" si="47"/>
        <v>-2.9514359550817697E-2</v>
      </c>
      <c r="G275">
        <f t="shared" ca="1" si="40"/>
        <v>3.4871120491568944E-3</v>
      </c>
      <c r="H275">
        <f t="shared" ca="1" si="48"/>
        <v>1.8262487766023265</v>
      </c>
      <c r="I275">
        <f t="shared" ca="1" si="49"/>
        <v>2.0270068206935927</v>
      </c>
      <c r="J275" s="57">
        <v>270</v>
      </c>
      <c r="O275" s="53">
        <v>42619</v>
      </c>
      <c r="P275">
        <v>780.080017</v>
      </c>
      <c r="Q275" s="54">
        <f t="shared" si="41"/>
        <v>1.1173612052705976E-2</v>
      </c>
      <c r="R275">
        <f t="shared" ca="1" si="46"/>
        <v>-2.5906034294612808E-2</v>
      </c>
      <c r="S275">
        <f t="shared" ca="1" si="42"/>
        <v>6.1295915007743E-2</v>
      </c>
      <c r="T275" s="56">
        <f t="shared" ca="1" si="43"/>
        <v>-0.4391656609725979</v>
      </c>
    </row>
    <row r="276" spans="2:20" x14ac:dyDescent="0.25">
      <c r="B276" s="53">
        <v>40574</v>
      </c>
      <c r="C276">
        <v>299.05956429999998</v>
      </c>
      <c r="D276" s="54">
        <f t="shared" si="44"/>
        <v>-1.0482321542413819E-3</v>
      </c>
      <c r="E276" s="54">
        <f t="shared" ca="1" si="45"/>
        <v>-1.0862247374335688E-2</v>
      </c>
      <c r="F276" s="64">
        <f t="shared" ca="1" si="47"/>
        <v>9.8140152200943062E-3</v>
      </c>
      <c r="G276">
        <f t="shared" ca="1" si="40"/>
        <v>3.0510005042769326E-2</v>
      </c>
      <c r="H276">
        <f t="shared" ca="1" si="48"/>
        <v>-0.36293300959325386</v>
      </c>
      <c r="I276">
        <f t="shared" ca="1" si="49"/>
        <v>2.7107976202359239</v>
      </c>
      <c r="J276" s="60">
        <v>271</v>
      </c>
      <c r="O276" s="53">
        <v>42620</v>
      </c>
      <c r="P276">
        <v>780.34997599999997</v>
      </c>
      <c r="Q276" s="54">
        <f t="shared" si="41"/>
        <v>3.4606578058257276E-4</v>
      </c>
      <c r="R276">
        <f t="shared" ca="1" si="46"/>
        <v>-5.0481399778668716E-2</v>
      </c>
      <c r="S276">
        <f t="shared" ca="1" si="42"/>
        <v>0.10006424147577279</v>
      </c>
      <c r="T276" s="56">
        <f t="shared" ca="1" si="43"/>
        <v>-0.52013825392094848</v>
      </c>
    </row>
    <row r="277" spans="2:20" x14ac:dyDescent="0.25">
      <c r="B277" s="53">
        <v>40575</v>
      </c>
      <c r="C277">
        <v>304.37964190000002</v>
      </c>
      <c r="D277" s="54">
        <f t="shared" si="44"/>
        <v>1.7789357823925805E-2</v>
      </c>
      <c r="E277" s="54">
        <f t="shared" ca="1" si="45"/>
        <v>-2.9331324530367294E-2</v>
      </c>
      <c r="F277" s="64">
        <f t="shared" ca="1" si="47"/>
        <v>4.7120682354293099E-2</v>
      </c>
      <c r="G277">
        <f t="shared" ca="1" si="40"/>
        <v>9.2753667214133875E-3</v>
      </c>
      <c r="H277">
        <f t="shared" ca="1" si="48"/>
        <v>-1.9219081668693334</v>
      </c>
      <c r="I277">
        <f t="shared" ca="1" si="49"/>
        <v>1.0497252785860858</v>
      </c>
      <c r="J277" s="57">
        <v>272</v>
      </c>
      <c r="O277" s="53">
        <v>42621</v>
      </c>
      <c r="P277">
        <v>775.32000700000003</v>
      </c>
      <c r="Q277" s="54">
        <f t="shared" si="41"/>
        <v>-6.445786063559689E-3</v>
      </c>
      <c r="R277">
        <f t="shared" ca="1" si="46"/>
        <v>-0.13534576973422216</v>
      </c>
      <c r="S277">
        <f t="shared" ca="1" si="42"/>
        <v>0.11851775609689576</v>
      </c>
      <c r="T277" s="56">
        <f t="shared" ca="1" si="43"/>
        <v>-1.1843294480335884</v>
      </c>
    </row>
    <row r="278" spans="2:20" x14ac:dyDescent="0.25">
      <c r="B278" s="53">
        <v>40576</v>
      </c>
      <c r="C278">
        <v>304.85785290000001</v>
      </c>
      <c r="D278" s="54">
        <f t="shared" si="44"/>
        <v>1.5711004751004258E-3</v>
      </c>
      <c r="E278" s="54">
        <f t="shared" ca="1" si="45"/>
        <v>9.83372528511823E-4</v>
      </c>
      <c r="F278" s="64">
        <f t="shared" ca="1" si="47"/>
        <v>5.8772794658860277E-4</v>
      </c>
      <c r="G278">
        <f t="shared" ca="1" si="40"/>
        <v>3.216502713053386E-2</v>
      </c>
      <c r="H278">
        <f t="shared" ca="1" si="48"/>
        <v>4.5199651318426348E-2</v>
      </c>
      <c r="I278">
        <f t="shared" ca="1" si="49"/>
        <v>2.7747543623265845</v>
      </c>
      <c r="J278" s="60">
        <v>273</v>
      </c>
      <c r="O278" s="53">
        <v>42622</v>
      </c>
      <c r="P278">
        <v>759.65997300000004</v>
      </c>
      <c r="Q278" s="54">
        <f t="shared" si="41"/>
        <v>-2.0198155417908616E-2</v>
      </c>
      <c r="R278">
        <f t="shared" ca="1" si="46"/>
        <v>-0.13681400691968348</v>
      </c>
      <c r="S278">
        <f t="shared" ca="1" si="42"/>
        <v>0.26983171710012926</v>
      </c>
      <c r="T278" s="56">
        <f t="shared" ca="1" si="43"/>
        <v>-0.5076101593304182</v>
      </c>
    </row>
    <row r="279" spans="2:20" x14ac:dyDescent="0.25">
      <c r="B279" s="53">
        <v>40577</v>
      </c>
      <c r="C279">
        <v>303.93628169999999</v>
      </c>
      <c r="D279" s="54">
        <f t="shared" si="44"/>
        <v>-3.0229537839798143E-3</v>
      </c>
      <c r="E279" s="54">
        <f t="shared" ca="1" si="45"/>
        <v>2.0654814833899172E-2</v>
      </c>
      <c r="F279" s="64">
        <f t="shared" ca="1" si="47"/>
        <v>-2.3677768617878986E-2</v>
      </c>
      <c r="G279">
        <f t="shared" ca="1" si="40"/>
        <v>7.435538407271766E-3</v>
      </c>
      <c r="H279">
        <f t="shared" ca="1" si="48"/>
        <v>1.7033374281484721</v>
      </c>
      <c r="I279">
        <f t="shared" ca="1" si="49"/>
        <v>2.2864075116314977</v>
      </c>
      <c r="J279" s="57">
        <v>274</v>
      </c>
      <c r="O279" s="53">
        <v>42625</v>
      </c>
      <c r="P279">
        <v>769.02002000000005</v>
      </c>
      <c r="Q279" s="54">
        <f t="shared" si="41"/>
        <v>1.232136394265439E-2</v>
      </c>
      <c r="R279">
        <f t="shared" ca="1" si="46"/>
        <v>-0.15855891685112689</v>
      </c>
      <c r="S279">
        <f t="shared" ca="1" si="42"/>
        <v>0.11573951700937618</v>
      </c>
      <c r="T279" s="56">
        <f t="shared" ca="1" si="43"/>
        <v>-1.3449480451374536</v>
      </c>
    </row>
    <row r="280" spans="2:20" x14ac:dyDescent="0.25">
      <c r="B280" s="53">
        <v>40578</v>
      </c>
      <c r="C280">
        <v>304.34973450000001</v>
      </c>
      <c r="D280" s="54">
        <f t="shared" si="44"/>
        <v>1.3603272294030171E-3</v>
      </c>
      <c r="E280" s="54">
        <f t="shared" ca="1" si="45"/>
        <v>2.3329486606780286E-2</v>
      </c>
      <c r="F280" s="64">
        <f t="shared" ca="1" si="47"/>
        <v>-2.196915937737727E-2</v>
      </c>
      <c r="G280">
        <f t="shared" ca="1" si="40"/>
        <v>2.8499669054492555E-2</v>
      </c>
      <c r="H280">
        <f t="shared" ca="1" si="48"/>
        <v>0.79383118342685877</v>
      </c>
      <c r="I280">
        <f t="shared" ca="1" si="49"/>
        <v>2.3519297605089258</v>
      </c>
      <c r="J280" s="60">
        <v>275</v>
      </c>
      <c r="O280" s="53">
        <v>42626</v>
      </c>
      <c r="P280">
        <v>759.69000200000005</v>
      </c>
      <c r="Q280" s="54">
        <f t="shared" si="41"/>
        <v>-1.213234734773224E-2</v>
      </c>
      <c r="R280">
        <f t="shared" ca="1" si="46"/>
        <v>0.25174514134317688</v>
      </c>
      <c r="S280">
        <f t="shared" ca="1" si="42"/>
        <v>0.30642363132080791</v>
      </c>
      <c r="T280" s="56">
        <f t="shared" ca="1" si="43"/>
        <v>0.85116256867551454</v>
      </c>
    </row>
    <row r="281" spans="2:20" x14ac:dyDescent="0.25">
      <c r="B281" s="53">
        <v>40581</v>
      </c>
      <c r="C281">
        <v>305.99857170000001</v>
      </c>
      <c r="D281" s="54">
        <f t="shared" si="44"/>
        <v>5.4175739719595599E-3</v>
      </c>
      <c r="E281" s="54">
        <f t="shared" ca="1" si="45"/>
        <v>-1.1288672677922775E-2</v>
      </c>
      <c r="F281" s="64">
        <f t="shared" ca="1" si="47"/>
        <v>1.6706246649882336E-2</v>
      </c>
      <c r="G281">
        <f t="shared" ca="1" si="40"/>
        <v>1.4790092405528145E-2</v>
      </c>
      <c r="H281">
        <f t="shared" ca="1" si="48"/>
        <v>-0.67146484007806395</v>
      </c>
      <c r="I281">
        <f t="shared" ca="1" si="49"/>
        <v>2.5732717075622169</v>
      </c>
      <c r="J281" s="57">
        <v>276</v>
      </c>
      <c r="O281" s="53">
        <v>42627</v>
      </c>
      <c r="P281">
        <v>762.48999000000003</v>
      </c>
      <c r="Q281" s="54">
        <f t="shared" si="41"/>
        <v>3.6856981040010906E-3</v>
      </c>
      <c r="R281">
        <f t="shared" ca="1" si="46"/>
        <v>0.58190754398817024</v>
      </c>
      <c r="S281">
        <f t="shared" ca="1" si="42"/>
        <v>0.19398813160453154</v>
      </c>
      <c r="T281" s="56">
        <f t="shared" ca="1" si="43"/>
        <v>2.9711816747737805</v>
      </c>
    </row>
    <row r="282" spans="2:20" x14ac:dyDescent="0.25">
      <c r="B282" s="53">
        <v>40582</v>
      </c>
      <c r="C282">
        <v>308.0359287</v>
      </c>
      <c r="D282" s="54">
        <f t="shared" si="44"/>
        <v>6.6580604892411193E-3</v>
      </c>
      <c r="E282" s="54">
        <f t="shared" ca="1" si="45"/>
        <v>-2.0187801319686179E-3</v>
      </c>
      <c r="F282" s="64">
        <f t="shared" ca="1" si="47"/>
        <v>8.6768406212097381E-3</v>
      </c>
      <c r="G282">
        <f t="shared" ca="1" si="40"/>
        <v>1.1746765158316288E-2</v>
      </c>
      <c r="H282">
        <f t="shared" ca="1" si="48"/>
        <v>-0.22387641738190012</v>
      </c>
      <c r="I282">
        <f t="shared" ca="1" si="49"/>
        <v>2.7261119537326297</v>
      </c>
      <c r="J282" s="60">
        <v>277</v>
      </c>
      <c r="O282" s="53">
        <v>42628</v>
      </c>
      <c r="P282">
        <v>771.76000999999997</v>
      </c>
      <c r="Q282" s="54">
        <f t="shared" si="41"/>
        <v>1.2157562881579509E-2</v>
      </c>
      <c r="R282">
        <f t="shared" ca="1" si="46"/>
        <v>0.64670308848630453</v>
      </c>
      <c r="S282">
        <f t="shared" ca="1" si="42"/>
        <v>0.67692479336473488</v>
      </c>
      <c r="T282" s="56">
        <f t="shared" ca="1" si="43"/>
        <v>0.9634037806659721</v>
      </c>
    </row>
    <row r="283" spans="2:20" x14ac:dyDescent="0.25">
      <c r="B283" s="53">
        <v>40583</v>
      </c>
      <c r="C283">
        <v>307.09943390000001</v>
      </c>
      <c r="D283" s="54">
        <f t="shared" si="44"/>
        <v>-3.0402128866988602E-3</v>
      </c>
      <c r="E283" s="54">
        <f t="shared" ca="1" si="45"/>
        <v>4.2804404574519062E-3</v>
      </c>
      <c r="F283" s="64">
        <f t="shared" ca="1" si="47"/>
        <v>-7.3206533441507668E-3</v>
      </c>
      <c r="G283">
        <f t="shared" ca="1" si="40"/>
        <v>4.7057077115765103E-3</v>
      </c>
      <c r="H283">
        <f t="shared" ca="1" si="48"/>
        <v>0.39254132493835819</v>
      </c>
      <c r="I283">
        <f t="shared" ca="1" si="49"/>
        <v>2.7201022809817332</v>
      </c>
      <c r="J283" s="57">
        <v>278</v>
      </c>
      <c r="O283" s="53">
        <v>42629</v>
      </c>
      <c r="P283">
        <v>768.88000499999998</v>
      </c>
      <c r="Q283" s="54">
        <f t="shared" si="41"/>
        <v>-3.7317365018692573E-3</v>
      </c>
      <c r="R283">
        <f t="shared" ca="1" si="46"/>
        <v>0.13931678174647724</v>
      </c>
      <c r="S283">
        <f t="shared" ca="1" si="42"/>
        <v>0.21978262886265479</v>
      </c>
      <c r="T283" s="56">
        <f t="shared" ca="1" si="43"/>
        <v>0.62635182818917823</v>
      </c>
    </row>
    <row r="284" spans="2:20" x14ac:dyDescent="0.25">
      <c r="B284" s="53">
        <v>40584</v>
      </c>
      <c r="C284">
        <v>307.06955740000001</v>
      </c>
      <c r="D284" s="54">
        <f t="shared" si="44"/>
        <v>-9.7286079692771144E-5</v>
      </c>
      <c r="E284" s="54">
        <f t="shared" ca="1" si="45"/>
        <v>1.0045291833663709E-2</v>
      </c>
      <c r="F284" s="64">
        <f t="shared" ca="1" si="47"/>
        <v>-1.0142577913356481E-2</v>
      </c>
      <c r="G284">
        <f t="shared" ca="1" si="40"/>
        <v>6.7154482464391735E-3</v>
      </c>
      <c r="H284">
        <f t="shared" ca="1" si="48"/>
        <v>1.0505740871302551</v>
      </c>
      <c r="I284">
        <f t="shared" ca="1" si="49"/>
        <v>2.6761383991316054</v>
      </c>
      <c r="J284" s="60">
        <v>279</v>
      </c>
      <c r="O284" s="53">
        <v>42632</v>
      </c>
      <c r="P284">
        <v>765.70001200000002</v>
      </c>
      <c r="Q284" s="54">
        <f t="shared" si="41"/>
        <v>-4.1358768329525846E-3</v>
      </c>
      <c r="R284">
        <f t="shared" ca="1" si="46"/>
        <v>-0.14531107163459078</v>
      </c>
      <c r="S284">
        <f t="shared" ca="1" si="42"/>
        <v>0.1427507564202061</v>
      </c>
      <c r="T284" s="56">
        <f t="shared" ca="1" si="43"/>
        <v>-1.0561850325084379</v>
      </c>
    </row>
    <row r="285" spans="2:20" x14ac:dyDescent="0.25">
      <c r="B285" s="53">
        <v>40585</v>
      </c>
      <c r="C285">
        <v>311.08451789999998</v>
      </c>
      <c r="D285" s="54">
        <f t="shared" si="44"/>
        <v>1.3075084791847139E-2</v>
      </c>
      <c r="E285" s="54">
        <f t="shared" ca="1" si="45"/>
        <v>6.3330418964558113E-2</v>
      </c>
      <c r="F285" s="64">
        <f t="shared" ca="1" si="47"/>
        <v>-5.0255334172710976E-2</v>
      </c>
      <c r="G285">
        <f t="shared" ca="1" si="40"/>
        <v>1.7631233310495216E-2</v>
      </c>
      <c r="H285">
        <f t="shared" ca="1" si="48"/>
        <v>3.6693882951793237</v>
      </c>
      <c r="I285">
        <f t="shared" ca="1" si="49"/>
        <v>0.65986102616649323</v>
      </c>
      <c r="J285" s="57">
        <v>280</v>
      </c>
      <c r="O285" s="53">
        <v>42633</v>
      </c>
      <c r="P285">
        <v>771.40997300000004</v>
      </c>
      <c r="Q285" s="54">
        <f t="shared" si="41"/>
        <v>7.4571776289850981E-3</v>
      </c>
      <c r="R285">
        <f t="shared" ca="1" si="46"/>
        <v>0.14510998928739055</v>
      </c>
      <c r="S285">
        <f t="shared" ca="1" si="42"/>
        <v>0.24064169463423071</v>
      </c>
      <c r="T285" s="56">
        <f t="shared" ca="1" si="43"/>
        <v>0.6099776615589112</v>
      </c>
    </row>
    <row r="286" spans="2:20" x14ac:dyDescent="0.25">
      <c r="B286" s="53">
        <v>40588</v>
      </c>
      <c r="C286">
        <v>312.90269740000002</v>
      </c>
      <c r="D286" s="54">
        <f t="shared" si="44"/>
        <v>5.8446479827212322E-3</v>
      </c>
      <c r="E286" s="54">
        <f t="shared" ca="1" si="45"/>
        <v>-3.7846280562278463E-2</v>
      </c>
      <c r="F286" s="64">
        <f t="shared" ca="1" si="47"/>
        <v>4.3690928544999695E-2</v>
      </c>
      <c r="G286">
        <f t="shared" ca="1" si="40"/>
        <v>6.1387752759497427E-2</v>
      </c>
      <c r="H286">
        <f t="shared" ca="1" si="48"/>
        <v>-0.61580382185740612</v>
      </c>
      <c r="I286">
        <f t="shared" ca="1" si="49"/>
        <v>1.2963009639623055</v>
      </c>
      <c r="J286" s="60">
        <v>281</v>
      </c>
      <c r="O286" s="53">
        <v>42634</v>
      </c>
      <c r="P286">
        <v>776.21997099999999</v>
      </c>
      <c r="Q286" s="54">
        <f t="shared" si="41"/>
        <v>6.2353329206957893E-3</v>
      </c>
      <c r="R286">
        <f t="shared" ca="1" si="46"/>
        <v>-0.23688331083384259</v>
      </c>
      <c r="S286">
        <f t="shared" ca="1" si="42"/>
        <v>0.13903125824739193</v>
      </c>
      <c r="T286" s="56">
        <f t="shared" ca="1" si="43"/>
        <v>-1.6904539107896077</v>
      </c>
    </row>
    <row r="287" spans="2:20" x14ac:dyDescent="0.25">
      <c r="B287" s="53">
        <v>40589</v>
      </c>
      <c r="C287">
        <v>310.91017040000003</v>
      </c>
      <c r="D287" s="54">
        <f t="shared" si="44"/>
        <v>-6.3678805473921596E-3</v>
      </c>
      <c r="E287" s="54">
        <f t="shared" ca="1" si="45"/>
        <v>-2.6044612757681398E-3</v>
      </c>
      <c r="F287" s="64">
        <f t="shared" ca="1" si="47"/>
        <v>-3.7634192716240198E-3</v>
      </c>
      <c r="G287">
        <f t="shared" ca="1" si="40"/>
        <v>1.738598952226289E-2</v>
      </c>
      <c r="H287">
        <f t="shared" ca="1" si="48"/>
        <v>-0.48756755785205735</v>
      </c>
      <c r="I287">
        <f t="shared" ca="1" si="49"/>
        <v>2.7571894175638438</v>
      </c>
      <c r="J287" s="57">
        <v>282</v>
      </c>
      <c r="O287" s="53">
        <v>42635</v>
      </c>
      <c r="P287">
        <v>787.21002199999998</v>
      </c>
      <c r="Q287" s="54">
        <f t="shared" si="41"/>
        <v>1.4158423398771318E-2</v>
      </c>
      <c r="R287">
        <f t="shared" ca="1" si="46"/>
        <v>0.84936819702171373</v>
      </c>
      <c r="S287">
        <f t="shared" ca="1" si="42"/>
        <v>0.38513986206042139</v>
      </c>
      <c r="T287" s="56">
        <f t="shared" ca="1" si="43"/>
        <v>2.1966537486170106</v>
      </c>
    </row>
    <row r="288" spans="2:20" x14ac:dyDescent="0.25">
      <c r="B288" s="53">
        <v>40590</v>
      </c>
      <c r="C288">
        <v>310.94502169999998</v>
      </c>
      <c r="D288" s="54">
        <f t="shared" si="44"/>
        <v>1.1209443536414163E-4</v>
      </c>
      <c r="E288" s="54">
        <f t="shared" ca="1" si="45"/>
        <v>6.4894109042522774E-3</v>
      </c>
      <c r="F288" s="64">
        <f t="shared" ca="1" si="47"/>
        <v>-6.3773164688881358E-3</v>
      </c>
      <c r="G288">
        <f t="shared" ca="1" si="40"/>
        <v>9.1070537344264714E-3</v>
      </c>
      <c r="H288">
        <f t="shared" ca="1" si="48"/>
        <v>0.42434933291801763</v>
      </c>
      <c r="I288">
        <f t="shared" ca="1" si="49"/>
        <v>2.7319294018307798</v>
      </c>
      <c r="J288" s="60">
        <v>283</v>
      </c>
      <c r="O288" s="53">
        <v>42636</v>
      </c>
      <c r="P288">
        <v>786.90002400000003</v>
      </c>
      <c r="Q288" s="54">
        <f t="shared" si="41"/>
        <v>-3.9379325889724319E-4</v>
      </c>
      <c r="R288">
        <f t="shared" ca="1" si="46"/>
        <v>7.3897629198918693E-2</v>
      </c>
      <c r="S288">
        <f t="shared" ca="1" si="42"/>
        <v>0.50049999544640689</v>
      </c>
      <c r="T288" s="56">
        <f t="shared" ca="1" si="43"/>
        <v>0.14205189400322077</v>
      </c>
    </row>
    <row r="289" spans="2:20" x14ac:dyDescent="0.25">
      <c r="B289" s="53">
        <v>40591</v>
      </c>
      <c r="C289">
        <v>311.4630889</v>
      </c>
      <c r="D289" s="54">
        <f t="shared" si="44"/>
        <v>1.666105465100034E-3</v>
      </c>
      <c r="E289" s="54">
        <f t="shared" ca="1" si="45"/>
        <v>-1.0196529414014402E-2</v>
      </c>
      <c r="F289" s="64">
        <f t="shared" ca="1" si="47"/>
        <v>1.1862634879114436E-2</v>
      </c>
      <c r="G289">
        <f t="shared" ca="1" si="40"/>
        <v>7.4493013956216918E-3</v>
      </c>
      <c r="H289">
        <f t="shared" ca="1" si="48"/>
        <v>-0.98486935404488085</v>
      </c>
      <c r="I289">
        <f t="shared" ca="1" si="49"/>
        <v>2.677936274533637</v>
      </c>
      <c r="J289" s="57">
        <v>284</v>
      </c>
      <c r="O289" s="53">
        <v>42639</v>
      </c>
      <c r="P289">
        <v>774.21002199999998</v>
      </c>
      <c r="Q289" s="54">
        <f t="shared" si="41"/>
        <v>-1.6126574676531016E-2</v>
      </c>
      <c r="R289">
        <f t="shared" ca="1" si="46"/>
        <v>-2.9824245485924425E-2</v>
      </c>
      <c r="S289">
        <f t="shared" ca="1" si="42"/>
        <v>3.3439379917062147E-2</v>
      </c>
      <c r="T289" s="56">
        <f t="shared" ca="1" si="43"/>
        <v>-1.0820496763991925</v>
      </c>
    </row>
    <row r="290" spans="2:20" x14ac:dyDescent="0.25">
      <c r="B290" s="53">
        <v>40592</v>
      </c>
      <c r="C290">
        <v>313.86409429999998</v>
      </c>
      <c r="D290" s="54">
        <f t="shared" si="44"/>
        <v>7.7087959555003759E-3</v>
      </c>
      <c r="E290" s="54">
        <f t="shared" ca="1" si="45"/>
        <v>1.5038984100359694E-3</v>
      </c>
      <c r="F290" s="64">
        <f t="shared" ca="1" si="47"/>
        <v>6.2048975454644063E-3</v>
      </c>
      <c r="G290">
        <f t="shared" ca="1" si="40"/>
        <v>1.6557151765430211E-2</v>
      </c>
      <c r="H290">
        <f t="shared" ca="1" si="48"/>
        <v>8.7788398744607379E-2</v>
      </c>
      <c r="I290">
        <f t="shared" ca="1" si="49"/>
        <v>2.7521941363814189</v>
      </c>
      <c r="J290" s="60">
        <v>285</v>
      </c>
      <c r="O290" s="53">
        <v>42640</v>
      </c>
      <c r="P290">
        <v>783.01000999999997</v>
      </c>
      <c r="Q290" s="54">
        <f t="shared" si="41"/>
        <v>1.1366409307473398E-2</v>
      </c>
      <c r="R290">
        <f t="shared" ca="1" si="46"/>
        <v>-0.37689442506159659</v>
      </c>
      <c r="S290">
        <f t="shared" ca="1" si="42"/>
        <v>0.24652315121453222</v>
      </c>
      <c r="T290" s="56">
        <f t="shared" ca="1" si="43"/>
        <v>-1.5281213340375075</v>
      </c>
    </row>
    <row r="291" spans="2:20" x14ac:dyDescent="0.25">
      <c r="B291" s="53">
        <v>40596</v>
      </c>
      <c r="C291">
        <v>303.96618910000001</v>
      </c>
      <c r="D291" s="54">
        <f t="shared" si="44"/>
        <v>-3.1535640360758427E-2</v>
      </c>
      <c r="E291" s="54">
        <f t="shared" ca="1" si="45"/>
        <v>7.2614492596731689E-3</v>
      </c>
      <c r="F291" s="64">
        <f t="shared" ca="1" si="47"/>
        <v>-3.8797089620431595E-2</v>
      </c>
      <c r="G291">
        <f t="shared" ca="1" si="40"/>
        <v>4.1705948360634482E-3</v>
      </c>
      <c r="H291">
        <f t="shared" ca="1" si="48"/>
        <v>1.5616561503991937</v>
      </c>
      <c r="I291">
        <f t="shared" ca="1" si="49"/>
        <v>1.501062297343384</v>
      </c>
      <c r="J291" s="57">
        <v>286</v>
      </c>
      <c r="O291" s="53">
        <v>42641</v>
      </c>
      <c r="P291">
        <v>781.55999799999995</v>
      </c>
      <c r="Q291" s="54">
        <f t="shared" si="41"/>
        <v>-1.8518435032522959E-3</v>
      </c>
      <c r="R291">
        <f t="shared" ca="1" si="46"/>
        <v>0.66274113734510587</v>
      </c>
      <c r="S291">
        <f t="shared" ca="1" si="42"/>
        <v>0.34817353461611672</v>
      </c>
      <c r="T291" s="56">
        <f t="shared" ca="1" si="43"/>
        <v>1.9242809763745277</v>
      </c>
    </row>
    <row r="292" spans="2:20" x14ac:dyDescent="0.25">
      <c r="B292" s="53">
        <v>40597</v>
      </c>
      <c r="C292">
        <v>304.51910709999999</v>
      </c>
      <c r="D292" s="54">
        <f t="shared" si="44"/>
        <v>1.8190115211072892E-3</v>
      </c>
      <c r="E292" s="54">
        <f t="shared" ca="1" si="45"/>
        <v>-1.6471376465926106E-2</v>
      </c>
      <c r="F292" s="64">
        <f t="shared" ca="1" si="47"/>
        <v>1.8290387987033394E-2</v>
      </c>
      <c r="G292">
        <f t="shared" ca="1" si="40"/>
        <v>2.610331483531847E-2</v>
      </c>
      <c r="H292">
        <f t="shared" ca="1" si="48"/>
        <v>-0.76361978474384296</v>
      </c>
      <c r="I292">
        <f t="shared" ca="1" si="49"/>
        <v>2.530814177497529</v>
      </c>
      <c r="J292" s="60">
        <v>287</v>
      </c>
      <c r="O292" s="53">
        <v>42642</v>
      </c>
      <c r="P292">
        <v>775.01000999999997</v>
      </c>
      <c r="Q292" s="54">
        <f t="shared" si="41"/>
        <v>-8.3806592158776078E-3</v>
      </c>
      <c r="R292">
        <f t="shared" ca="1" si="46"/>
        <v>-0.24604563691888093</v>
      </c>
      <c r="S292">
        <f t="shared" ca="1" si="42"/>
        <v>0.43844341674962151</v>
      </c>
      <c r="T292" s="56">
        <f t="shared" ca="1" si="43"/>
        <v>-0.57282303139111601</v>
      </c>
    </row>
    <row r="293" spans="2:20" x14ac:dyDescent="0.25">
      <c r="B293" s="53">
        <v>40598</v>
      </c>
      <c r="C293">
        <v>303.27377439999998</v>
      </c>
      <c r="D293" s="54">
        <f t="shared" si="44"/>
        <v>-4.0895059487714028E-3</v>
      </c>
      <c r="E293" s="54">
        <f t="shared" ca="1" si="45"/>
        <v>1.0923885951709232E-2</v>
      </c>
      <c r="F293" s="64">
        <f t="shared" ca="1" si="47"/>
        <v>-1.5013391900480635E-2</v>
      </c>
      <c r="G293">
        <f t="shared" ca="1" si="40"/>
        <v>1.4101269784012712E-2</v>
      </c>
      <c r="H293">
        <f t="shared" ca="1" si="48"/>
        <v>1.7790697349992366</v>
      </c>
      <c r="I293">
        <f t="shared" ca="1" si="49"/>
        <v>2.569983071450328</v>
      </c>
      <c r="J293" s="57">
        <v>288</v>
      </c>
      <c r="O293" s="53">
        <v>42643</v>
      </c>
      <c r="P293">
        <v>777.28997800000002</v>
      </c>
      <c r="Q293" s="54">
        <f t="shared" si="41"/>
        <v>2.9418561961542323E-3</v>
      </c>
      <c r="R293">
        <f t="shared" ca="1" si="46"/>
        <v>0.18889178269254236</v>
      </c>
      <c r="S293">
        <f t="shared" ca="1" si="42"/>
        <v>0.13071364963254872</v>
      </c>
      <c r="T293" s="56">
        <f t="shared" ca="1" si="43"/>
        <v>1.4514446475979683</v>
      </c>
    </row>
    <row r="294" spans="2:20" x14ac:dyDescent="0.25">
      <c r="B294" s="53">
        <v>40599</v>
      </c>
      <c r="C294">
        <v>303.88150250000001</v>
      </c>
      <c r="D294" s="54">
        <f t="shared" si="44"/>
        <v>2.0038926913557458E-3</v>
      </c>
      <c r="E294" s="54">
        <f t="shared" ca="1" si="45"/>
        <v>-2.3895860702069217E-2</v>
      </c>
      <c r="F294" s="64">
        <f t="shared" ca="1" si="47"/>
        <v>2.5899753393424964E-2</v>
      </c>
      <c r="G294">
        <f t="shared" ca="1" si="40"/>
        <v>2.9885787436445231E-2</v>
      </c>
      <c r="H294">
        <f t="shared" ca="1" si="48"/>
        <v>-0.82690626051672844</v>
      </c>
      <c r="I294">
        <f t="shared" ca="1" si="49"/>
        <v>2.2703546790408917</v>
      </c>
      <c r="J294" s="60">
        <v>289</v>
      </c>
      <c r="O294" s="53">
        <v>42646</v>
      </c>
      <c r="P294">
        <v>772.55999799999995</v>
      </c>
      <c r="Q294" s="54">
        <f t="shared" si="41"/>
        <v>-6.0852193311053708E-3</v>
      </c>
      <c r="R294">
        <f t="shared" ca="1" si="46"/>
        <v>-0.13886454812007576</v>
      </c>
      <c r="S294">
        <f t="shared" ca="1" si="42"/>
        <v>0.33068745066723276</v>
      </c>
      <c r="T294" s="56">
        <f t="shared" ca="1" si="43"/>
        <v>-0.40854491647917024</v>
      </c>
    </row>
    <row r="295" spans="2:20" x14ac:dyDescent="0.25">
      <c r="B295" s="53">
        <v>40602</v>
      </c>
      <c r="C295">
        <v>305.5552419</v>
      </c>
      <c r="D295" s="54">
        <f t="shared" si="44"/>
        <v>5.5078686469242667E-3</v>
      </c>
      <c r="E295" s="54">
        <f t="shared" ca="1" si="45"/>
        <v>-2.7005807672662537E-2</v>
      </c>
      <c r="F295" s="64">
        <f t="shared" ca="1" si="47"/>
        <v>3.2513676319586807E-2</v>
      </c>
      <c r="G295">
        <f t="shared" ca="1" si="40"/>
        <v>1.5423442949639588E-2</v>
      </c>
      <c r="H295">
        <f t="shared" ca="1" si="48"/>
        <v>-1.631877088733193</v>
      </c>
      <c r="I295">
        <f t="shared" ca="1" si="49"/>
        <v>1.9679698108077541</v>
      </c>
      <c r="J295" s="57">
        <v>290</v>
      </c>
      <c r="O295" s="53">
        <v>42647</v>
      </c>
      <c r="P295">
        <v>776.42999299999997</v>
      </c>
      <c r="Q295" s="54">
        <f t="shared" si="41"/>
        <v>5.0093132054709584E-3</v>
      </c>
      <c r="R295">
        <f t="shared" ca="1" si="46"/>
        <v>-8.8877799071038655E-2</v>
      </c>
      <c r="S295">
        <f t="shared" ca="1" si="42"/>
        <v>9.3246661641215922E-2</v>
      </c>
      <c r="T295" s="56">
        <f t="shared" ca="1" si="43"/>
        <v>-0.96731549582923204</v>
      </c>
    </row>
    <row r="296" spans="2:20" x14ac:dyDescent="0.25">
      <c r="B296" s="53">
        <v>40603</v>
      </c>
      <c r="C296">
        <v>299.25881399999997</v>
      </c>
      <c r="D296" s="54">
        <f t="shared" si="44"/>
        <v>-2.0606512461863367E-2</v>
      </c>
      <c r="E296" s="54">
        <f t="shared" ca="1" si="45"/>
        <v>-2.3266831147439378E-2</v>
      </c>
      <c r="F296" s="64">
        <f t="shared" ca="1" si="47"/>
        <v>2.6603186855760109E-3</v>
      </c>
      <c r="G296">
        <f t="shared" ca="1" si="40"/>
        <v>2.7482838464919838E-2</v>
      </c>
      <c r="H296">
        <f t="shared" ca="1" si="48"/>
        <v>-0.87934564839143847</v>
      </c>
      <c r="I296">
        <f t="shared" ca="1" si="49"/>
        <v>2.7723652413269222</v>
      </c>
      <c r="J296" s="60">
        <v>291</v>
      </c>
      <c r="O296" s="53">
        <v>42648</v>
      </c>
      <c r="P296">
        <v>776.46997099999999</v>
      </c>
      <c r="Q296" s="54">
        <f t="shared" si="41"/>
        <v>5.1489510143149723E-5</v>
      </c>
      <c r="R296">
        <f t="shared" ca="1" si="46"/>
        <v>0.32701521912064824</v>
      </c>
      <c r="S296">
        <f t="shared" ca="1" si="42"/>
        <v>0.22038868158000904</v>
      </c>
      <c r="T296" s="56">
        <f t="shared" ca="1" si="43"/>
        <v>1.4962117124503385</v>
      </c>
    </row>
    <row r="297" spans="2:20" x14ac:dyDescent="0.25">
      <c r="B297" s="53">
        <v>40604</v>
      </c>
      <c r="C297">
        <v>299.2737674</v>
      </c>
      <c r="D297" s="54">
        <f t="shared" si="44"/>
        <v>4.9968118900666473E-5</v>
      </c>
      <c r="E297" s="54">
        <f t="shared" ca="1" si="45"/>
        <v>-9.2062190563151382E-3</v>
      </c>
      <c r="F297" s="64">
        <f t="shared" ca="1" si="47"/>
        <v>9.2561871752158045E-3</v>
      </c>
      <c r="G297">
        <f t="shared" ca="1" si="40"/>
        <v>1.5989237575929006E-2</v>
      </c>
      <c r="H297">
        <f t="shared" ca="1" si="48"/>
        <v>-0.73046372612261046</v>
      </c>
      <c r="I297">
        <f t="shared" ca="1" si="49"/>
        <v>2.7185709776075178</v>
      </c>
      <c r="J297" s="57">
        <v>292</v>
      </c>
      <c r="O297" s="53">
        <v>42649</v>
      </c>
      <c r="P297">
        <v>776.85998500000005</v>
      </c>
      <c r="Q297" s="54">
        <f t="shared" si="41"/>
        <v>5.022911568592582E-4</v>
      </c>
      <c r="R297">
        <f t="shared" ca="1" si="46"/>
        <v>-0.45927122081372057</v>
      </c>
      <c r="S297">
        <f t="shared" ca="1" si="42"/>
        <v>0.34089921504577464</v>
      </c>
      <c r="T297" s="56">
        <f t="shared" ca="1" si="43"/>
        <v>-1.3538341662890738</v>
      </c>
    </row>
    <row r="298" spans="2:20" x14ac:dyDescent="0.25">
      <c r="B298" s="53">
        <v>40605</v>
      </c>
      <c r="C298">
        <v>303.64239679999997</v>
      </c>
      <c r="D298" s="54">
        <f t="shared" si="44"/>
        <v>1.4597435110846187E-2</v>
      </c>
      <c r="E298" s="54">
        <f t="shared" ca="1" si="45"/>
        <v>-3.4115075599913489E-2</v>
      </c>
      <c r="F298" s="64">
        <f t="shared" ca="1" si="47"/>
        <v>4.8712510710759674E-2</v>
      </c>
      <c r="G298">
        <f t="shared" ca="1" si="40"/>
        <v>1.2765054350233557E-2</v>
      </c>
      <c r="H298">
        <f t="shared" ca="1" si="48"/>
        <v>-1.9475262946128815</v>
      </c>
      <c r="I298">
        <f t="shared" ca="1" si="49"/>
        <v>0.92882603499306948</v>
      </c>
      <c r="J298" s="60">
        <v>293</v>
      </c>
      <c r="O298" s="53">
        <v>42650</v>
      </c>
      <c r="P298">
        <v>775.080017</v>
      </c>
      <c r="Q298" s="54">
        <f t="shared" si="41"/>
        <v>-2.2912339860059255E-3</v>
      </c>
      <c r="R298">
        <f t="shared" ca="1" si="46"/>
        <v>0.14176118107206909</v>
      </c>
      <c r="S298">
        <f t="shared" ca="1" si="42"/>
        <v>0.30849451302401959</v>
      </c>
      <c r="T298" s="56">
        <f t="shared" ca="1" si="43"/>
        <v>0.45945078911194359</v>
      </c>
    </row>
    <row r="299" spans="2:20" x14ac:dyDescent="0.25">
      <c r="B299" s="53">
        <v>40606</v>
      </c>
      <c r="C299">
        <v>299.18908140000002</v>
      </c>
      <c r="D299" s="54">
        <f t="shared" si="44"/>
        <v>-1.4666316189478688E-2</v>
      </c>
      <c r="E299" s="54">
        <f t="shared" ca="1" si="45"/>
        <v>-3.0030035925174451E-2</v>
      </c>
      <c r="F299" s="64">
        <f t="shared" ca="1" si="47"/>
        <v>1.5363719735695763E-2</v>
      </c>
      <c r="G299">
        <f t="shared" ca="1" si="40"/>
        <v>3.2652703785261042E-2</v>
      </c>
      <c r="H299">
        <f t="shared" ca="1" si="48"/>
        <v>-0.92037490586717741</v>
      </c>
      <c r="I299">
        <f t="shared" ca="1" si="49"/>
        <v>2.6060793376866318</v>
      </c>
      <c r="J299" s="57">
        <v>294</v>
      </c>
      <c r="O299" s="53">
        <v>42653</v>
      </c>
      <c r="P299">
        <v>785.94000200000005</v>
      </c>
      <c r="Q299" s="54">
        <f t="shared" si="41"/>
        <v>1.4011437221713396E-2</v>
      </c>
      <c r="R299">
        <f t="shared" ca="1" si="46"/>
        <v>-6.887153487709409E-2</v>
      </c>
      <c r="S299">
        <f t="shared" ca="1" si="42"/>
        <v>0.10480686273405213</v>
      </c>
      <c r="T299" s="56">
        <f t="shared" ca="1" si="43"/>
        <v>-0.65928015215123659</v>
      </c>
    </row>
    <row r="300" spans="2:20" x14ac:dyDescent="0.25">
      <c r="B300" s="53">
        <v>40609</v>
      </c>
      <c r="C300">
        <v>294.72581680000002</v>
      </c>
      <c r="D300" s="54">
        <f t="shared" si="44"/>
        <v>-1.4917872601215861E-2</v>
      </c>
      <c r="E300" s="54">
        <f t="shared" ca="1" si="45"/>
        <v>1.2558404159820759E-2</v>
      </c>
      <c r="F300" s="64">
        <f t="shared" ca="1" si="47"/>
        <v>-2.747627676103662E-2</v>
      </c>
      <c r="G300">
        <f t="shared" ca="1" si="40"/>
        <v>1.7098698692979013E-2</v>
      </c>
      <c r="H300">
        <f t="shared" ca="1" si="48"/>
        <v>0.35105925590256126</v>
      </c>
      <c r="I300">
        <f t="shared" ca="1" si="49"/>
        <v>2.1238414110940802</v>
      </c>
      <c r="J300" s="60">
        <v>295</v>
      </c>
      <c r="O300" s="53">
        <v>42654</v>
      </c>
      <c r="P300">
        <v>783.07000700000003</v>
      </c>
      <c r="Q300" s="54">
        <f t="shared" si="41"/>
        <v>-3.6516718740574002E-3</v>
      </c>
      <c r="R300">
        <f t="shared" ca="1" si="46"/>
        <v>2.9536479658867607E-2</v>
      </c>
      <c r="S300">
        <f t="shared" ca="1" si="42"/>
        <v>0.1502155904491749</v>
      </c>
      <c r="T300" s="56">
        <f t="shared" ca="1" si="43"/>
        <v>0.2034760651312425</v>
      </c>
    </row>
    <row r="301" spans="2:20" x14ac:dyDescent="0.25">
      <c r="B301" s="53">
        <v>40610</v>
      </c>
      <c r="C301">
        <v>295.04957819999998</v>
      </c>
      <c r="D301" s="54">
        <f t="shared" si="44"/>
        <v>1.0985172711207383E-3</v>
      </c>
      <c r="E301" s="54">
        <f t="shared" ca="1" si="45"/>
        <v>1.0159641182953452E-3</v>
      </c>
      <c r="F301" s="64">
        <f t="shared" ca="1" si="47"/>
        <v>8.2553152825393149E-5</v>
      </c>
      <c r="G301">
        <f t="shared" ca="1" si="40"/>
        <v>7.1083887538000981E-3</v>
      </c>
      <c r="H301">
        <f t="shared" ca="1" si="48"/>
        <v>1.0696035081542412</v>
      </c>
      <c r="I301">
        <f t="shared" ca="1" si="49"/>
        <v>2.7742846560210026</v>
      </c>
      <c r="J301" s="57">
        <v>296</v>
      </c>
      <c r="O301" s="53">
        <v>42655</v>
      </c>
      <c r="P301">
        <v>786.14001499999995</v>
      </c>
      <c r="Q301" s="54">
        <f t="shared" si="41"/>
        <v>3.9204770615099242E-3</v>
      </c>
      <c r="R301">
        <f t="shared" ca="1" si="46"/>
        <v>-5.9122767927076915E-2</v>
      </c>
      <c r="S301">
        <f t="shared" ca="1" si="42"/>
        <v>4.6436116290827556E-2</v>
      </c>
      <c r="T301" s="56">
        <f t="shared" ca="1" si="43"/>
        <v>-1.4087207825289751</v>
      </c>
    </row>
    <row r="302" spans="2:20" x14ac:dyDescent="0.25">
      <c r="B302" s="53">
        <v>40611</v>
      </c>
      <c r="C302">
        <v>294.780596</v>
      </c>
      <c r="D302" s="54">
        <f t="shared" si="44"/>
        <v>-9.1165085420882061E-4</v>
      </c>
      <c r="E302" s="54">
        <f t="shared" ca="1" si="45"/>
        <v>2.3142709745033813E-2</v>
      </c>
      <c r="F302" s="64">
        <f t="shared" ca="1" si="47"/>
        <v>-2.4054360599242635E-2</v>
      </c>
      <c r="G302">
        <f t="shared" ca="1" si="40"/>
        <v>1.7955027625229488E-2</v>
      </c>
      <c r="H302">
        <f t="shared" ca="1" si="48"/>
        <v>1.6620752027103087</v>
      </c>
      <c r="I302">
        <f t="shared" ca="1" si="49"/>
        <v>2.2713314518887686</v>
      </c>
      <c r="J302" s="60">
        <v>297</v>
      </c>
      <c r="O302" s="53">
        <v>42656</v>
      </c>
      <c r="P302">
        <v>778.19000200000005</v>
      </c>
      <c r="Q302" s="54">
        <f t="shared" si="41"/>
        <v>-1.011271891559915E-2</v>
      </c>
      <c r="R302">
        <f t="shared" ca="1" si="46"/>
        <v>-0.29491864340041896</v>
      </c>
      <c r="S302">
        <f t="shared" ca="1" si="42"/>
        <v>0.32094757274352143</v>
      </c>
      <c r="T302" s="56">
        <f t="shared" ca="1" si="43"/>
        <v>-0.91378996725578732</v>
      </c>
    </row>
    <row r="303" spans="2:20" x14ac:dyDescent="0.25">
      <c r="B303" s="53">
        <v>40612</v>
      </c>
      <c r="C303">
        <v>289.0669934</v>
      </c>
      <c r="D303" s="54">
        <f t="shared" si="44"/>
        <v>-1.9382560037974825E-2</v>
      </c>
      <c r="E303" s="54">
        <f t="shared" ca="1" si="45"/>
        <v>-2.7603065908319468E-2</v>
      </c>
      <c r="F303" s="64">
        <f t="shared" ca="1" si="47"/>
        <v>8.2205058703446431E-3</v>
      </c>
      <c r="G303">
        <f t="shared" ca="1" si="40"/>
        <v>2.8060754922669781E-2</v>
      </c>
      <c r="H303">
        <f t="shared" ca="1" si="48"/>
        <v>-1.0012708632688052</v>
      </c>
      <c r="I303">
        <f t="shared" ca="1" si="49"/>
        <v>2.7316699498273098</v>
      </c>
      <c r="J303" s="57">
        <v>298</v>
      </c>
      <c r="O303" s="53">
        <v>42657</v>
      </c>
      <c r="P303">
        <v>778.53002900000001</v>
      </c>
      <c r="Q303" s="54">
        <f t="shared" si="41"/>
        <v>4.3694598893081592E-4</v>
      </c>
      <c r="R303">
        <f t="shared" ca="1" si="46"/>
        <v>-5.0337348839426005E-2</v>
      </c>
      <c r="S303">
        <f t="shared" ca="1" si="42"/>
        <v>0.20825765758053366</v>
      </c>
      <c r="T303" s="56">
        <f t="shared" ca="1" si="43"/>
        <v>-0.25016097816788813</v>
      </c>
    </row>
    <row r="304" spans="2:20" x14ac:dyDescent="0.25">
      <c r="B304" s="53">
        <v>40613</v>
      </c>
      <c r="C304">
        <v>287.27869090000002</v>
      </c>
      <c r="D304" s="54">
        <f t="shared" si="44"/>
        <v>-6.1864638330582445E-3</v>
      </c>
      <c r="E304" s="54">
        <f t="shared" ca="1" si="45"/>
        <v>-2.2454198401656741E-2</v>
      </c>
      <c r="F304" s="64">
        <f t="shared" ca="1" si="47"/>
        <v>1.6267734568598497E-2</v>
      </c>
      <c r="G304">
        <f t="shared" ca="1" si="40"/>
        <v>1.7922202559380859E-2</v>
      </c>
      <c r="H304">
        <f t="shared" ca="1" si="48"/>
        <v>-1.2300063924764963</v>
      </c>
      <c r="I304">
        <f t="shared" ca="1" si="49"/>
        <v>2.5843079841192877</v>
      </c>
      <c r="J304" s="60">
        <v>299</v>
      </c>
      <c r="O304" s="53">
        <v>42660</v>
      </c>
      <c r="P304">
        <v>779.96002199999998</v>
      </c>
      <c r="Q304" s="54">
        <f t="shared" si="41"/>
        <v>1.836785925697373E-3</v>
      </c>
      <c r="R304">
        <f t="shared" ca="1" si="46"/>
        <v>-2.1981241977230913E-2</v>
      </c>
      <c r="S304">
        <f t="shared" ca="1" si="42"/>
        <v>5.7108318769238164E-2</v>
      </c>
      <c r="T304" s="56">
        <f t="shared" ca="1" si="43"/>
        <v>-0.30537451069729216</v>
      </c>
    </row>
    <row r="305" spans="2:20" x14ac:dyDescent="0.25">
      <c r="B305" s="53">
        <v>40616</v>
      </c>
      <c r="C305">
        <v>283.9312425</v>
      </c>
      <c r="D305" s="54">
        <f t="shared" si="44"/>
        <v>-1.1652268358342129E-2</v>
      </c>
      <c r="E305" s="54">
        <f t="shared" ca="1" si="45"/>
        <v>-3.8500954595694879E-2</v>
      </c>
      <c r="F305" s="64">
        <f t="shared" ca="1" si="47"/>
        <v>2.6848686237352752E-2</v>
      </c>
      <c r="G305">
        <f t="shared" ca="1" si="40"/>
        <v>2.0957130490021243E-2</v>
      </c>
      <c r="H305">
        <f t="shared" ca="1" si="48"/>
        <v>-1.421747699723672</v>
      </c>
      <c r="I305">
        <f t="shared" ca="1" si="49"/>
        <v>2.2313128869499561</v>
      </c>
      <c r="J305" s="57">
        <v>300</v>
      </c>
      <c r="O305" s="53">
        <v>42661</v>
      </c>
      <c r="P305">
        <v>795.26000999999997</v>
      </c>
      <c r="Q305" s="54">
        <f t="shared" si="41"/>
        <v>1.9616374645417385E-2</v>
      </c>
      <c r="R305">
        <f t="shared" ca="1" si="46"/>
        <v>-5.2298350893262833E-4</v>
      </c>
      <c r="S305">
        <f t="shared" ca="1" si="42"/>
        <v>6.9586490748263646E-2</v>
      </c>
      <c r="T305" s="56">
        <f t="shared" ca="1" si="43"/>
        <v>-1.0336149306452993E-2</v>
      </c>
    </row>
    <row r="306" spans="2:20" x14ac:dyDescent="0.25">
      <c r="B306" s="53">
        <v>40617</v>
      </c>
      <c r="C306">
        <v>283.71703939999998</v>
      </c>
      <c r="D306" s="54">
        <f t="shared" si="44"/>
        <v>-7.5441891534715557E-4</v>
      </c>
      <c r="E306" s="54">
        <f t="shared" ca="1" si="45"/>
        <v>-4.7420603572856032E-3</v>
      </c>
      <c r="F306" s="64">
        <f t="shared" ca="1" si="47"/>
        <v>3.9876414419384477E-3</v>
      </c>
      <c r="G306">
        <f t="shared" ca="1" si="40"/>
        <v>2.4227769353874214E-2</v>
      </c>
      <c r="H306">
        <f t="shared" ca="1" si="48"/>
        <v>-8.1039022092328716E-2</v>
      </c>
      <c r="I306">
        <f t="shared" ca="1" si="49"/>
        <v>2.767189444046716</v>
      </c>
      <c r="J306" s="60">
        <v>301</v>
      </c>
      <c r="O306" s="53">
        <v>42662</v>
      </c>
      <c r="P306">
        <v>801.5</v>
      </c>
      <c r="Q306" s="54">
        <f t="shared" si="41"/>
        <v>7.8464777827820555E-3</v>
      </c>
      <c r="R306">
        <f t="shared" ca="1" si="46"/>
        <v>1.4940173638709894E-4</v>
      </c>
      <c r="S306">
        <f t="shared" ca="1" si="42"/>
        <v>2.8128021407340517E-3</v>
      </c>
      <c r="T306" s="56">
        <f t="shared" ca="1" si="43"/>
        <v>-0.24028482458468092</v>
      </c>
    </row>
    <row r="307" spans="2:20" x14ac:dyDescent="0.25">
      <c r="B307" s="53">
        <v>40618</v>
      </c>
      <c r="C307">
        <v>277.51030229999998</v>
      </c>
      <c r="D307" s="54">
        <f t="shared" si="44"/>
        <v>-2.1876504538204337E-2</v>
      </c>
      <c r="E307" s="54">
        <f t="shared" ca="1" si="45"/>
        <v>-3.0618994425247567E-3</v>
      </c>
      <c r="F307" s="64">
        <f t="shared" ca="1" si="47"/>
        <v>-1.881460509567958E-2</v>
      </c>
      <c r="G307">
        <f t="shared" ca="1" si="40"/>
        <v>5.7718910825736835E-3</v>
      </c>
      <c r="H307">
        <f t="shared" ca="1" si="48"/>
        <v>0.37619917346362297</v>
      </c>
      <c r="I307">
        <f t="shared" ca="1" si="49"/>
        <v>2.4605078362535613</v>
      </c>
      <c r="J307" s="57">
        <v>302</v>
      </c>
      <c r="O307" s="53">
        <v>42663</v>
      </c>
      <c r="P307">
        <v>796.96997099999999</v>
      </c>
      <c r="Q307" s="54">
        <f t="shared" si="41"/>
        <v>-5.6519388646288377E-3</v>
      </c>
      <c r="R307">
        <f t="shared" ca="1" si="46"/>
        <v>2.0712593399399452E-2</v>
      </c>
      <c r="S307">
        <f t="shared" ca="1" si="42"/>
        <v>5.4752754528043811E-2</v>
      </c>
      <c r="T307" s="56">
        <f t="shared" ca="1" si="43"/>
        <v>0.2173836100550243</v>
      </c>
    </row>
    <row r="308" spans="2:20" x14ac:dyDescent="0.25">
      <c r="B308" s="53">
        <v>40619</v>
      </c>
      <c r="C308">
        <v>279.6323458</v>
      </c>
      <c r="D308" s="54">
        <f t="shared" si="44"/>
        <v>7.64671971603419E-3</v>
      </c>
      <c r="E308" s="54">
        <f t="shared" ca="1" si="45"/>
        <v>6.025681624542591E-3</v>
      </c>
      <c r="F308" s="64">
        <f t="shared" ca="1" si="47"/>
        <v>1.621038091491599E-3</v>
      </c>
      <c r="G308">
        <f t="shared" ca="1" si="40"/>
        <v>6.4943786296032795E-3</v>
      </c>
      <c r="H308">
        <f t="shared" ca="1" si="48"/>
        <v>0.980060393826089</v>
      </c>
      <c r="I308">
        <f t="shared" ca="1" si="49"/>
        <v>2.7744308189993849</v>
      </c>
      <c r="J308" s="60">
        <v>303</v>
      </c>
      <c r="O308" s="53">
        <v>42664</v>
      </c>
      <c r="P308">
        <v>799.36999500000002</v>
      </c>
      <c r="Q308" s="54">
        <f t="shared" si="41"/>
        <v>3.0114359227218996E-3</v>
      </c>
      <c r="R308">
        <f t="shared" ca="1" si="46"/>
        <v>8.1139379113873131E-2</v>
      </c>
      <c r="S308">
        <f t="shared" ca="1" si="42"/>
        <v>4.9544621011543076E-2</v>
      </c>
      <c r="T308" s="56">
        <f t="shared" ca="1" si="43"/>
        <v>1.5665770492785072</v>
      </c>
    </row>
    <row r="309" spans="2:20" x14ac:dyDescent="0.25">
      <c r="B309" s="53">
        <v>40620</v>
      </c>
      <c r="C309">
        <v>279.48290100000003</v>
      </c>
      <c r="D309" s="54">
        <f t="shared" si="44"/>
        <v>-5.3443316642222763E-4</v>
      </c>
      <c r="E309" s="54">
        <f t="shared" ca="1" si="45"/>
        <v>-5.8982384993911448E-3</v>
      </c>
      <c r="F309" s="64">
        <f t="shared" ca="1" si="47"/>
        <v>5.3638053329689173E-3</v>
      </c>
      <c r="G309">
        <f t="shared" ca="1" si="40"/>
        <v>1.6456472860071812E-2</v>
      </c>
      <c r="H309">
        <f t="shared" ca="1" si="48"/>
        <v>0.23861772164821682</v>
      </c>
      <c r="I309">
        <f t="shared" ca="1" si="49"/>
        <v>2.758817544236817</v>
      </c>
      <c r="J309" s="57">
        <v>304</v>
      </c>
      <c r="O309" s="53">
        <v>42667</v>
      </c>
      <c r="P309">
        <v>813.10998500000005</v>
      </c>
      <c r="Q309" s="54">
        <f t="shared" si="41"/>
        <v>1.7188523569739485E-2</v>
      </c>
      <c r="R309">
        <f t="shared" ca="1" si="46"/>
        <v>3.5737026148167317E-2</v>
      </c>
      <c r="S309">
        <f t="shared" ca="1" si="42"/>
        <v>0.3569114021552442</v>
      </c>
      <c r="T309" s="56">
        <f t="shared" ca="1" si="43"/>
        <v>0.10724054474822103</v>
      </c>
    </row>
    <row r="310" spans="2:20" x14ac:dyDescent="0.25">
      <c r="B310" s="53">
        <v>40623</v>
      </c>
      <c r="C310">
        <v>287.17410690000003</v>
      </c>
      <c r="D310" s="54">
        <f t="shared" si="44"/>
        <v>2.7519414863952624E-2</v>
      </c>
      <c r="E310" s="54">
        <f t="shared" ca="1" si="45"/>
        <v>1.6446739780556893E-3</v>
      </c>
      <c r="F310" s="64">
        <f t="shared" ca="1" si="47"/>
        <v>2.5874740885896936E-2</v>
      </c>
      <c r="G310">
        <f t="shared" ca="1" si="40"/>
        <v>5.562166991226236E-3</v>
      </c>
      <c r="H310">
        <f t="shared" ca="1" si="48"/>
        <v>-0.32174722379739074</v>
      </c>
      <c r="I310">
        <f t="shared" ca="1" si="49"/>
        <v>2.2713640841462595</v>
      </c>
      <c r="J310" s="60">
        <v>305</v>
      </c>
      <c r="O310" s="53">
        <v>42668</v>
      </c>
      <c r="P310">
        <v>807.669983</v>
      </c>
      <c r="Q310" s="54">
        <f t="shared" si="41"/>
        <v>-6.6903642807928983E-3</v>
      </c>
      <c r="R310">
        <f t="shared" ca="1" si="46"/>
        <v>-4.8191575756191237E-3</v>
      </c>
      <c r="S310">
        <f t="shared" ca="1" si="42"/>
        <v>2.5168365819669587E-2</v>
      </c>
      <c r="T310" s="56">
        <f t="shared" ca="1" si="43"/>
        <v>-0.24522648887513876</v>
      </c>
    </row>
    <row r="311" spans="2:20" x14ac:dyDescent="0.25">
      <c r="B311" s="53">
        <v>40624</v>
      </c>
      <c r="C311">
        <v>287.58255500000001</v>
      </c>
      <c r="D311" s="54">
        <f t="shared" si="44"/>
        <v>1.4223012806033274E-3</v>
      </c>
      <c r="E311" s="54">
        <f t="shared" ca="1" si="45"/>
        <v>1.1400370089911401E-2</v>
      </c>
      <c r="F311" s="64">
        <f t="shared" ca="1" si="47"/>
        <v>-9.9780688093080733E-3</v>
      </c>
      <c r="G311">
        <f t="shared" ca="1" si="40"/>
        <v>5.6093825921941631E-3</v>
      </c>
      <c r="H311">
        <f t="shared" ca="1" si="48"/>
        <v>2.0750805070541563</v>
      </c>
      <c r="I311">
        <f t="shared" ca="1" si="49"/>
        <v>2.6790545295259607</v>
      </c>
      <c r="J311" s="57">
        <v>306</v>
      </c>
      <c r="O311" s="53">
        <v>42669</v>
      </c>
      <c r="P311">
        <v>799.07000700000003</v>
      </c>
      <c r="Q311" s="54">
        <f t="shared" si="41"/>
        <v>-1.0647883641851241E-2</v>
      </c>
      <c r="R311">
        <f t="shared" ca="1" si="46"/>
        <v>8.7299998025805348E-2</v>
      </c>
      <c r="S311">
        <f t="shared" ca="1" si="42"/>
        <v>5.5879972374954921E-2</v>
      </c>
      <c r="T311" s="56">
        <f t="shared" ca="1" si="43"/>
        <v>1.4241310392298312</v>
      </c>
    </row>
    <row r="312" spans="2:20" x14ac:dyDescent="0.25">
      <c r="B312" s="53">
        <v>40625</v>
      </c>
      <c r="C312">
        <v>289.993539</v>
      </c>
      <c r="D312" s="54">
        <f t="shared" si="44"/>
        <v>8.3836239649515074E-3</v>
      </c>
      <c r="E312" s="54">
        <f t="shared" ca="1" si="45"/>
        <v>3.2438436086291995E-2</v>
      </c>
      <c r="F312" s="64">
        <f t="shared" ca="1" si="47"/>
        <v>-2.4054812121340488E-2</v>
      </c>
      <c r="G312">
        <f t="shared" ca="1" si="40"/>
        <v>3.4674613074482712E-2</v>
      </c>
      <c r="H312">
        <f t="shared" ca="1" si="48"/>
        <v>0.57906604890220059</v>
      </c>
      <c r="I312">
        <f t="shared" ca="1" si="49"/>
        <v>2.2713132386256287</v>
      </c>
      <c r="J312" s="60">
        <v>307</v>
      </c>
      <c r="O312" s="53">
        <v>42670</v>
      </c>
      <c r="P312">
        <v>795.34997599999997</v>
      </c>
      <c r="Q312" s="54">
        <f t="shared" si="41"/>
        <v>-4.6554506706695383E-3</v>
      </c>
      <c r="R312">
        <f t="shared" ca="1" si="46"/>
        <v>8.6920195214783294E-2</v>
      </c>
      <c r="S312">
        <f t="shared" ca="1" si="42"/>
        <v>0.3244588374931946</v>
      </c>
      <c r="T312" s="56">
        <f t="shared" ca="1" si="43"/>
        <v>0.27715427943118026</v>
      </c>
    </row>
    <row r="313" spans="2:20" x14ac:dyDescent="0.25">
      <c r="B313" s="53">
        <v>40626</v>
      </c>
      <c r="C313">
        <v>292.34971400000001</v>
      </c>
      <c r="D313" s="54">
        <f t="shared" si="44"/>
        <v>8.1249223969779797E-3</v>
      </c>
      <c r="E313" s="54">
        <f t="shared" ca="1" si="45"/>
        <v>-1.6001388084346011E-2</v>
      </c>
      <c r="F313" s="64">
        <f t="shared" ca="1" si="47"/>
        <v>2.4126310481323993E-2</v>
      </c>
      <c r="G313">
        <f t="shared" ca="1" si="40"/>
        <v>1.2523858144620611E-2</v>
      </c>
      <c r="H313">
        <f t="shared" ca="1" si="48"/>
        <v>-1.3286893194310316</v>
      </c>
      <c r="I313">
        <f t="shared" ca="1" si="49"/>
        <v>2.339418755340648</v>
      </c>
      <c r="J313" s="57">
        <v>308</v>
      </c>
      <c r="O313" s="53">
        <v>42671</v>
      </c>
      <c r="P313">
        <v>795.36999500000002</v>
      </c>
      <c r="Q313" s="54">
        <f t="shared" si="41"/>
        <v>2.5170051680554182E-5</v>
      </c>
      <c r="R313">
        <f t="shared" ca="1" si="46"/>
        <v>7.8188401479788866E-2</v>
      </c>
      <c r="S313">
        <f t="shared" ca="1" si="42"/>
        <v>6.3383162356695291E-2</v>
      </c>
      <c r="T313" s="56">
        <f t="shared" ca="1" si="43"/>
        <v>1.3090331316371078</v>
      </c>
    </row>
    <row r="314" spans="2:20" x14ac:dyDescent="0.25">
      <c r="B314" s="53">
        <v>40627</v>
      </c>
      <c r="C314">
        <v>288.7880624</v>
      </c>
      <c r="D314" s="54">
        <f t="shared" si="44"/>
        <v>-1.2182846192214864E-2</v>
      </c>
      <c r="E314" s="54">
        <f t="shared" ca="1" si="45"/>
        <v>-3.2973665517033894E-2</v>
      </c>
      <c r="F314" s="64">
        <f t="shared" ca="1" si="47"/>
        <v>2.0790819324819028E-2</v>
      </c>
      <c r="G314">
        <f t="shared" ca="1" si="40"/>
        <v>2.2383450675883074E-2</v>
      </c>
      <c r="H314">
        <f t="shared" ca="1" si="48"/>
        <v>-1.6413492049448097</v>
      </c>
      <c r="I314">
        <f t="shared" ca="1" si="49"/>
        <v>2.4555476237381866</v>
      </c>
      <c r="J314" s="60">
        <v>309</v>
      </c>
      <c r="O314" s="53">
        <v>42674</v>
      </c>
      <c r="P314">
        <v>784.53997800000002</v>
      </c>
      <c r="Q314" s="54">
        <f t="shared" si="41"/>
        <v>-1.3616325820789855E-2</v>
      </c>
      <c r="R314">
        <f t="shared" ca="1" si="46"/>
        <v>-0.15952829234788338</v>
      </c>
      <c r="S314">
        <f t="shared" ca="1" si="42"/>
        <v>0.29823706572542674</v>
      </c>
      <c r="T314" s="56">
        <f t="shared" ca="1" si="43"/>
        <v>-0.52789359451798834</v>
      </c>
    </row>
    <row r="315" spans="2:20" x14ac:dyDescent="0.25">
      <c r="B315" s="53">
        <v>40630</v>
      </c>
      <c r="C315">
        <v>286.60623500000003</v>
      </c>
      <c r="D315" s="54">
        <f t="shared" si="44"/>
        <v>-7.5551163087133706E-3</v>
      </c>
      <c r="E315" s="54">
        <f t="shared" ca="1" si="45"/>
        <v>3.0968842448869091E-2</v>
      </c>
      <c r="F315" s="64">
        <f t="shared" ca="1" si="47"/>
        <v>-3.8523958757582459E-2</v>
      </c>
      <c r="G315">
        <f t="shared" ca="1" si="40"/>
        <v>2.7885527880652732E-2</v>
      </c>
      <c r="H315">
        <f t="shared" ca="1" si="48"/>
        <v>0.97971919846726607</v>
      </c>
      <c r="I315">
        <f t="shared" ca="1" si="49"/>
        <v>1.5185254696650952</v>
      </c>
      <c r="J315" s="57">
        <v>310</v>
      </c>
      <c r="O315" s="53">
        <v>42675</v>
      </c>
      <c r="P315">
        <v>783.60998500000005</v>
      </c>
      <c r="Q315" s="54">
        <f t="shared" si="41"/>
        <v>-1.1853991206041098E-3</v>
      </c>
      <c r="R315">
        <f t="shared" ca="1" si="46"/>
        <v>-1.0964262473854951E-2</v>
      </c>
      <c r="S315">
        <f t="shared" ca="1" si="42"/>
        <v>0.12037577747372781</v>
      </c>
      <c r="T315" s="56">
        <f t="shared" ca="1" si="43"/>
        <v>-9.1175587164799787E-2</v>
      </c>
    </row>
    <row r="316" spans="2:20" x14ac:dyDescent="0.25">
      <c r="B316" s="53">
        <v>40631</v>
      </c>
      <c r="C316">
        <v>289.77933589999998</v>
      </c>
      <c r="D316" s="54">
        <f t="shared" si="44"/>
        <v>1.1071290546069075E-2</v>
      </c>
      <c r="E316" s="54">
        <f t="shared" ca="1" si="45"/>
        <v>-2.3591206420533039E-2</v>
      </c>
      <c r="F316" s="64">
        <f t="shared" ca="1" si="47"/>
        <v>3.4662496966602112E-2</v>
      </c>
      <c r="G316">
        <f t="shared" ca="1" si="40"/>
        <v>1.7572753870927927E-2</v>
      </c>
      <c r="H316">
        <f t="shared" ca="1" si="48"/>
        <v>-1.031114196730939</v>
      </c>
      <c r="I316">
        <f t="shared" ca="1" si="49"/>
        <v>1.8545149993509731</v>
      </c>
      <c r="J316" s="60">
        <v>311</v>
      </c>
      <c r="O316" s="53">
        <v>42676</v>
      </c>
      <c r="P316">
        <v>768.70001200000002</v>
      </c>
      <c r="Q316" s="54">
        <f t="shared" si="41"/>
        <v>-1.9027288173210345E-2</v>
      </c>
      <c r="R316">
        <f t="shared" ca="1" si="46"/>
        <v>1.8299958589499303E-3</v>
      </c>
      <c r="S316">
        <f t="shared" ca="1" si="42"/>
        <v>2.0893598943976726E-2</v>
      </c>
      <c r="T316" s="56">
        <f t="shared" ca="1" si="43"/>
        <v>0.38027823487645446</v>
      </c>
    </row>
    <row r="317" spans="2:20" x14ac:dyDescent="0.25">
      <c r="B317" s="53">
        <v>40632</v>
      </c>
      <c r="C317">
        <v>289.83411510000002</v>
      </c>
      <c r="D317" s="54">
        <f t="shared" si="44"/>
        <v>1.8903763385994196E-4</v>
      </c>
      <c r="E317" s="54">
        <f t="shared" ca="1" si="45"/>
        <v>4.8755391536714487E-2</v>
      </c>
      <c r="F317" s="64">
        <f t="shared" ca="1" si="47"/>
        <v>-4.8566353902854548E-2</v>
      </c>
      <c r="G317">
        <f t="shared" ca="1" si="40"/>
        <v>1.7699202152084925E-2</v>
      </c>
      <c r="H317">
        <f t="shared" ca="1" si="48"/>
        <v>2.9463675448670119</v>
      </c>
      <c r="I317">
        <f t="shared" ca="1" si="49"/>
        <v>0.79718667463288839</v>
      </c>
      <c r="J317" s="57">
        <v>312</v>
      </c>
      <c r="O317" s="53">
        <v>42677</v>
      </c>
      <c r="P317">
        <v>762.13000499999998</v>
      </c>
      <c r="Q317" s="54">
        <f t="shared" si="41"/>
        <v>-8.5469063320374097E-3</v>
      </c>
      <c r="R317">
        <f t="shared" ca="1" si="46"/>
        <v>0.17053674689761028</v>
      </c>
      <c r="S317">
        <f t="shared" ca="1" si="42"/>
        <v>8.6644336611327311E-2</v>
      </c>
      <c r="T317" s="56">
        <f t="shared" ca="1" si="43"/>
        <v>1.9743871091998295</v>
      </c>
    </row>
    <row r="318" spans="2:20" x14ac:dyDescent="0.25">
      <c r="B318" s="53">
        <v>40633</v>
      </c>
      <c r="C318">
        <v>292.28495570000001</v>
      </c>
      <c r="D318" s="54">
        <f t="shared" si="44"/>
        <v>8.4560114641935476E-3</v>
      </c>
      <c r="E318" s="54">
        <f t="shared" ca="1" si="45"/>
        <v>-5.6881910189772532E-2</v>
      </c>
      <c r="F318" s="64">
        <f t="shared" ca="1" si="47"/>
        <v>6.5337921653966083E-2</v>
      </c>
      <c r="G318">
        <f t="shared" ca="1" si="40"/>
        <v>4.9354870684976807E-2</v>
      </c>
      <c r="H318">
        <f t="shared" ca="1" si="48"/>
        <v>-1.2532552697111745</v>
      </c>
      <c r="I318">
        <f t="shared" ca="1" si="49"/>
        <v>-0.57855296370688647</v>
      </c>
      <c r="J318" s="60">
        <v>313</v>
      </c>
      <c r="O318" s="53">
        <v>42678</v>
      </c>
      <c r="P318">
        <v>762.02002000000005</v>
      </c>
      <c r="Q318" s="54">
        <f t="shared" si="41"/>
        <v>-1.4431264912596878E-4</v>
      </c>
      <c r="R318">
        <f t="shared" ca="1" si="46"/>
        <v>0.23282137461112737</v>
      </c>
      <c r="S318">
        <f t="shared" ca="1" si="42"/>
        <v>0.44982273930429262</v>
      </c>
      <c r="T318" s="56">
        <f t="shared" ca="1" si="43"/>
        <v>0.53658260692148763</v>
      </c>
    </row>
    <row r="319" spans="2:20" x14ac:dyDescent="0.25">
      <c r="B319" s="53">
        <v>40634</v>
      </c>
      <c r="C319">
        <v>294.79554940000003</v>
      </c>
      <c r="D319" s="54">
        <f t="shared" si="44"/>
        <v>8.5895413056321576E-3</v>
      </c>
      <c r="E319" s="54">
        <f t="shared" ca="1" si="45"/>
        <v>-2.3108870927026525E-2</v>
      </c>
      <c r="F319" s="64">
        <f t="shared" ca="1" si="47"/>
        <v>3.1698412232658679E-2</v>
      </c>
      <c r="G319">
        <f t="shared" ca="1" si="40"/>
        <v>2.3770785391838502E-2</v>
      </c>
      <c r="H319">
        <f t="shared" ca="1" si="48"/>
        <v>-0.97573205338544433</v>
      </c>
      <c r="I319">
        <f t="shared" ca="1" si="49"/>
        <v>2.0090624083313728</v>
      </c>
      <c r="J319" s="57">
        <v>314</v>
      </c>
      <c r="O319" s="53">
        <v>42681</v>
      </c>
      <c r="P319">
        <v>782.52002000000005</v>
      </c>
      <c r="Q319" s="54">
        <f t="shared" si="41"/>
        <v>2.6902180339041484E-2</v>
      </c>
      <c r="R319">
        <f t="shared" ca="1" si="46"/>
        <v>5.1071308192718878E-3</v>
      </c>
      <c r="S319">
        <f t="shared" ca="1" si="42"/>
        <v>0.12248267399007563</v>
      </c>
      <c r="T319" s="56">
        <f t="shared" ca="1" si="43"/>
        <v>7.303661676635699E-2</v>
      </c>
    </row>
    <row r="320" spans="2:20" x14ac:dyDescent="0.25">
      <c r="B320" s="53">
        <v>40637</v>
      </c>
      <c r="C320">
        <v>292.74323900000002</v>
      </c>
      <c r="D320" s="54">
        <f t="shared" si="44"/>
        <v>-6.9618093087805959E-3</v>
      </c>
      <c r="E320" s="54">
        <f t="shared" ca="1" si="45"/>
        <v>7.3554521014308014E-3</v>
      </c>
      <c r="F320" s="64">
        <f t="shared" ca="1" si="47"/>
        <v>-1.4317261410211397E-2</v>
      </c>
      <c r="G320">
        <f t="shared" ca="1" si="40"/>
        <v>1.7192930677481046E-2</v>
      </c>
      <c r="H320">
        <f t="shared" ca="1" si="48"/>
        <v>0.20691876397955469</v>
      </c>
      <c r="I320">
        <f t="shared" ca="1" si="49"/>
        <v>2.5875024393780977</v>
      </c>
      <c r="J320" s="60">
        <v>315</v>
      </c>
      <c r="O320" s="53">
        <v>42682</v>
      </c>
      <c r="P320">
        <v>790.51000999999997</v>
      </c>
      <c r="Q320" s="54">
        <f t="shared" si="41"/>
        <v>1.0210588605771287E-2</v>
      </c>
      <c r="R320">
        <f t="shared" ca="1" si="46"/>
        <v>-1.9529377818117168E-2</v>
      </c>
      <c r="S320">
        <f t="shared" ca="1" si="42"/>
        <v>1.6795174313624133E-2</v>
      </c>
      <c r="T320" s="56">
        <f t="shared" ca="1" si="43"/>
        <v>-1.1589655082814154</v>
      </c>
    </row>
    <row r="321" spans="2:20" x14ac:dyDescent="0.25">
      <c r="B321" s="53">
        <v>40638</v>
      </c>
      <c r="C321">
        <v>283.48293840000002</v>
      </c>
      <c r="D321" s="54">
        <f t="shared" si="44"/>
        <v>-3.1632841911679449E-2</v>
      </c>
      <c r="E321" s="54">
        <f t="shared" ca="1" si="45"/>
        <v>-9.1687265490677586E-3</v>
      </c>
      <c r="F321" s="64">
        <f t="shared" ca="1" si="47"/>
        <v>-2.246411536261169E-2</v>
      </c>
      <c r="G321">
        <f t="shared" ca="1" si="40"/>
        <v>5.3187574916063567E-3</v>
      </c>
      <c r="H321">
        <f t="shared" ca="1" si="48"/>
        <v>-2.449132457809851</v>
      </c>
      <c r="I321">
        <f t="shared" ca="1" si="49"/>
        <v>2.3334343374050546</v>
      </c>
      <c r="J321" s="57">
        <v>316</v>
      </c>
      <c r="O321" s="53">
        <v>42683</v>
      </c>
      <c r="P321">
        <v>785.30999799999995</v>
      </c>
      <c r="Q321" s="54">
        <f t="shared" si="41"/>
        <v>-6.5780470003156764E-3</v>
      </c>
      <c r="R321">
        <f t="shared" ca="1" si="46"/>
        <v>-0.38327392281689615</v>
      </c>
      <c r="S321">
        <f t="shared" ca="1" si="42"/>
        <v>0.26404605749719001</v>
      </c>
      <c r="T321" s="56">
        <f t="shared" ca="1" si="43"/>
        <v>-1.49730092744336</v>
      </c>
    </row>
    <row r="322" spans="2:20" x14ac:dyDescent="0.25">
      <c r="B322" s="53">
        <v>40639</v>
      </c>
      <c r="C322">
        <v>286.0184347</v>
      </c>
      <c r="D322" s="54">
        <f t="shared" si="44"/>
        <v>8.9440878322713784E-3</v>
      </c>
      <c r="E322" s="54">
        <f t="shared" ca="1" si="45"/>
        <v>-5.4934766760448131E-2</v>
      </c>
      <c r="F322" s="64">
        <f t="shared" ca="1" si="47"/>
        <v>6.3878854592719511E-2</v>
      </c>
      <c r="G322">
        <f t="shared" ca="1" si="40"/>
        <v>4.0910280487789483E-2</v>
      </c>
      <c r="H322">
        <f t="shared" ca="1" si="48"/>
        <v>-1.2663695531930426</v>
      </c>
      <c r="I322">
        <f t="shared" ca="1" si="49"/>
        <v>-0.42838625061333235</v>
      </c>
      <c r="J322" s="60">
        <v>317</v>
      </c>
      <c r="O322" s="53">
        <v>42684</v>
      </c>
      <c r="P322">
        <v>762.55999799999995</v>
      </c>
      <c r="Q322" s="54">
        <f t="shared" si="41"/>
        <v>-2.8969451627941709E-2</v>
      </c>
      <c r="R322">
        <f t="shared" ca="1" si="46"/>
        <v>0.69939431657345852</v>
      </c>
      <c r="S322">
        <f t="shared" ca="1" si="42"/>
        <v>0.34115598838576927</v>
      </c>
      <c r="T322" s="56">
        <f t="shared" ca="1" si="43"/>
        <v>2.0366303794906107</v>
      </c>
    </row>
    <row r="323" spans="2:20" x14ac:dyDescent="0.25">
      <c r="B323" s="53">
        <v>40640</v>
      </c>
      <c r="C323">
        <v>288.91754859999998</v>
      </c>
      <c r="D323" s="54">
        <f t="shared" si="44"/>
        <v>1.0136108545034194E-2</v>
      </c>
      <c r="E323" s="54">
        <f t="shared" ca="1" si="45"/>
        <v>-2.4700899141902558E-2</v>
      </c>
      <c r="F323" s="64">
        <f t="shared" ca="1" si="47"/>
        <v>3.4837007686936754E-2</v>
      </c>
      <c r="G323">
        <f t="shared" ca="1" si="40"/>
        <v>2.3123395441799623E-2</v>
      </c>
      <c r="H323">
        <f t="shared" ca="1" si="48"/>
        <v>-0.45383085925834671</v>
      </c>
      <c r="I323">
        <f t="shared" ca="1" si="49"/>
        <v>1.8449735205778504</v>
      </c>
      <c r="J323" s="57">
        <v>318</v>
      </c>
      <c r="O323" s="53">
        <v>42685</v>
      </c>
      <c r="P323">
        <v>754.02002000000005</v>
      </c>
      <c r="Q323" s="54">
        <f t="shared" si="41"/>
        <v>-1.1199089937051623E-2</v>
      </c>
      <c r="R323">
        <f t="shared" ca="1" si="46"/>
        <v>-0.15977387971890297</v>
      </c>
      <c r="S323">
        <f t="shared" ca="1" si="42"/>
        <v>0.46403603704235624</v>
      </c>
      <c r="T323" s="56">
        <f t="shared" ca="1" si="43"/>
        <v>-0.33794583890216767</v>
      </c>
    </row>
    <row r="324" spans="2:20" x14ac:dyDescent="0.25">
      <c r="B324" s="53">
        <v>40641</v>
      </c>
      <c r="C324">
        <v>288.00098209999999</v>
      </c>
      <c r="D324" s="54">
        <f t="shared" si="44"/>
        <v>-3.1724154674624971E-3</v>
      </c>
      <c r="E324" s="54">
        <f t="shared" ca="1" si="45"/>
        <v>-2.7710022891797468E-3</v>
      </c>
      <c r="F324" s="64">
        <f t="shared" ca="1" si="47"/>
        <v>-4.0141317828275031E-4</v>
      </c>
      <c r="G324">
        <f t="shared" ca="1" si="40"/>
        <v>9.2818998080137077E-3</v>
      </c>
      <c r="H324">
        <f t="shared" ca="1" si="48"/>
        <v>-0.73133152598680362</v>
      </c>
      <c r="I324">
        <f t="shared" ca="1" si="49"/>
        <v>2.7734479305919417</v>
      </c>
      <c r="J324" s="60">
        <v>319</v>
      </c>
      <c r="O324" s="53">
        <v>42688</v>
      </c>
      <c r="P324">
        <v>736.080017</v>
      </c>
      <c r="Q324" s="54">
        <f t="shared" si="41"/>
        <v>-2.3792475695804529E-2</v>
      </c>
      <c r="R324">
        <f t="shared" ca="1" si="46"/>
        <v>4.2261641210896601E-3</v>
      </c>
      <c r="S324">
        <f t="shared" ca="1" si="42"/>
        <v>7.7388477602268121E-2</v>
      </c>
      <c r="T324" s="56">
        <f t="shared" ca="1" si="43"/>
        <v>0.22273494183915252</v>
      </c>
    </row>
    <row r="325" spans="2:20" x14ac:dyDescent="0.25">
      <c r="B325" s="53">
        <v>40644</v>
      </c>
      <c r="C325">
        <v>287.60745709999998</v>
      </c>
      <c r="D325" s="54">
        <f t="shared" si="44"/>
        <v>-1.3664015904757258E-3</v>
      </c>
      <c r="E325" s="54">
        <f t="shared" ca="1" si="45"/>
        <v>4.0800401089558245E-3</v>
      </c>
      <c r="F325" s="64">
        <f t="shared" ca="1" si="47"/>
        <v>-5.4464416994315507E-3</v>
      </c>
      <c r="G325">
        <f t="shared" ref="G325:G388" ca="1" si="50">SQRT(A_0+A_1*POWER(H324,2)+B_1*POWER(G324,2))</f>
        <v>1.2429882914439682E-2</v>
      </c>
      <c r="H325">
        <f t="shared" ca="1" si="48"/>
        <v>-3.799187651395422E-2</v>
      </c>
      <c r="I325">
        <f t="shared" ca="1" si="49"/>
        <v>2.7421908147606904</v>
      </c>
      <c r="J325" s="57">
        <v>320</v>
      </c>
      <c r="O325" s="53">
        <v>42689</v>
      </c>
      <c r="P325">
        <v>758.48999000000003</v>
      </c>
      <c r="Q325" s="54">
        <f t="shared" ref="Q325:Q356" si="51">(P325-P324)/P324</f>
        <v>3.0445022935597553E-2</v>
      </c>
      <c r="R325">
        <f t="shared" ca="1" si="46"/>
        <v>-3.7786660465976514E-2</v>
      </c>
      <c r="S325">
        <f t="shared" ref="S325:S356" ca="1" si="52">SQRT(A_0+A_1*POWER(S324,2)+B_1*POWER(T324,2))</f>
        <v>5.0771558887847935E-2</v>
      </c>
      <c r="T325" s="56">
        <f t="shared" ref="T325:T356" ca="1" si="53">_xlfn.NORM.INV(RAND(),0,1)</f>
        <v>-0.64517449465969123</v>
      </c>
    </row>
    <row r="326" spans="2:20" x14ac:dyDescent="0.25">
      <c r="B326" s="53">
        <v>40645</v>
      </c>
      <c r="C326">
        <v>284.24008090000001</v>
      </c>
      <c r="D326" s="54">
        <f t="shared" si="44"/>
        <v>-1.1708236754199122E-2</v>
      </c>
      <c r="E326" s="54">
        <f t="shared" ca="1" si="45"/>
        <v>-4.2001140157571113E-3</v>
      </c>
      <c r="F326" s="64">
        <f t="shared" ca="1" si="47"/>
        <v>-7.5081227384420106E-3</v>
      </c>
      <c r="G326">
        <f t="shared" ca="1" si="50"/>
        <v>3.0722972766782661E-3</v>
      </c>
      <c r="H326">
        <f t="shared" ca="1" si="48"/>
        <v>-0.90332897281179114</v>
      </c>
      <c r="I326">
        <f t="shared" ca="1" si="49"/>
        <v>2.7175806139049987</v>
      </c>
      <c r="J326" s="60">
        <v>321</v>
      </c>
      <c r="O326" s="53">
        <v>42690</v>
      </c>
      <c r="P326">
        <v>764.47997999999995</v>
      </c>
      <c r="Q326" s="54">
        <f t="shared" si="51"/>
        <v>7.8972564951053873E-3</v>
      </c>
      <c r="R326">
        <f t="shared" ca="1" si="46"/>
        <v>-7.5676051473359832E-2</v>
      </c>
      <c r="S326">
        <f t="shared" ca="1" si="52"/>
        <v>0.1469942666097831</v>
      </c>
      <c r="T326" s="56">
        <f t="shared" ca="1" si="53"/>
        <v>-0.44213220206427178</v>
      </c>
    </row>
    <row r="327" spans="2:20" x14ac:dyDescent="0.25">
      <c r="B327" s="53">
        <v>40646</v>
      </c>
      <c r="C327">
        <v>287.06451820000001</v>
      </c>
      <c r="D327" s="54">
        <f t="shared" ref="D327:D390" si="54">(C327-C326)/C326</f>
        <v>9.9368016328199669E-3</v>
      </c>
      <c r="E327" s="54">
        <f t="shared" ca="1" si="45"/>
        <v>-2.3281498080183108E-2</v>
      </c>
      <c r="F327" s="64">
        <f t="shared" ca="1" si="47"/>
        <v>3.3218299713003073E-2</v>
      </c>
      <c r="G327">
        <f t="shared" ca="1" si="50"/>
        <v>1.5127889272414975E-2</v>
      </c>
      <c r="H327">
        <f t="shared" ca="1" si="48"/>
        <v>-1.4983992530157741</v>
      </c>
      <c r="I327">
        <f t="shared" ca="1" si="49"/>
        <v>1.9315887583193654</v>
      </c>
      <c r="J327" s="57">
        <v>322</v>
      </c>
      <c r="O327" s="53">
        <v>42691</v>
      </c>
      <c r="P327">
        <v>771.22997999999995</v>
      </c>
      <c r="Q327" s="54">
        <f t="shared" si="51"/>
        <v>8.8295314155905046E-3</v>
      </c>
      <c r="R327">
        <f t="shared" ca="1" si="46"/>
        <v>5.4697034304143827E-2</v>
      </c>
      <c r="S327">
        <f t="shared" ca="1" si="52"/>
        <v>0.10076471164398546</v>
      </c>
      <c r="T327" s="56">
        <f t="shared" ca="1" si="53"/>
        <v>0.40712098484332199</v>
      </c>
    </row>
    <row r="328" spans="2:20" x14ac:dyDescent="0.25">
      <c r="B328" s="53">
        <v>40647</v>
      </c>
      <c r="C328">
        <v>288.1753291</v>
      </c>
      <c r="D328" s="54">
        <f t="shared" si="54"/>
        <v>3.8695513711174837E-3</v>
      </c>
      <c r="E328" s="54">
        <f t="shared" ref="E328:E391" ca="1" si="55">((E_1*D327)+(E_2*D326)+(G328*H328))</f>
        <v>-2.8608279417423731E-2</v>
      </c>
      <c r="F328" s="64">
        <f t="shared" ca="1" si="47"/>
        <v>3.2477830788541218E-2</v>
      </c>
      <c r="G328">
        <f t="shared" ca="1" si="50"/>
        <v>2.5267146496841805E-2</v>
      </c>
      <c r="H328">
        <f t="shared" ca="1" si="48"/>
        <v>-0.92412679217908911</v>
      </c>
      <c r="I328">
        <f t="shared" ca="1" si="49"/>
        <v>1.9697991410669615</v>
      </c>
      <c r="J328" s="60">
        <v>323</v>
      </c>
      <c r="O328" s="53">
        <v>42692</v>
      </c>
      <c r="P328">
        <v>760.53997800000002</v>
      </c>
      <c r="Q328" s="54">
        <f t="shared" si="51"/>
        <v>-1.3860978277841243E-2</v>
      </c>
      <c r="R328">
        <f t="shared" ref="R328:R356" ca="1" si="56">((E_1*Q327)+(E_2*Q326)+(S328*T328))</f>
        <v>0.1048515534879039</v>
      </c>
      <c r="S328">
        <f t="shared" ca="1" si="52"/>
        <v>9.2774006129350495E-2</v>
      </c>
      <c r="T328" s="56">
        <f t="shared" ca="1" si="53"/>
        <v>1.0919500999225304</v>
      </c>
    </row>
    <row r="329" spans="2:20" x14ac:dyDescent="0.25">
      <c r="B329" s="53">
        <v>40648</v>
      </c>
      <c r="C329">
        <v>264.35958440000002</v>
      </c>
      <c r="D329" s="54">
        <f t="shared" si="54"/>
        <v>-8.2643246298629736E-2</v>
      </c>
      <c r="E329" s="54">
        <f t="shared" ca="1" si="55"/>
        <v>-1.4301475630372883E-3</v>
      </c>
      <c r="F329" s="64">
        <f t="shared" ref="F329:F392" ca="1" si="57">D329-E329</f>
        <v>-8.1213098735592446E-2</v>
      </c>
      <c r="G329">
        <f t="shared" ca="1" si="50"/>
        <v>1.6495151718340532E-2</v>
      </c>
      <c r="H329">
        <f t="shared" ref="H329:H392" ca="1" si="58">_xlfn.NORM.INV(RAND(),0,1)</f>
        <v>-0.35725836178207449</v>
      </c>
      <c r="I329">
        <f t="shared" ref="I329:I392" ca="1" si="59">LN(_xlfn.NORM.DIST(F329,AVERAGE($F$8:$F$1413),_xlfn.STDEV.S($F$8:$F$1413),FALSE))</f>
        <v>-2.6737119553533928</v>
      </c>
      <c r="J329" s="57">
        <v>324</v>
      </c>
      <c r="O329" s="53">
        <v>42695</v>
      </c>
      <c r="P329">
        <v>769.20001200000002</v>
      </c>
      <c r="Q329" s="54">
        <f t="shared" si="51"/>
        <v>1.1386691364697723E-2</v>
      </c>
      <c r="R329">
        <f t="shared" ca="1" si="56"/>
        <v>0.1377877227960585</v>
      </c>
      <c r="S329">
        <f t="shared" ca="1" si="52"/>
        <v>0.24878290688777355</v>
      </c>
      <c r="T329" s="56">
        <f t="shared" ca="1" si="53"/>
        <v>0.53790850803601264</v>
      </c>
    </row>
    <row r="330" spans="2:20" x14ac:dyDescent="0.25">
      <c r="B330" s="53">
        <v>40651</v>
      </c>
      <c r="C330">
        <v>262.43675960000002</v>
      </c>
      <c r="D330" s="54">
        <f t="shared" si="54"/>
        <v>-7.2735202862574963E-3</v>
      </c>
      <c r="E330" s="54">
        <f t="shared" ca="1" si="55"/>
        <v>7.0162415164849072E-3</v>
      </c>
      <c r="F330" s="64">
        <f t="shared" ca="1" si="57"/>
        <v>-1.4289761802742404E-2</v>
      </c>
      <c r="G330">
        <f t="shared" ca="1" si="50"/>
        <v>7.1204031059963193E-3</v>
      </c>
      <c r="H330">
        <f t="shared" ca="1" si="58"/>
        <v>0.7414991323483443</v>
      </c>
      <c r="I330">
        <f t="shared" ca="1" si="59"/>
        <v>2.5881784398090217</v>
      </c>
      <c r="J330" s="60">
        <v>325</v>
      </c>
      <c r="O330" s="53">
        <v>42696</v>
      </c>
      <c r="P330">
        <v>768.27002000000005</v>
      </c>
      <c r="Q330" s="54">
        <f t="shared" si="51"/>
        <v>-1.2090379426566756E-3</v>
      </c>
      <c r="R330">
        <f t="shared" ca="1" si="56"/>
        <v>9.3730291341391658E-2</v>
      </c>
      <c r="S330">
        <f t="shared" ca="1" si="52"/>
        <v>0.1226247256382627</v>
      </c>
      <c r="T330" s="56">
        <f t="shared" ca="1" si="53"/>
        <v>0.81513200169435118</v>
      </c>
    </row>
    <row r="331" spans="2:20" x14ac:dyDescent="0.25">
      <c r="B331" s="53">
        <v>40652</v>
      </c>
      <c r="C331">
        <v>259.7916745</v>
      </c>
      <c r="D331" s="54">
        <f t="shared" si="54"/>
        <v>-1.0078942843340979E-2</v>
      </c>
      <c r="E331" s="54">
        <f t="shared" ca="1" si="55"/>
        <v>-2.4326341827898359E-2</v>
      </c>
      <c r="F331" s="64">
        <f t="shared" ca="1" si="57"/>
        <v>1.424739898455738E-2</v>
      </c>
      <c r="G331">
        <f t="shared" ca="1" si="50"/>
        <v>1.2523337276675234E-2</v>
      </c>
      <c r="H331">
        <f t="shared" ca="1" si="58"/>
        <v>1.0213348375950824</v>
      </c>
      <c r="I331">
        <f t="shared" ca="1" si="59"/>
        <v>2.631141612009305</v>
      </c>
      <c r="J331" s="57">
        <v>326</v>
      </c>
      <c r="O331" s="53">
        <v>42697</v>
      </c>
      <c r="P331">
        <v>760.98999000000003</v>
      </c>
      <c r="Q331" s="54">
        <f t="shared" si="51"/>
        <v>-9.4758741204036701E-3</v>
      </c>
      <c r="R331">
        <f t="shared" ca="1" si="56"/>
        <v>-9.6468927076283864E-2</v>
      </c>
      <c r="S331">
        <f t="shared" ca="1" si="52"/>
        <v>0.18572334092048895</v>
      </c>
      <c r="T331" s="56">
        <f t="shared" ca="1" si="53"/>
        <v>-0.54695816307104772</v>
      </c>
    </row>
    <row r="332" spans="2:20" x14ac:dyDescent="0.25">
      <c r="B332" s="53">
        <v>40653</v>
      </c>
      <c r="C332">
        <v>261.88384159999998</v>
      </c>
      <c r="D332" s="54">
        <f t="shared" si="54"/>
        <v>8.0532492198859256E-3</v>
      </c>
      <c r="E332" s="54">
        <f t="shared" ca="1" si="55"/>
        <v>-3.0724771618805026E-2</v>
      </c>
      <c r="F332" s="64">
        <f t="shared" ca="1" si="57"/>
        <v>3.8778020838690953E-2</v>
      </c>
      <c r="G332">
        <f t="shared" ca="1" si="50"/>
        <v>1.7314205037375276E-2</v>
      </c>
      <c r="H332">
        <f t="shared" ca="1" si="58"/>
        <v>-1.5858605247489301</v>
      </c>
      <c r="I332">
        <f t="shared" ca="1" si="59"/>
        <v>1.6163930618808005</v>
      </c>
      <c r="J332" s="60">
        <v>327</v>
      </c>
      <c r="O332" s="53">
        <v>42699</v>
      </c>
      <c r="P332">
        <v>761.67999299999997</v>
      </c>
      <c r="Q332" s="54">
        <f t="shared" si="51"/>
        <v>9.0671757719169637E-4</v>
      </c>
      <c r="R332">
        <f t="shared" ca="1" si="56"/>
        <v>4.3378562561000318E-2</v>
      </c>
      <c r="S332">
        <f t="shared" ca="1" si="52"/>
        <v>0.12465463637144672</v>
      </c>
      <c r="T332" s="56">
        <f t="shared" ca="1" si="53"/>
        <v>0.35234733578200034</v>
      </c>
    </row>
    <row r="333" spans="2:20" x14ac:dyDescent="0.25">
      <c r="B333" s="53">
        <v>40654</v>
      </c>
      <c r="C333">
        <v>261.57002879999999</v>
      </c>
      <c r="D333" s="54">
        <f t="shared" si="54"/>
        <v>-1.1982900437183513E-3</v>
      </c>
      <c r="E333" s="54">
        <f t="shared" ca="1" si="55"/>
        <v>2.3679307161877149E-3</v>
      </c>
      <c r="F333" s="64">
        <f t="shared" ca="1" si="57"/>
        <v>-3.5662207599060662E-3</v>
      </c>
      <c r="G333">
        <f t="shared" ca="1" si="50"/>
        <v>2.6781820464720447E-2</v>
      </c>
      <c r="H333">
        <f t="shared" ca="1" si="58"/>
        <v>0.257430111433475</v>
      </c>
      <c r="I333">
        <f t="shared" ca="1" si="59"/>
        <v>2.7586472517340224</v>
      </c>
      <c r="J333" s="57">
        <v>328</v>
      </c>
      <c r="O333" s="53">
        <v>42702</v>
      </c>
      <c r="P333">
        <v>768.23999000000003</v>
      </c>
      <c r="Q333" s="54">
        <f t="shared" si="51"/>
        <v>8.6125368399955684E-3</v>
      </c>
      <c r="R333">
        <f t="shared" ca="1" si="56"/>
        <v>1.8421617099478177E-3</v>
      </c>
      <c r="S333">
        <f t="shared" ca="1" si="52"/>
        <v>8.0307637453742114E-2</v>
      </c>
      <c r="T333" s="56">
        <f t="shared" ca="1" si="53"/>
        <v>7.5932391131522295E-2</v>
      </c>
    </row>
    <row r="334" spans="2:20" x14ac:dyDescent="0.25">
      <c r="B334" s="53">
        <v>40658</v>
      </c>
      <c r="C334">
        <v>261.54512620000003</v>
      </c>
      <c r="D334" s="54">
        <f t="shared" si="54"/>
        <v>-9.5204332523136893E-5</v>
      </c>
      <c r="E334" s="54">
        <f t="shared" ca="1" si="55"/>
        <v>-1.0522791202822287E-2</v>
      </c>
      <c r="F334" s="64">
        <f t="shared" ca="1" si="57"/>
        <v>1.042758687029915E-2</v>
      </c>
      <c r="G334">
        <f t="shared" ca="1" si="50"/>
        <v>7.5306552680059133E-3</v>
      </c>
      <c r="H334">
        <f t="shared" ca="1" si="58"/>
        <v>-1.8776116509308658</v>
      </c>
      <c r="I334">
        <f t="shared" ca="1" si="59"/>
        <v>2.7016668233707652</v>
      </c>
      <c r="J334" s="60">
        <v>329</v>
      </c>
      <c r="O334" s="53">
        <v>42703</v>
      </c>
      <c r="P334">
        <v>770.84002699999996</v>
      </c>
      <c r="Q334" s="54">
        <f t="shared" si="51"/>
        <v>3.384407260548789E-3</v>
      </c>
      <c r="R334">
        <f t="shared" ca="1" si="56"/>
        <v>2.7382646457247199E-2</v>
      </c>
      <c r="S334">
        <f t="shared" ca="1" si="52"/>
        <v>1.7380620174378972E-2</v>
      </c>
      <c r="T334" s="56">
        <f t="shared" ca="1" si="53"/>
        <v>1.5520316731320294</v>
      </c>
    </row>
    <row r="335" spans="2:20" x14ac:dyDescent="0.25">
      <c r="B335" s="53">
        <v>40659</v>
      </c>
      <c r="C335">
        <v>265.41561610000002</v>
      </c>
      <c r="D335" s="54">
        <f t="shared" si="54"/>
        <v>1.4798554865978593E-2</v>
      </c>
      <c r="E335" s="54">
        <f t="shared" ca="1" si="55"/>
        <v>1.8941330139618493E-2</v>
      </c>
      <c r="F335" s="64">
        <f t="shared" ca="1" si="57"/>
        <v>-4.1427752736399003E-3</v>
      </c>
      <c r="G335">
        <f t="shared" ca="1" si="50"/>
        <v>3.1403433373689865E-2</v>
      </c>
      <c r="H335">
        <f t="shared" ca="1" si="58"/>
        <v>0.6202986662945168</v>
      </c>
      <c r="I335">
        <f t="shared" ca="1" si="59"/>
        <v>2.7542082454493748</v>
      </c>
      <c r="J335" s="57">
        <v>330</v>
      </c>
      <c r="O335" s="53">
        <v>42704</v>
      </c>
      <c r="P335">
        <v>758.03997800000002</v>
      </c>
      <c r="Q335" s="54">
        <f t="shared" si="51"/>
        <v>-1.6605324777718044E-2</v>
      </c>
      <c r="R335">
        <f t="shared" ca="1" si="56"/>
        <v>-0.11355070016422449</v>
      </c>
      <c r="S335">
        <f t="shared" ca="1" si="52"/>
        <v>0.35359674268260033</v>
      </c>
      <c r="T335" s="56">
        <f t="shared" ca="1" si="53"/>
        <v>-0.33206986124520338</v>
      </c>
    </row>
    <row r="336" spans="2:20" x14ac:dyDescent="0.25">
      <c r="B336" s="53">
        <v>40660</v>
      </c>
      <c r="C336">
        <v>267.87640549999998</v>
      </c>
      <c r="D336" s="54">
        <f t="shared" si="54"/>
        <v>9.2714567294819895E-3</v>
      </c>
      <c r="E336" s="54">
        <f t="shared" ca="1" si="55"/>
        <v>1.8548580672216902E-2</v>
      </c>
      <c r="F336" s="64">
        <f t="shared" ca="1" si="57"/>
        <v>-9.2771239427349127E-3</v>
      </c>
      <c r="G336">
        <f t="shared" ca="1" si="50"/>
        <v>1.2625591456453004E-2</v>
      </c>
      <c r="H336">
        <f t="shared" ca="1" si="58"/>
        <v>1.4724921108335962</v>
      </c>
      <c r="I336">
        <f t="shared" ca="1" si="59"/>
        <v>2.6909895717329801</v>
      </c>
      <c r="J336" s="60">
        <v>331</v>
      </c>
      <c r="O336" s="53">
        <v>42705</v>
      </c>
      <c r="P336">
        <v>747.919983</v>
      </c>
      <c r="Q336" s="54">
        <f t="shared" si="51"/>
        <v>-1.3350212777300271E-2</v>
      </c>
      <c r="R336">
        <f t="shared" ca="1" si="56"/>
        <v>2.9250026211895576E-2</v>
      </c>
      <c r="S336">
        <f t="shared" ca="1" si="52"/>
        <v>7.5891155524701381E-2</v>
      </c>
      <c r="T336" s="56">
        <f t="shared" ca="1" si="53"/>
        <v>0.36539577112346611</v>
      </c>
    </row>
    <row r="337" spans="2:20" x14ac:dyDescent="0.25">
      <c r="B337" s="53">
        <v>40661</v>
      </c>
      <c r="C337">
        <v>267.98098950000002</v>
      </c>
      <c r="D337" s="54">
        <f t="shared" si="54"/>
        <v>3.9041885680389017E-4</v>
      </c>
      <c r="E337" s="54">
        <f t="shared" ca="1" si="55"/>
        <v>2.5953682268788299E-2</v>
      </c>
      <c r="F337" s="64">
        <f t="shared" ca="1" si="57"/>
        <v>-2.5563263411984408E-2</v>
      </c>
      <c r="G337">
        <f t="shared" ca="1" si="50"/>
        <v>2.4766514322759232E-2</v>
      </c>
      <c r="H337">
        <f t="shared" ca="1" si="58"/>
        <v>0.7795685277426796</v>
      </c>
      <c r="I337">
        <f t="shared" ca="1" si="59"/>
        <v>2.208627307470179</v>
      </c>
      <c r="J337" s="57">
        <v>332</v>
      </c>
      <c r="O337" s="53">
        <v>42706</v>
      </c>
      <c r="P337">
        <v>750.5</v>
      </c>
      <c r="Q337" s="54">
        <f t="shared" si="51"/>
        <v>3.4495896066999428E-3</v>
      </c>
      <c r="R337">
        <f t="shared" ca="1" si="56"/>
        <v>2.065528234229172E-2</v>
      </c>
      <c r="S337">
        <f t="shared" ca="1" si="52"/>
        <v>8.3262878876574117E-2</v>
      </c>
      <c r="T337" s="56">
        <f t="shared" ca="1" si="53"/>
        <v>0.33764501933718055</v>
      </c>
    </row>
    <row r="338" spans="2:20" x14ac:dyDescent="0.25">
      <c r="B338" s="53">
        <v>40662</v>
      </c>
      <c r="C338">
        <v>271.03455300000002</v>
      </c>
      <c r="D338" s="54">
        <f t="shared" si="54"/>
        <v>1.1394701936496863E-2</v>
      </c>
      <c r="E338" s="54">
        <f t="shared" ca="1" si="55"/>
        <v>3.4887754615977894E-2</v>
      </c>
      <c r="F338" s="64">
        <f t="shared" ca="1" si="57"/>
        <v>-2.3493052679481031E-2</v>
      </c>
      <c r="G338">
        <f t="shared" ca="1" si="50"/>
        <v>1.4218762279686608E-2</v>
      </c>
      <c r="H338">
        <f t="shared" ca="1" si="58"/>
        <v>2.1607894114721322</v>
      </c>
      <c r="I338">
        <f t="shared" ca="1" si="59"/>
        <v>2.2937184592272444</v>
      </c>
      <c r="J338" s="60">
        <v>333</v>
      </c>
      <c r="O338" s="53">
        <v>42709</v>
      </c>
      <c r="P338">
        <v>762.52002000000005</v>
      </c>
      <c r="Q338" s="54">
        <f t="shared" si="51"/>
        <v>1.60160159893405E-2</v>
      </c>
      <c r="R338">
        <f t="shared" ca="1" si="56"/>
        <v>-2.8215896313798353E-2</v>
      </c>
      <c r="S338">
        <f t="shared" ca="1" si="52"/>
        <v>7.6943918135529948E-2</v>
      </c>
      <c r="T338" s="56">
        <f t="shared" ca="1" si="53"/>
        <v>-0.28878315998387127</v>
      </c>
    </row>
    <row r="339" spans="2:20" x14ac:dyDescent="0.25">
      <c r="B339" s="53">
        <v>40665</v>
      </c>
      <c r="C339">
        <v>268.2749048</v>
      </c>
      <c r="D339" s="54">
        <f t="shared" si="54"/>
        <v>-1.0181905478302668E-2</v>
      </c>
      <c r="E339" s="54">
        <f t="shared" ca="1" si="55"/>
        <v>-1.6883609994086266E-2</v>
      </c>
      <c r="F339" s="64">
        <f t="shared" ca="1" si="57"/>
        <v>6.7017045157835974E-3</v>
      </c>
      <c r="G339">
        <f t="shared" ca="1" si="50"/>
        <v>3.622621791312574E-2</v>
      </c>
      <c r="H339">
        <f t="shared" ca="1" si="58"/>
        <v>-0.47090621862162618</v>
      </c>
      <c r="I339">
        <f t="shared" ca="1" si="59"/>
        <v>2.7477449193915016</v>
      </c>
      <c r="J339" s="57">
        <v>334</v>
      </c>
      <c r="O339" s="53">
        <v>42710</v>
      </c>
      <c r="P339">
        <v>759.10998500000005</v>
      </c>
      <c r="Q339" s="54">
        <f t="shared" si="51"/>
        <v>-4.472059631955622E-3</v>
      </c>
      <c r="R339">
        <f t="shared" ca="1" si="56"/>
        <v>-5.4116317950413922E-3</v>
      </c>
      <c r="S339">
        <f t="shared" ca="1" si="52"/>
        <v>6.5812951609305559E-2</v>
      </c>
      <c r="T339" s="56">
        <f t="shared" ca="1" si="53"/>
        <v>-0.10577230497176744</v>
      </c>
    </row>
    <row r="340" spans="2:20" x14ac:dyDescent="0.25">
      <c r="B340" s="53">
        <v>40666</v>
      </c>
      <c r="C340">
        <v>265.94860679999999</v>
      </c>
      <c r="D340" s="54">
        <f t="shared" si="54"/>
        <v>-8.671321686738731E-3</v>
      </c>
      <c r="E340" s="54">
        <f t="shared" ca="1" si="55"/>
        <v>2.411480645937731E-2</v>
      </c>
      <c r="F340" s="64">
        <f t="shared" ca="1" si="57"/>
        <v>-3.2786128146116041E-2</v>
      </c>
      <c r="G340">
        <f t="shared" ca="1" si="50"/>
        <v>1.1441895179952434E-2</v>
      </c>
      <c r="H340">
        <f t="shared" ca="1" si="58"/>
        <v>1.6603362269129796</v>
      </c>
      <c r="I340">
        <f t="shared" ca="1" si="59"/>
        <v>1.8575217343584149</v>
      </c>
      <c r="J340" s="60">
        <v>335</v>
      </c>
      <c r="O340" s="53">
        <v>42711</v>
      </c>
      <c r="P340">
        <v>771.19000200000005</v>
      </c>
      <c r="Q340" s="54">
        <f t="shared" si="51"/>
        <v>1.5913394947637261E-2</v>
      </c>
      <c r="R340">
        <f t="shared" ca="1" si="56"/>
        <v>-5.874817227402708E-2</v>
      </c>
      <c r="S340">
        <f t="shared" ca="1" si="52"/>
        <v>2.4143922952212165E-2</v>
      </c>
      <c r="T340" s="56">
        <f t="shared" ca="1" si="53"/>
        <v>-2.7311721003738509</v>
      </c>
    </row>
    <row r="341" spans="2:20" x14ac:dyDescent="0.25">
      <c r="B341" s="53">
        <v>40667</v>
      </c>
      <c r="C341">
        <v>266.8950802</v>
      </c>
      <c r="D341" s="54">
        <f t="shared" si="54"/>
        <v>3.5588582748687751E-3</v>
      </c>
      <c r="E341" s="54">
        <f t="shared" ca="1" si="55"/>
        <v>-2.9329799639537576E-2</v>
      </c>
      <c r="F341" s="64">
        <f t="shared" ca="1" si="57"/>
        <v>3.2888657914406351E-2</v>
      </c>
      <c r="G341">
        <f t="shared" ca="1" si="50"/>
        <v>2.7854230912439597E-2</v>
      </c>
      <c r="H341">
        <f t="shared" ca="1" si="58"/>
        <v>-0.88879684393131742</v>
      </c>
      <c r="I341">
        <f t="shared" ca="1" si="59"/>
        <v>1.9487086554783537</v>
      </c>
      <c r="J341" s="57">
        <v>336</v>
      </c>
      <c r="O341" s="53">
        <v>42712</v>
      </c>
      <c r="P341">
        <v>776.419983</v>
      </c>
      <c r="Q341" s="54">
        <f t="shared" si="51"/>
        <v>6.7817022866434309E-3</v>
      </c>
      <c r="R341">
        <f t="shared" ca="1" si="56"/>
        <v>0.57713224868670743</v>
      </c>
      <c r="S341">
        <f t="shared" ca="1" si="52"/>
        <v>0.62223651247746914</v>
      </c>
      <c r="T341" s="56">
        <f t="shared" ca="1" si="53"/>
        <v>0.93074008737706215</v>
      </c>
    </row>
    <row r="342" spans="2:20" x14ac:dyDescent="0.25">
      <c r="B342" s="53">
        <v>40668</v>
      </c>
      <c r="C342">
        <v>266.13790729999999</v>
      </c>
      <c r="D342" s="54">
        <f t="shared" si="54"/>
        <v>-2.8369683676169933E-3</v>
      </c>
      <c r="E342" s="54">
        <f t="shared" ca="1" si="55"/>
        <v>-8.9356768353019075E-3</v>
      </c>
      <c r="F342" s="64">
        <f t="shared" ca="1" si="57"/>
        <v>6.0987084676849147E-3</v>
      </c>
      <c r="G342">
        <f t="shared" ca="1" si="50"/>
        <v>1.6167198656248084E-2</v>
      </c>
      <c r="H342">
        <f t="shared" ca="1" si="58"/>
        <v>-0.31182111582192007</v>
      </c>
      <c r="I342">
        <f t="shared" ca="1" si="59"/>
        <v>2.7530933964467401</v>
      </c>
      <c r="J342" s="60">
        <v>337</v>
      </c>
      <c r="O342" s="53">
        <v>42713</v>
      </c>
      <c r="P342">
        <v>789.28997800000002</v>
      </c>
      <c r="Q342" s="54">
        <f t="shared" si="51"/>
        <v>1.6576073879850176E-2</v>
      </c>
      <c r="R342">
        <f t="shared" ca="1" si="56"/>
        <v>-4.6075133764491093E-2</v>
      </c>
      <c r="S342">
        <f t="shared" ca="1" si="52"/>
        <v>0.21230460030529572</v>
      </c>
      <c r="T342" s="56">
        <f t="shared" ca="1" si="53"/>
        <v>-0.25068827972090924</v>
      </c>
    </row>
    <row r="343" spans="2:20" x14ac:dyDescent="0.25">
      <c r="B343" s="53">
        <v>40669</v>
      </c>
      <c r="C343">
        <v>266.65100059999997</v>
      </c>
      <c r="D343" s="54">
        <f t="shared" si="54"/>
        <v>1.9279226518513321E-3</v>
      </c>
      <c r="E343" s="54">
        <f t="shared" ca="1" si="55"/>
        <v>4.204238842807617E-3</v>
      </c>
      <c r="F343" s="64">
        <f t="shared" ca="1" si="57"/>
        <v>-2.2763161909562851E-3</v>
      </c>
      <c r="G343">
        <f t="shared" ca="1" si="50"/>
        <v>6.4555497922411846E-3</v>
      </c>
      <c r="H343">
        <f t="shared" ca="1" si="58"/>
        <v>0.40367331800786876</v>
      </c>
      <c r="I343">
        <f t="shared" ca="1" si="59"/>
        <v>2.7666334778291297</v>
      </c>
      <c r="J343" s="57">
        <v>338</v>
      </c>
      <c r="O343" s="53">
        <v>42716</v>
      </c>
      <c r="P343">
        <v>789.27002000000005</v>
      </c>
      <c r="Q343" s="54">
        <f t="shared" si="51"/>
        <v>-2.5286017251284753E-5</v>
      </c>
      <c r="R343">
        <f t="shared" ca="1" si="56"/>
        <v>6.3461907015669006E-2</v>
      </c>
      <c r="S343">
        <f t="shared" ca="1" si="52"/>
        <v>5.7232354253389656E-2</v>
      </c>
      <c r="T343" s="56">
        <f t="shared" ca="1" si="53"/>
        <v>1.0556235859418304</v>
      </c>
    </row>
    <row r="344" spans="2:20" x14ac:dyDescent="0.25">
      <c r="B344" s="53">
        <v>40672</v>
      </c>
      <c r="C344">
        <v>267.83654940000002</v>
      </c>
      <c r="D344" s="54">
        <f t="shared" si="54"/>
        <v>4.4460691965618271E-3</v>
      </c>
      <c r="E344" s="54">
        <f t="shared" ca="1" si="55"/>
        <v>-9.7914769484625588E-3</v>
      </c>
      <c r="F344" s="64">
        <f t="shared" ca="1" si="57"/>
        <v>1.4237546145024385E-2</v>
      </c>
      <c r="G344">
        <f t="shared" ca="1" si="50"/>
        <v>6.9699652043062549E-3</v>
      </c>
      <c r="H344">
        <f t="shared" ca="1" si="58"/>
        <v>-1.2220105280026641</v>
      </c>
      <c r="I344">
        <f t="shared" ca="1" si="59"/>
        <v>2.6313538517816384</v>
      </c>
      <c r="J344" s="60">
        <v>339</v>
      </c>
      <c r="O344" s="53">
        <v>42717</v>
      </c>
      <c r="P344">
        <v>796.09997599999997</v>
      </c>
      <c r="Q344" s="54">
        <f t="shared" si="51"/>
        <v>8.6535099863541305E-3</v>
      </c>
      <c r="R344">
        <f t="shared" ca="1" si="56"/>
        <v>-6.5754205289927675E-2</v>
      </c>
      <c r="S344">
        <f t="shared" ca="1" si="52"/>
        <v>0.24050388344186263</v>
      </c>
      <c r="T344" s="56">
        <f t="shared" ca="1" si="53"/>
        <v>-0.30435621486873982</v>
      </c>
    </row>
    <row r="345" spans="2:20" x14ac:dyDescent="0.25">
      <c r="B345" s="53">
        <v>40673</v>
      </c>
      <c r="C345">
        <v>270.3172361</v>
      </c>
      <c r="D345" s="54">
        <f t="shared" si="54"/>
        <v>9.261942425547013E-3</v>
      </c>
      <c r="E345" s="54">
        <f t="shared" ca="1" si="55"/>
        <v>2.3739913343300865E-2</v>
      </c>
      <c r="F345" s="64">
        <f t="shared" ca="1" si="57"/>
        <v>-1.4477970917753852E-2</v>
      </c>
      <c r="G345">
        <f t="shared" ca="1" si="50"/>
        <v>2.0483853211507547E-2</v>
      </c>
      <c r="H345">
        <f t="shared" ca="1" si="58"/>
        <v>1.1166828725910558</v>
      </c>
      <c r="I345">
        <f t="shared" ca="1" si="59"/>
        <v>2.5835274127920926</v>
      </c>
      <c r="J345" s="57">
        <v>340</v>
      </c>
      <c r="O345" s="53">
        <v>42718</v>
      </c>
      <c r="P345">
        <v>797.07000700000003</v>
      </c>
      <c r="Q345" s="54">
        <f t="shared" si="51"/>
        <v>1.2184788710508172E-3</v>
      </c>
      <c r="R345">
        <f t="shared" ca="1" si="56"/>
        <v>0.13067689315156827</v>
      </c>
      <c r="S345">
        <f t="shared" ca="1" si="52"/>
        <v>6.9464084973497445E-2</v>
      </c>
      <c r="T345" s="56">
        <f t="shared" ca="1" si="53"/>
        <v>1.8813765491646208</v>
      </c>
    </row>
    <row r="346" spans="2:20" x14ac:dyDescent="0.25">
      <c r="B346" s="53">
        <v>40674</v>
      </c>
      <c r="C346">
        <v>266.72570760000002</v>
      </c>
      <c r="D346" s="54">
        <f t="shared" si="54"/>
        <v>-1.3286346634113063E-2</v>
      </c>
      <c r="E346" s="54">
        <f t="shared" ca="1" si="55"/>
        <v>1.4424981523911381E-2</v>
      </c>
      <c r="F346" s="64">
        <f t="shared" ca="1" si="57"/>
        <v>-2.7711328158024445E-2</v>
      </c>
      <c r="G346">
        <f t="shared" ca="1" si="50"/>
        <v>1.9240999181714069E-2</v>
      </c>
      <c r="H346">
        <f t="shared" ca="1" si="58"/>
        <v>0.64591256760291293</v>
      </c>
      <c r="I346">
        <f t="shared" ca="1" si="59"/>
        <v>2.1130158920211572</v>
      </c>
      <c r="J346" s="60">
        <v>341</v>
      </c>
      <c r="O346" s="53">
        <v>42719</v>
      </c>
      <c r="P346">
        <v>797.84997599999997</v>
      </c>
      <c r="Q346" s="54">
        <f t="shared" si="51"/>
        <v>9.7854516309749595E-4</v>
      </c>
      <c r="R346">
        <f t="shared" ca="1" si="56"/>
        <v>-6.0673303741135817E-2</v>
      </c>
      <c r="S346">
        <f t="shared" ca="1" si="52"/>
        <v>0.42863169378221189</v>
      </c>
      <c r="T346" s="56">
        <f t="shared" ca="1" si="53"/>
        <v>-0.15061832880530462</v>
      </c>
    </row>
    <row r="347" spans="2:20" x14ac:dyDescent="0.25">
      <c r="B347" s="53">
        <v>40675</v>
      </c>
      <c r="C347">
        <v>266.52645790000003</v>
      </c>
      <c r="D347" s="54">
        <f t="shared" si="54"/>
        <v>-7.4702098194000905E-4</v>
      </c>
      <c r="E347" s="54">
        <f t="shared" ca="1" si="55"/>
        <v>2.2536186191110426E-2</v>
      </c>
      <c r="F347" s="64">
        <f t="shared" ca="1" si="57"/>
        <v>-2.3283207173050435E-2</v>
      </c>
      <c r="G347">
        <f t="shared" ca="1" si="50"/>
        <v>1.1682038231565649E-2</v>
      </c>
      <c r="H347">
        <f t="shared" ca="1" si="58"/>
        <v>1.573072348479073</v>
      </c>
      <c r="I347">
        <f t="shared" ca="1" si="59"/>
        <v>2.3019571307007372</v>
      </c>
      <c r="J347" s="57">
        <v>342</v>
      </c>
      <c r="O347" s="53">
        <v>42720</v>
      </c>
      <c r="P347">
        <v>790.79998799999998</v>
      </c>
      <c r="Q347" s="54">
        <f t="shared" si="51"/>
        <v>-8.8362326403077871E-3</v>
      </c>
      <c r="R347">
        <f t="shared" ca="1" si="56"/>
        <v>-8.2581562666150833E-3</v>
      </c>
      <c r="S347">
        <f t="shared" ca="1" si="52"/>
        <v>3.5067389588803712E-2</v>
      </c>
      <c r="T347" s="56">
        <f t="shared" ca="1" si="53"/>
        <v>-0.25109985370317295</v>
      </c>
    </row>
    <row r="348" spans="2:20" x14ac:dyDescent="0.25">
      <c r="B348" s="53">
        <v>40676</v>
      </c>
      <c r="C348">
        <v>263.78670720000002</v>
      </c>
      <c r="D348" s="54">
        <f t="shared" si="54"/>
        <v>-1.0279469894234472E-2</v>
      </c>
      <c r="E348" s="54">
        <f t="shared" ca="1" si="55"/>
        <v>2.7778238150271087E-2</v>
      </c>
      <c r="F348" s="64">
        <f t="shared" ca="1" si="57"/>
        <v>-3.8057708044505562E-2</v>
      </c>
      <c r="G348">
        <f t="shared" ca="1" si="50"/>
        <v>2.6410872978164912E-2</v>
      </c>
      <c r="H348">
        <f t="shared" ca="1" si="58"/>
        <v>1.2777092006533468</v>
      </c>
      <c r="I348">
        <f t="shared" ca="1" si="59"/>
        <v>1.5480576444514278</v>
      </c>
      <c r="J348" s="60">
        <v>343</v>
      </c>
      <c r="O348" s="53">
        <v>42723</v>
      </c>
      <c r="P348">
        <v>794.20001200000002</v>
      </c>
      <c r="Q348" s="54">
        <f t="shared" si="51"/>
        <v>4.2994740156723802E-3</v>
      </c>
      <c r="R348">
        <f t="shared" ca="1" si="56"/>
        <v>-0.1679184454361545</v>
      </c>
      <c r="S348">
        <f t="shared" ca="1" si="52"/>
        <v>5.7219287066369931E-2</v>
      </c>
      <c r="T348" s="56">
        <f t="shared" ca="1" si="53"/>
        <v>-2.9423256740916028</v>
      </c>
    </row>
    <row r="349" spans="2:20" x14ac:dyDescent="0.25">
      <c r="B349" s="53">
        <v>40679</v>
      </c>
      <c r="C349">
        <v>258.24247780000002</v>
      </c>
      <c r="D349" s="54">
        <f t="shared" si="54"/>
        <v>-2.1017849833488523E-2</v>
      </c>
      <c r="E349" s="54">
        <f t="shared" ca="1" si="55"/>
        <v>3.0293158745432307E-3</v>
      </c>
      <c r="F349" s="64">
        <f t="shared" ca="1" si="57"/>
        <v>-2.4047165708031754E-2</v>
      </c>
      <c r="G349">
        <f t="shared" ca="1" si="50"/>
        <v>2.2182501528682445E-2</v>
      </c>
      <c r="H349">
        <f t="shared" ca="1" si="58"/>
        <v>0.15169592598834217</v>
      </c>
      <c r="I349">
        <f t="shared" ca="1" si="59"/>
        <v>2.2716216312165698</v>
      </c>
      <c r="J349" s="57">
        <v>344</v>
      </c>
      <c r="O349" s="53">
        <v>42724</v>
      </c>
      <c r="P349">
        <v>796.419983</v>
      </c>
      <c r="Q349" s="54">
        <f t="shared" si="51"/>
        <v>2.7952291191856425E-3</v>
      </c>
      <c r="R349">
        <f t="shared" ca="1" si="56"/>
        <v>-0.65991978436143617</v>
      </c>
      <c r="S349">
        <f t="shared" ca="1" si="52"/>
        <v>0.67034355219078601</v>
      </c>
      <c r="T349" s="56">
        <f t="shared" ca="1" si="53"/>
        <v>-0.9785300794768953</v>
      </c>
    </row>
    <row r="350" spans="2:20" x14ac:dyDescent="0.25">
      <c r="B350" s="53">
        <v>40680</v>
      </c>
      <c r="C350">
        <v>264.24001600000003</v>
      </c>
      <c r="D350" s="54">
        <f t="shared" si="54"/>
        <v>2.3224444913531601E-2</v>
      </c>
      <c r="E350" s="54">
        <f t="shared" ca="1" si="55"/>
        <v>-1.1863424426409117E-2</v>
      </c>
      <c r="F350" s="64">
        <f t="shared" ca="1" si="57"/>
        <v>3.5087869339940722E-2</v>
      </c>
      <c r="G350">
        <f t="shared" ca="1" si="50"/>
        <v>5.7418933122942717E-3</v>
      </c>
      <c r="H350">
        <f t="shared" ca="1" si="58"/>
        <v>-1.2620134180558349</v>
      </c>
      <c r="I350">
        <f t="shared" ca="1" si="59"/>
        <v>1.8311713005557795</v>
      </c>
      <c r="J350" s="60">
        <v>345</v>
      </c>
      <c r="O350" s="53">
        <v>42725</v>
      </c>
      <c r="P350">
        <v>794.55999799999995</v>
      </c>
      <c r="Q350" s="54">
        <f t="shared" si="51"/>
        <v>-2.3354323594364803E-3</v>
      </c>
      <c r="R350">
        <f t="shared" ca="1" si="56"/>
        <v>0.32554135892166769</v>
      </c>
      <c r="S350">
        <f t="shared" ca="1" si="52"/>
        <v>0.22321875675838829</v>
      </c>
      <c r="T350" s="56">
        <f t="shared" ca="1" si="53"/>
        <v>1.4497452434450862</v>
      </c>
    </row>
    <row r="351" spans="2:20" x14ac:dyDescent="0.25">
      <c r="B351" s="53">
        <v>40681</v>
      </c>
      <c r="C351">
        <v>263.91622419999999</v>
      </c>
      <c r="D351" s="54">
        <f t="shared" si="54"/>
        <v>-1.2253700438772214E-3</v>
      </c>
      <c r="E351" s="54">
        <f t="shared" ca="1" si="55"/>
        <v>-4.1089761991706907E-2</v>
      </c>
      <c r="F351" s="64">
        <f t="shared" ca="1" si="57"/>
        <v>3.9864391947829682E-2</v>
      </c>
      <c r="G351">
        <f t="shared" ca="1" si="50"/>
        <v>2.1129665977836404E-2</v>
      </c>
      <c r="H351">
        <f t="shared" ca="1" si="58"/>
        <v>-1.4979235804746152</v>
      </c>
      <c r="I351">
        <f t="shared" ca="1" si="59"/>
        <v>1.5489707772474079</v>
      </c>
      <c r="J351" s="57">
        <v>346</v>
      </c>
      <c r="O351" s="53">
        <v>42726</v>
      </c>
      <c r="P351">
        <v>791.26000999999997</v>
      </c>
      <c r="Q351" s="54">
        <f t="shared" si="51"/>
        <v>-4.1532269536679912E-3</v>
      </c>
      <c r="R351">
        <f t="shared" ca="1" si="56"/>
        <v>2.6282720846572336E-2</v>
      </c>
      <c r="S351">
        <f t="shared" ca="1" si="52"/>
        <v>0.33031409831479835</v>
      </c>
      <c r="T351" s="56">
        <f t="shared" ca="1" si="53"/>
        <v>7.5768390875585998E-2</v>
      </c>
    </row>
    <row r="352" spans="2:20" x14ac:dyDescent="0.25">
      <c r="B352" s="53">
        <v>40682</v>
      </c>
      <c r="C352">
        <v>264.63354099999998</v>
      </c>
      <c r="D352" s="54">
        <f t="shared" si="54"/>
        <v>2.717971591835133E-3</v>
      </c>
      <c r="E352" s="54">
        <f t="shared" ca="1" si="55"/>
        <v>-2.2346304108380399E-2</v>
      </c>
      <c r="F352" s="64">
        <f t="shared" ca="1" si="57"/>
        <v>2.5064275700215532E-2</v>
      </c>
      <c r="G352">
        <f t="shared" ca="1" si="50"/>
        <v>2.5481889537762554E-2</v>
      </c>
      <c r="H352">
        <f t="shared" ca="1" si="58"/>
        <v>-1.2862800578906921</v>
      </c>
      <c r="I352">
        <f t="shared" ca="1" si="59"/>
        <v>2.3035241959058013</v>
      </c>
      <c r="J352" s="60">
        <v>347</v>
      </c>
      <c r="O352" s="53">
        <v>42727</v>
      </c>
      <c r="P352">
        <v>789.90997300000004</v>
      </c>
      <c r="Q352" s="54">
        <f t="shared" si="51"/>
        <v>-1.7061863141547232E-3</v>
      </c>
      <c r="R352">
        <f t="shared" ca="1" si="56"/>
        <v>2.3401670009262866E-3</v>
      </c>
      <c r="S352">
        <f t="shared" ca="1" si="52"/>
        <v>1.814927150724174E-2</v>
      </c>
      <c r="T352" s="56">
        <f t="shared" ca="1" si="53"/>
        <v>0.18673631179432881</v>
      </c>
    </row>
    <row r="353" spans="2:20" x14ac:dyDescent="0.25">
      <c r="B353" s="53">
        <v>40683</v>
      </c>
      <c r="C353">
        <v>261.0370077</v>
      </c>
      <c r="D353" s="54">
        <f t="shared" si="54"/>
        <v>-1.3590617751662766E-2</v>
      </c>
      <c r="E353" s="54">
        <f t="shared" ca="1" si="55"/>
        <v>1.1768100609561107E-2</v>
      </c>
      <c r="F353" s="64">
        <f t="shared" ca="1" si="57"/>
        <v>-2.5358718361223873E-2</v>
      </c>
      <c r="G353">
        <f t="shared" ca="1" si="50"/>
        <v>2.2263956106154843E-2</v>
      </c>
      <c r="H353">
        <f t="shared" ca="1" si="58"/>
        <v>0.5532885503197833</v>
      </c>
      <c r="I353">
        <f t="shared" ca="1" si="59"/>
        <v>2.2173429468064207</v>
      </c>
      <c r="J353" s="57">
        <v>348</v>
      </c>
      <c r="O353" s="53">
        <v>42731</v>
      </c>
      <c r="P353">
        <v>791.54998799999998</v>
      </c>
      <c r="Q353" s="54">
        <f t="shared" si="51"/>
        <v>2.0762049550676434E-3</v>
      </c>
      <c r="R353">
        <f t="shared" ca="1" si="56"/>
        <v>-2.1725135908989616E-2</v>
      </c>
      <c r="S353">
        <f t="shared" ca="1" si="52"/>
        <v>4.2556663400011144E-2</v>
      </c>
      <c r="T353" s="56">
        <f t="shared" ca="1" si="53"/>
        <v>-0.46666743845677355</v>
      </c>
    </row>
    <row r="354" spans="2:20" x14ac:dyDescent="0.25">
      <c r="B354" s="53">
        <v>40686</v>
      </c>
      <c r="C354">
        <v>258.22755469999998</v>
      </c>
      <c r="D354" s="54">
        <f t="shared" si="54"/>
        <v>-1.0762661680633489E-2</v>
      </c>
      <c r="E354" s="54">
        <f t="shared" ca="1" si="55"/>
        <v>1.2079635992105171E-2</v>
      </c>
      <c r="F354" s="64">
        <f t="shared" ca="1" si="57"/>
        <v>-2.2842297672738661E-2</v>
      </c>
      <c r="G354">
        <f t="shared" ca="1" si="50"/>
        <v>1.0584707220654974E-2</v>
      </c>
      <c r="H354">
        <f t="shared" ca="1" si="58"/>
        <v>1.0259305714184932</v>
      </c>
      <c r="I354">
        <f t="shared" ca="1" si="59"/>
        <v>2.3190357265980102</v>
      </c>
      <c r="J354" s="60">
        <v>349</v>
      </c>
      <c r="O354" s="53">
        <v>42732</v>
      </c>
      <c r="P354">
        <v>785.04998799999998</v>
      </c>
      <c r="Q354" s="54">
        <f t="shared" si="51"/>
        <v>-8.2117365909176159E-3</v>
      </c>
      <c r="R354">
        <f t="shared" ca="1" si="56"/>
        <v>-0.18512205657652847</v>
      </c>
      <c r="S354">
        <f t="shared" ca="1" si="52"/>
        <v>0.10632673966856178</v>
      </c>
      <c r="T354" s="56">
        <f t="shared" ca="1" si="53"/>
        <v>-1.733861213891972</v>
      </c>
    </row>
    <row r="355" spans="2:20" x14ac:dyDescent="0.25">
      <c r="B355" s="53">
        <v>40687</v>
      </c>
      <c r="C355">
        <v>258.16279600000001</v>
      </c>
      <c r="D355" s="54">
        <f t="shared" si="54"/>
        <v>-2.5078152513663681E-4</v>
      </c>
      <c r="E355" s="54">
        <f t="shared" ca="1" si="55"/>
        <v>-2.6305105616368361E-2</v>
      </c>
      <c r="F355" s="64">
        <f t="shared" ca="1" si="57"/>
        <v>2.6054324091231724E-2</v>
      </c>
      <c r="G355">
        <f t="shared" ca="1" si="50"/>
        <v>1.7322753509928131E-2</v>
      </c>
      <c r="H355">
        <f t="shared" ca="1" si="58"/>
        <v>-1.1661599581349193</v>
      </c>
      <c r="I355">
        <f t="shared" ca="1" si="59"/>
        <v>2.2640943965566871</v>
      </c>
      <c r="J355" s="57">
        <v>350</v>
      </c>
      <c r="O355" s="53">
        <v>42733</v>
      </c>
      <c r="P355">
        <v>782.78997800000002</v>
      </c>
      <c r="Q355" s="54">
        <f t="shared" si="51"/>
        <v>-2.878810310866428E-3</v>
      </c>
      <c r="R355">
        <f t="shared" ca="1" si="56"/>
        <v>6.4708534602959597E-2</v>
      </c>
      <c r="S355">
        <f t="shared" ca="1" si="52"/>
        <v>0.39502619287989438</v>
      </c>
      <c r="T355" s="56">
        <f t="shared" ca="1" si="53"/>
        <v>0.16144805595395975</v>
      </c>
    </row>
    <row r="356" spans="2:20" ht="15.75" thickBot="1" x14ac:dyDescent="0.3">
      <c r="B356" s="53">
        <v>40688</v>
      </c>
      <c r="C356">
        <v>258.86515930000002</v>
      </c>
      <c r="D356" s="54">
        <f t="shared" si="54"/>
        <v>2.720621680902471E-3</v>
      </c>
      <c r="E356" s="54">
        <f t="shared" ca="1" si="55"/>
        <v>-1.0233385105081687E-3</v>
      </c>
      <c r="F356" s="64">
        <f t="shared" ca="1" si="57"/>
        <v>3.7439601914106397E-3</v>
      </c>
      <c r="G356">
        <f t="shared" ca="1" si="50"/>
        <v>1.988671036729496E-2</v>
      </c>
      <c r="H356">
        <f t="shared" ca="1" si="58"/>
        <v>0.19160497942903881</v>
      </c>
      <c r="I356">
        <f t="shared" ca="1" si="59"/>
        <v>2.7683529910529741</v>
      </c>
      <c r="J356" s="60">
        <v>351</v>
      </c>
      <c r="O356" s="69">
        <v>42734</v>
      </c>
      <c r="P356" s="70">
        <v>771.82000700000003</v>
      </c>
      <c r="Q356" s="71">
        <f t="shared" si="51"/>
        <v>-1.4013938998079491E-2</v>
      </c>
      <c r="R356" s="70">
        <f t="shared" ca="1" si="56"/>
        <v>-8.6188783763275018E-2</v>
      </c>
      <c r="S356" s="70">
        <f t="shared" ca="1" si="52"/>
        <v>3.7382199438500102E-2</v>
      </c>
      <c r="T356" s="72">
        <f t="shared" ca="1" si="53"/>
        <v>-2.2069509022949356</v>
      </c>
    </row>
    <row r="357" spans="2:20" x14ac:dyDescent="0.25">
      <c r="B357" s="53">
        <v>40689</v>
      </c>
      <c r="C357">
        <v>258.09803770000002</v>
      </c>
      <c r="D357" s="54">
        <f t="shared" si="54"/>
        <v>-2.9634022673208607E-3</v>
      </c>
      <c r="E357" s="54">
        <f t="shared" ca="1" si="55"/>
        <v>6.2989211881413687E-3</v>
      </c>
      <c r="F357" s="64">
        <f t="shared" ca="1" si="57"/>
        <v>-9.2623234554622298E-3</v>
      </c>
      <c r="G357">
        <f t="shared" ca="1" si="50"/>
        <v>5.6367884809273303E-3</v>
      </c>
      <c r="H357">
        <f t="shared" ca="1" si="58"/>
        <v>1.1374394000698997</v>
      </c>
      <c r="I357">
        <f t="shared" ca="1" si="59"/>
        <v>2.6912330226449446</v>
      </c>
      <c r="J357" s="57">
        <v>352</v>
      </c>
    </row>
    <row r="358" spans="2:20" x14ac:dyDescent="0.25">
      <c r="B358" s="53">
        <v>40690</v>
      </c>
      <c r="C358">
        <v>259.47786180000003</v>
      </c>
      <c r="D358" s="54">
        <f t="shared" si="54"/>
        <v>5.3461239469160347E-3</v>
      </c>
      <c r="E358" s="54">
        <f t="shared" ca="1" si="55"/>
        <v>1.5728148546710022E-2</v>
      </c>
      <c r="F358" s="64">
        <f t="shared" ca="1" si="57"/>
        <v>-1.0382024599793987E-2</v>
      </c>
      <c r="G358">
        <f t="shared" ca="1" si="50"/>
        <v>1.9055757432256036E-2</v>
      </c>
      <c r="H358">
        <f t="shared" ca="1" si="58"/>
        <v>0.761256223030914</v>
      </c>
      <c r="I358">
        <f t="shared" ca="1" si="59"/>
        <v>2.6718157636195756</v>
      </c>
      <c r="J358" s="60">
        <v>353</v>
      </c>
    </row>
    <row r="359" spans="2:20" x14ac:dyDescent="0.25">
      <c r="B359" s="53">
        <v>40694</v>
      </c>
      <c r="C359">
        <v>263.52269919999998</v>
      </c>
      <c r="D359" s="54">
        <f t="shared" si="54"/>
        <v>1.5588371863175066E-2</v>
      </c>
      <c r="E359" s="54">
        <f t="shared" ca="1" si="55"/>
        <v>-5.1306827433841157E-3</v>
      </c>
      <c r="F359" s="64">
        <f t="shared" ca="1" si="57"/>
        <v>2.0719054606559182E-2</v>
      </c>
      <c r="G359">
        <f t="shared" ca="1" si="50"/>
        <v>1.346559433946962E-2</v>
      </c>
      <c r="H359">
        <f t="shared" ca="1" si="58"/>
        <v>-0.28218966571097276</v>
      </c>
      <c r="I359">
        <f t="shared" ca="1" si="59"/>
        <v>2.4578486508062429</v>
      </c>
      <c r="J359" s="57">
        <v>354</v>
      </c>
    </row>
    <row r="360" spans="2:20" x14ac:dyDescent="0.25">
      <c r="B360" s="53">
        <v>40695</v>
      </c>
      <c r="C360">
        <v>261.81908279999999</v>
      </c>
      <c r="D360" s="54">
        <f t="shared" si="54"/>
        <v>-6.4647804730742801E-3</v>
      </c>
      <c r="E360" s="54">
        <f t="shared" ca="1" si="55"/>
        <v>5.863545914331472E-3</v>
      </c>
      <c r="F360" s="64">
        <f t="shared" ca="1" si="57"/>
        <v>-1.2328326387405752E-2</v>
      </c>
      <c r="G360">
        <f t="shared" ca="1" si="50"/>
        <v>5.7109442674970878E-3</v>
      </c>
      <c r="H360">
        <f t="shared" ca="1" si="58"/>
        <v>0.60624404154109623</v>
      </c>
      <c r="I360">
        <f t="shared" ca="1" si="59"/>
        <v>2.6332431527183306</v>
      </c>
      <c r="J360" s="60">
        <v>355</v>
      </c>
    </row>
    <row r="361" spans="2:20" x14ac:dyDescent="0.25">
      <c r="B361" s="53">
        <v>40696</v>
      </c>
      <c r="C361">
        <v>263.04448769999999</v>
      </c>
      <c r="D361" s="54">
        <f t="shared" si="54"/>
        <v>4.6803498312461469E-3</v>
      </c>
      <c r="E361" s="54">
        <f t="shared" ca="1" si="55"/>
        <v>1.5477338677388963E-2</v>
      </c>
      <c r="F361" s="64">
        <f t="shared" ca="1" si="57"/>
        <v>-1.0796988846142816E-2</v>
      </c>
      <c r="G361">
        <f t="shared" ca="1" si="50"/>
        <v>1.0252214318932834E-2</v>
      </c>
      <c r="H361">
        <f t="shared" ca="1" si="58"/>
        <v>0.82678724913987267</v>
      </c>
      <c r="I361">
        <f t="shared" ca="1" si="59"/>
        <v>2.6641051954568833</v>
      </c>
      <c r="J361" s="57">
        <v>356</v>
      </c>
    </row>
    <row r="362" spans="2:20" x14ac:dyDescent="0.25">
      <c r="B362" s="53">
        <v>40697</v>
      </c>
      <c r="C362">
        <v>260.56380139999999</v>
      </c>
      <c r="D362" s="54">
        <f t="shared" si="54"/>
        <v>-9.4306720573791459E-3</v>
      </c>
      <c r="E362" s="54">
        <f t="shared" ca="1" si="55"/>
        <v>-1.0166003388152503E-2</v>
      </c>
      <c r="F362" s="64">
        <f t="shared" ca="1" si="57"/>
        <v>7.3533133077335715E-4</v>
      </c>
      <c r="G362">
        <f t="shared" ca="1" si="50"/>
        <v>1.4032949833342887E-2</v>
      </c>
      <c r="H362">
        <f t="shared" ca="1" si="58"/>
        <v>-0.51754062713243498</v>
      </c>
      <c r="I362">
        <f t="shared" ca="1" si="59"/>
        <v>2.774813761863586</v>
      </c>
      <c r="J362" s="60">
        <v>357</v>
      </c>
    </row>
    <row r="363" spans="2:20" x14ac:dyDescent="0.25">
      <c r="B363" s="53">
        <v>40700</v>
      </c>
      <c r="C363">
        <v>259.55757399999999</v>
      </c>
      <c r="D363" s="54">
        <f t="shared" si="54"/>
        <v>-3.8617313479216084E-3</v>
      </c>
      <c r="E363" s="54">
        <f t="shared" ca="1" si="55"/>
        <v>9.45890065241645E-3</v>
      </c>
      <c r="F363" s="64">
        <f t="shared" ca="1" si="57"/>
        <v>-1.3320632000338058E-2</v>
      </c>
      <c r="G363">
        <f t="shared" ca="1" si="50"/>
        <v>9.2662656857550648E-3</v>
      </c>
      <c r="H363">
        <f t="shared" ca="1" si="58"/>
        <v>0.79395784408632974</v>
      </c>
      <c r="I363">
        <f t="shared" ca="1" si="59"/>
        <v>2.6112214710957828</v>
      </c>
      <c r="J363" s="57">
        <v>358</v>
      </c>
    </row>
    <row r="364" spans="2:20" x14ac:dyDescent="0.25">
      <c r="B364" s="53">
        <v>40701</v>
      </c>
      <c r="C364">
        <v>258.54634179999999</v>
      </c>
      <c r="D364" s="54">
        <f t="shared" si="54"/>
        <v>-3.8959841718970412E-3</v>
      </c>
      <c r="E364" s="54">
        <f t="shared" ca="1" si="55"/>
        <v>4.7651574731380521E-3</v>
      </c>
      <c r="F364" s="64">
        <f t="shared" ca="1" si="57"/>
        <v>-8.6611416450350937E-3</v>
      </c>
      <c r="G364">
        <f t="shared" ca="1" si="50"/>
        <v>1.3457360789149907E-2</v>
      </c>
      <c r="H364">
        <f t="shared" ca="1" si="58"/>
        <v>0.66883305480997124</v>
      </c>
      <c r="I364">
        <f t="shared" ca="1" si="59"/>
        <v>2.7008225986505701</v>
      </c>
      <c r="J364" s="60">
        <v>359</v>
      </c>
    </row>
    <row r="365" spans="2:20" x14ac:dyDescent="0.25">
      <c r="B365" s="53">
        <v>40702</v>
      </c>
      <c r="C365">
        <v>258.61607450000002</v>
      </c>
      <c r="D365" s="54">
        <f t="shared" si="54"/>
        <v>2.6971064264360596E-4</v>
      </c>
      <c r="E365" s="54">
        <f t="shared" ca="1" si="55"/>
        <v>-1.0129083397972798E-2</v>
      </c>
      <c r="F365" s="64">
        <f t="shared" ca="1" si="57"/>
        <v>1.0398794040616404E-2</v>
      </c>
      <c r="G365">
        <f t="shared" ca="1" si="50"/>
        <v>1.1621088297630127E-2</v>
      </c>
      <c r="H365">
        <f t="shared" ca="1" si="58"/>
        <v>-0.72236223915005549</v>
      </c>
      <c r="I365">
        <f t="shared" ca="1" si="59"/>
        <v>2.7021089031376597</v>
      </c>
      <c r="J365" s="57">
        <v>360</v>
      </c>
    </row>
    <row r="366" spans="2:20" x14ac:dyDescent="0.25">
      <c r="B366" s="53">
        <v>40703</v>
      </c>
      <c r="C366">
        <v>257.40064869999998</v>
      </c>
      <c r="D366" s="54">
        <f t="shared" si="54"/>
        <v>-4.6997302946072215E-3</v>
      </c>
      <c r="E366" s="54">
        <f t="shared" ca="1" si="55"/>
        <v>2.9797015370937262E-3</v>
      </c>
      <c r="F366" s="64">
        <f t="shared" ca="1" si="57"/>
        <v>-7.6794318317009481E-3</v>
      </c>
      <c r="G366">
        <f t="shared" ca="1" si="50"/>
        <v>1.2385769388729345E-2</v>
      </c>
      <c r="H366">
        <f t="shared" ca="1" si="58"/>
        <v>0.38184639665723263</v>
      </c>
      <c r="I366">
        <f t="shared" ca="1" si="59"/>
        <v>2.7152266668263283</v>
      </c>
      <c r="J366" s="60">
        <v>361</v>
      </c>
    </row>
    <row r="367" spans="2:20" x14ac:dyDescent="0.25">
      <c r="B367" s="53">
        <v>40704</v>
      </c>
      <c r="C367">
        <v>253.8041154</v>
      </c>
      <c r="D367" s="54">
        <f t="shared" si="54"/>
        <v>-1.3972510629496235E-2</v>
      </c>
      <c r="E367" s="54">
        <f t="shared" ca="1" si="55"/>
        <v>3.5391383290100313E-3</v>
      </c>
      <c r="F367" s="64">
        <f t="shared" ca="1" si="57"/>
        <v>-1.7511648958506265E-2</v>
      </c>
      <c r="G367">
        <f t="shared" ca="1" si="50"/>
        <v>7.0429450263373326E-3</v>
      </c>
      <c r="H367">
        <f t="shared" ca="1" si="58"/>
        <v>0.48532068011702073</v>
      </c>
      <c r="I367">
        <f t="shared" ca="1" si="59"/>
        <v>2.5006628029442992</v>
      </c>
      <c r="J367" s="57">
        <v>362</v>
      </c>
    </row>
    <row r="368" spans="2:20" x14ac:dyDescent="0.25">
      <c r="B368" s="53">
        <v>40707</v>
      </c>
      <c r="C368">
        <v>251.42303870000001</v>
      </c>
      <c r="D368" s="54">
        <f t="shared" si="54"/>
        <v>-9.3815527626389082E-3</v>
      </c>
      <c r="E368" s="54">
        <f t="shared" ca="1" si="55"/>
        <v>-4.3668596868664238E-3</v>
      </c>
      <c r="F368" s="64">
        <f t="shared" ca="1" si="57"/>
        <v>-5.0146930757724844E-3</v>
      </c>
      <c r="G368">
        <f t="shared" ca="1" si="50"/>
        <v>8.3195261895180131E-3</v>
      </c>
      <c r="H368">
        <f t="shared" ca="1" si="58"/>
        <v>-0.27115437072555926</v>
      </c>
      <c r="I368">
        <f t="shared" ca="1" si="59"/>
        <v>2.7464748748243499</v>
      </c>
      <c r="J368" s="60">
        <v>363</v>
      </c>
    </row>
    <row r="369" spans="2:10" x14ac:dyDescent="0.25">
      <c r="B369" s="53">
        <v>40708</v>
      </c>
      <c r="C369">
        <v>253.23624340000001</v>
      </c>
      <c r="D369" s="54">
        <f t="shared" si="54"/>
        <v>7.2117682984634132E-3</v>
      </c>
      <c r="E369" s="54">
        <f t="shared" ca="1" si="55"/>
        <v>1.6371042501455591E-3</v>
      </c>
      <c r="F369" s="64">
        <f t="shared" ca="1" si="57"/>
        <v>5.5746640483178541E-3</v>
      </c>
      <c r="G369">
        <f t="shared" ca="1" si="50"/>
        <v>5.0094539774057437E-3</v>
      </c>
      <c r="H369">
        <f t="shared" ca="1" si="58"/>
        <v>1.5795334847093956</v>
      </c>
      <c r="I369">
        <f t="shared" ca="1" si="59"/>
        <v>2.7572644389760508</v>
      </c>
      <c r="J369" s="57">
        <v>364</v>
      </c>
    </row>
    <row r="370" spans="2:10" x14ac:dyDescent="0.25">
      <c r="B370" s="53">
        <v>40709</v>
      </c>
      <c r="C370">
        <v>250.53636420000001</v>
      </c>
      <c r="D370" s="54">
        <f t="shared" si="54"/>
        <v>-1.0661503913305949E-2</v>
      </c>
      <c r="E370" s="54">
        <f t="shared" ca="1" si="55"/>
        <v>4.973232571372467E-2</v>
      </c>
      <c r="F370" s="64">
        <f t="shared" ca="1" si="57"/>
        <v>-6.0393829627030618E-2</v>
      </c>
      <c r="G370">
        <f t="shared" ca="1" si="50"/>
        <v>2.6408868582338624E-2</v>
      </c>
      <c r="H370">
        <f t="shared" ca="1" si="58"/>
        <v>2.0427094218279809</v>
      </c>
      <c r="I370">
        <f t="shared" ca="1" si="59"/>
        <v>-0.26134253213286202</v>
      </c>
      <c r="J370" s="60">
        <v>365</v>
      </c>
    </row>
    <row r="371" spans="2:10" x14ac:dyDescent="0.25">
      <c r="B371" s="53">
        <v>40710</v>
      </c>
      <c r="C371">
        <v>249.2511749</v>
      </c>
      <c r="D371" s="54">
        <f t="shared" si="54"/>
        <v>-5.1297515396769421E-3</v>
      </c>
      <c r="E371" s="54">
        <f t="shared" ca="1" si="55"/>
        <v>4.0719865425670021E-2</v>
      </c>
      <c r="F371" s="64">
        <f t="shared" ca="1" si="57"/>
        <v>-4.5849616965346965E-2</v>
      </c>
      <c r="G371">
        <f t="shared" ca="1" si="50"/>
        <v>3.4637522778022387E-2</v>
      </c>
      <c r="H371">
        <f t="shared" ca="1" si="58"/>
        <v>1.0820952704298277</v>
      </c>
      <c r="I371">
        <f t="shared" ca="1" si="59"/>
        <v>1.0084063759125774</v>
      </c>
      <c r="J371" s="57">
        <v>366</v>
      </c>
    </row>
    <row r="372" spans="2:10" x14ac:dyDescent="0.25">
      <c r="B372" s="53">
        <v>40711</v>
      </c>
      <c r="C372">
        <v>241.60481480000001</v>
      </c>
      <c r="D372" s="54">
        <f t="shared" si="54"/>
        <v>-3.067732821346866E-2</v>
      </c>
      <c r="E372" s="54">
        <f t="shared" ca="1" si="55"/>
        <v>-2.4977473637323576E-2</v>
      </c>
      <c r="F372" s="64">
        <f t="shared" ca="1" si="57"/>
        <v>-5.6998545761450838E-3</v>
      </c>
      <c r="G372">
        <f t="shared" ca="1" si="50"/>
        <v>1.9736328112665562E-2</v>
      </c>
      <c r="H372">
        <f t="shared" ca="1" si="58"/>
        <v>-1.0229405479307114</v>
      </c>
      <c r="I372">
        <f t="shared" ca="1" si="59"/>
        <v>2.7395360350512377</v>
      </c>
      <c r="J372" s="60">
        <v>367</v>
      </c>
    </row>
    <row r="373" spans="2:10" x14ac:dyDescent="0.25">
      <c r="B373" s="53">
        <v>40714</v>
      </c>
      <c r="C373">
        <v>241.38563740000001</v>
      </c>
      <c r="D373" s="54">
        <f t="shared" si="54"/>
        <v>-9.071731462861833E-4</v>
      </c>
      <c r="E373" s="54">
        <f t="shared" ca="1" si="55"/>
        <v>1.9265230566797623E-3</v>
      </c>
      <c r="F373" s="64">
        <f t="shared" ca="1" si="57"/>
        <v>-2.8336962029659454E-3</v>
      </c>
      <c r="G373">
        <f t="shared" ca="1" si="50"/>
        <v>1.7685417826789892E-2</v>
      </c>
      <c r="H373">
        <f t="shared" ca="1" si="58"/>
        <v>0.23923245309540636</v>
      </c>
      <c r="I373">
        <f t="shared" ca="1" si="59"/>
        <v>2.7635124045602542</v>
      </c>
      <c r="J373" s="57">
        <v>368</v>
      </c>
    </row>
    <row r="374" spans="2:10" x14ac:dyDescent="0.25">
      <c r="B374" s="53">
        <v>40715</v>
      </c>
      <c r="C374">
        <v>245.5799346</v>
      </c>
      <c r="D374" s="54">
        <f t="shared" si="54"/>
        <v>1.7375918655216534E-2</v>
      </c>
      <c r="E374" s="54">
        <f t="shared" ca="1" si="55"/>
        <v>-1.4718852476360877E-2</v>
      </c>
      <c r="F374" s="64">
        <f t="shared" ca="1" si="57"/>
        <v>3.209477113157741E-2</v>
      </c>
      <c r="G374">
        <f t="shared" ca="1" si="50"/>
        <v>5.7617194237763658E-3</v>
      </c>
      <c r="H374">
        <f t="shared" ca="1" si="58"/>
        <v>-0.16332526028826219</v>
      </c>
      <c r="I374">
        <f t="shared" ca="1" si="59"/>
        <v>1.9892184584519172</v>
      </c>
      <c r="J374" s="60">
        <v>369</v>
      </c>
    </row>
    <row r="375" spans="2:10" x14ac:dyDescent="0.25">
      <c r="B375" s="53">
        <v>40716</v>
      </c>
      <c r="C375">
        <v>242.59610369999999</v>
      </c>
      <c r="D375" s="54">
        <f t="shared" si="54"/>
        <v>-1.2150141276240959E-2</v>
      </c>
      <c r="E375" s="54">
        <f t="shared" ca="1" si="55"/>
        <v>-4.5847618275417223E-4</v>
      </c>
      <c r="F375" s="64">
        <f t="shared" ca="1" si="57"/>
        <v>-1.1691665093486786E-2</v>
      </c>
      <c r="G375">
        <f t="shared" ca="1" si="50"/>
        <v>3.1894283040517549E-3</v>
      </c>
      <c r="H375">
        <f t="shared" ca="1" si="58"/>
        <v>-1.6098810221473216E-2</v>
      </c>
      <c r="I375">
        <f t="shared" ca="1" si="59"/>
        <v>2.6465343724902128</v>
      </c>
      <c r="J375" s="57">
        <v>370</v>
      </c>
    </row>
    <row r="376" spans="2:10" x14ac:dyDescent="0.25">
      <c r="B376" s="53">
        <v>40717</v>
      </c>
      <c r="C376">
        <v>239.213774</v>
      </c>
      <c r="D376" s="54">
        <f t="shared" si="54"/>
        <v>-1.3942225981430656E-2</v>
      </c>
      <c r="E376" s="54">
        <f t="shared" ca="1" si="55"/>
        <v>6.9048102583219341E-3</v>
      </c>
      <c r="F376" s="64">
        <f t="shared" ca="1" si="57"/>
        <v>-2.0847036239752592E-2</v>
      </c>
      <c r="G376">
        <f t="shared" ca="1" si="50"/>
        <v>1.2718546133158959E-3</v>
      </c>
      <c r="H376">
        <f t="shared" ca="1" si="58"/>
        <v>-0.70672655724878708</v>
      </c>
      <c r="I376">
        <f t="shared" ca="1" si="59"/>
        <v>2.3923951102449021</v>
      </c>
      <c r="J376" s="60">
        <v>371</v>
      </c>
    </row>
    <row r="377" spans="2:10" x14ac:dyDescent="0.25">
      <c r="B377" s="53">
        <v>40718</v>
      </c>
      <c r="C377">
        <v>236.55375050000001</v>
      </c>
      <c r="D377" s="54">
        <f t="shared" si="54"/>
        <v>-1.1119859260278191E-2</v>
      </c>
      <c r="E377" s="54">
        <f t="shared" ca="1" si="55"/>
        <v>-1.5589152884985198E-2</v>
      </c>
      <c r="F377" s="64">
        <f t="shared" ca="1" si="57"/>
        <v>4.4692936247070075E-3</v>
      </c>
      <c r="G377">
        <f t="shared" ca="1" si="50"/>
        <v>1.184297268341533E-2</v>
      </c>
      <c r="H377">
        <f t="shared" ca="1" si="58"/>
        <v>-0.85553189118782647</v>
      </c>
      <c r="I377">
        <f t="shared" ca="1" si="59"/>
        <v>2.7646073782210703</v>
      </c>
      <c r="J377" s="57">
        <v>372</v>
      </c>
    </row>
    <row r="378" spans="2:10" x14ac:dyDescent="0.25">
      <c r="B378" s="53">
        <v>40721</v>
      </c>
      <c r="C378">
        <v>240.49896279999999</v>
      </c>
      <c r="D378" s="54">
        <f t="shared" si="54"/>
        <v>1.6677868313907711E-2</v>
      </c>
      <c r="E378" s="54">
        <f t="shared" ca="1" si="55"/>
        <v>1.7472231966103945E-2</v>
      </c>
      <c r="F378" s="64">
        <f t="shared" ca="1" si="57"/>
        <v>-7.9436365219623384E-4</v>
      </c>
      <c r="G378">
        <f t="shared" ca="1" si="50"/>
        <v>1.4567804366667323E-2</v>
      </c>
      <c r="H378">
        <f t="shared" ca="1" si="58"/>
        <v>1.6292198831793929</v>
      </c>
      <c r="I378">
        <f t="shared" ca="1" si="59"/>
        <v>2.772490180312587</v>
      </c>
      <c r="J378" s="60">
        <v>373</v>
      </c>
    </row>
    <row r="379" spans="2:10" x14ac:dyDescent="0.25">
      <c r="B379" s="53">
        <v>40722</v>
      </c>
      <c r="C379">
        <v>245.90371149999999</v>
      </c>
      <c r="D379" s="54">
        <f t="shared" si="54"/>
        <v>2.24730644867463E-2</v>
      </c>
      <c r="E379" s="54">
        <f t="shared" ca="1" si="55"/>
        <v>2.0469398045981916E-2</v>
      </c>
      <c r="F379" s="64">
        <f t="shared" ca="1" si="57"/>
        <v>2.0036664407643845E-3</v>
      </c>
      <c r="G379">
        <f t="shared" ca="1" si="50"/>
        <v>2.7414597859569987E-2</v>
      </c>
      <c r="H379">
        <f t="shared" ca="1" si="58"/>
        <v>0.92882128949794018</v>
      </c>
      <c r="I379">
        <f t="shared" ca="1" si="59"/>
        <v>2.7738733239705486</v>
      </c>
      <c r="J379" s="57">
        <v>374</v>
      </c>
    </row>
    <row r="380" spans="2:10" x14ac:dyDescent="0.25">
      <c r="B380" s="53">
        <v>40723</v>
      </c>
      <c r="C380">
        <v>247.85639739999999</v>
      </c>
      <c r="D380" s="54">
        <f t="shared" si="54"/>
        <v>7.9408557442615345E-3</v>
      </c>
      <c r="E380" s="54">
        <f t="shared" ca="1" si="55"/>
        <v>6.3255613644979808E-3</v>
      </c>
      <c r="F380" s="64">
        <f t="shared" ca="1" si="57"/>
        <v>1.6152943797635537E-3</v>
      </c>
      <c r="G380">
        <f t="shared" ca="1" si="50"/>
        <v>1.6744720801055178E-2</v>
      </c>
      <c r="H380">
        <f t="shared" ca="1" si="58"/>
        <v>-6.9585550506480257E-2</v>
      </c>
      <c r="I380">
        <f t="shared" ca="1" si="59"/>
        <v>2.7744373855463698</v>
      </c>
      <c r="J380" s="60">
        <v>375</v>
      </c>
    </row>
    <row r="381" spans="2:10" x14ac:dyDescent="0.25">
      <c r="B381" s="53">
        <v>40724</v>
      </c>
      <c r="C381">
        <v>252.24495450000001</v>
      </c>
      <c r="D381" s="54">
        <f t="shared" si="54"/>
        <v>1.7706047316251416E-2</v>
      </c>
      <c r="E381" s="54">
        <f t="shared" ca="1" si="55"/>
        <v>8.9473560876367157E-3</v>
      </c>
      <c r="F381" s="64">
        <f t="shared" ca="1" si="57"/>
        <v>8.7586912286147008E-3</v>
      </c>
      <c r="G381">
        <f t="shared" ca="1" si="50"/>
        <v>4.1133884481902531E-3</v>
      </c>
      <c r="H381">
        <f t="shared" ca="1" si="58"/>
        <v>-0.27857425466103908</v>
      </c>
      <c r="I381">
        <f t="shared" ca="1" si="59"/>
        <v>2.725079454714848</v>
      </c>
      <c r="J381" s="57">
        <v>376</v>
      </c>
    </row>
    <row r="382" spans="2:10" x14ac:dyDescent="0.25">
      <c r="B382" s="53">
        <v>40725</v>
      </c>
      <c r="C382">
        <v>259.5426205</v>
      </c>
      <c r="D382" s="54">
        <f t="shared" si="54"/>
        <v>2.8930870052348231E-2</v>
      </c>
      <c r="E382" s="54">
        <f t="shared" ca="1" si="55"/>
        <v>7.3745979201904951E-3</v>
      </c>
      <c r="F382" s="64">
        <f t="shared" ca="1" si="57"/>
        <v>2.1556272132157737E-2</v>
      </c>
      <c r="G382">
        <f t="shared" ca="1" si="50"/>
        <v>4.8494009630606879E-3</v>
      </c>
      <c r="H382">
        <f t="shared" ca="1" si="58"/>
        <v>0.78523006351252589</v>
      </c>
      <c r="I382">
        <f t="shared" ca="1" si="59"/>
        <v>2.4304868111135374</v>
      </c>
      <c r="J382" s="60">
        <v>377</v>
      </c>
    </row>
    <row r="383" spans="2:10" x14ac:dyDescent="0.25">
      <c r="B383" s="53">
        <v>40729</v>
      </c>
      <c r="C383">
        <v>265.22631519999999</v>
      </c>
      <c r="D383" s="54">
        <f t="shared" si="54"/>
        <v>2.1898887701181969E-2</v>
      </c>
      <c r="E383" s="54">
        <f t="shared" ca="1" si="55"/>
        <v>2.7135447827159001E-2</v>
      </c>
      <c r="F383" s="64">
        <f t="shared" ca="1" si="57"/>
        <v>-5.2365601259770321E-3</v>
      </c>
      <c r="G383">
        <f t="shared" ca="1" si="50"/>
        <v>1.3191831198165241E-2</v>
      </c>
      <c r="H383">
        <f t="shared" ca="1" si="58"/>
        <v>1.4541429833615274</v>
      </c>
      <c r="I383">
        <f t="shared" ca="1" si="59"/>
        <v>2.7443110007080831</v>
      </c>
      <c r="J383" s="57">
        <v>378</v>
      </c>
    </row>
    <row r="384" spans="2:10" x14ac:dyDescent="0.25">
      <c r="B384" s="53">
        <v>40730</v>
      </c>
      <c r="C384">
        <v>266.68087709999998</v>
      </c>
      <c r="D384" s="54">
        <f t="shared" si="54"/>
        <v>5.4842291908445877E-3</v>
      </c>
      <c r="E384" s="54">
        <f t="shared" ca="1" si="55"/>
        <v>2.1899493573695025E-2</v>
      </c>
      <c r="F384" s="64">
        <f t="shared" ca="1" si="57"/>
        <v>-1.6415264382850438E-2</v>
      </c>
      <c r="G384">
        <f t="shared" ca="1" si="50"/>
        <v>2.4478100400484579E-2</v>
      </c>
      <c r="H384">
        <f t="shared" ca="1" si="58"/>
        <v>0.36382247212648511</v>
      </c>
      <c r="I384">
        <f t="shared" ca="1" si="59"/>
        <v>2.5323263781647265</v>
      </c>
      <c r="J384" s="60">
        <v>379</v>
      </c>
    </row>
    <row r="385" spans="2:10" x14ac:dyDescent="0.25">
      <c r="B385" s="53">
        <v>40731</v>
      </c>
      <c r="C385">
        <v>272.2798856</v>
      </c>
      <c r="D385" s="54">
        <f t="shared" si="54"/>
        <v>2.0995163061131337E-2</v>
      </c>
      <c r="E385" s="54">
        <f t="shared" ca="1" si="55"/>
        <v>1.9556746603808361E-3</v>
      </c>
      <c r="F385" s="64">
        <f t="shared" ca="1" si="57"/>
        <v>1.9039488400750502E-2</v>
      </c>
      <c r="G385">
        <f t="shared" ca="1" si="50"/>
        <v>8.3064088334609109E-3</v>
      </c>
      <c r="H385">
        <f t="shared" ca="1" si="58"/>
        <v>-0.9486228135268161</v>
      </c>
      <c r="I385">
        <f t="shared" ca="1" si="59"/>
        <v>2.5093250546128485</v>
      </c>
      <c r="J385" s="57">
        <v>380</v>
      </c>
    </row>
    <row r="386" spans="2:10" x14ac:dyDescent="0.25">
      <c r="B386" s="53">
        <v>40732</v>
      </c>
      <c r="C386">
        <v>265.00216330000001</v>
      </c>
      <c r="D386" s="54">
        <f t="shared" si="54"/>
        <v>-2.6728828256860387E-2</v>
      </c>
      <c r="E386" s="54">
        <f t="shared" ca="1" si="55"/>
        <v>2.0836174091447258E-2</v>
      </c>
      <c r="F386" s="64">
        <f t="shared" ca="1" si="57"/>
        <v>-4.7565002348307642E-2</v>
      </c>
      <c r="G386">
        <f t="shared" ca="1" si="50"/>
        <v>1.5978568322863398E-2</v>
      </c>
      <c r="H386">
        <f t="shared" ca="1" si="58"/>
        <v>1.1498361261629684</v>
      </c>
      <c r="I386">
        <f t="shared" ca="1" si="59"/>
        <v>0.87642701650146693</v>
      </c>
      <c r="J386" s="60">
        <v>381</v>
      </c>
    </row>
    <row r="387" spans="2:10" x14ac:dyDescent="0.25">
      <c r="B387" s="53">
        <v>40735</v>
      </c>
      <c r="C387">
        <v>262.65596799999997</v>
      </c>
      <c r="D387" s="54">
        <f t="shared" si="54"/>
        <v>-8.8534948952246287E-3</v>
      </c>
      <c r="E387" s="54">
        <f t="shared" ca="1" si="55"/>
        <v>4.3371621654419001E-3</v>
      </c>
      <c r="F387" s="64">
        <f t="shared" ca="1" si="57"/>
        <v>-1.3190657060666529E-2</v>
      </c>
      <c r="G387">
        <f t="shared" ca="1" si="50"/>
        <v>1.9560795997433961E-2</v>
      </c>
      <c r="H387">
        <f t="shared" ca="1" si="58"/>
        <v>-0.26030256818976871</v>
      </c>
      <c r="I387">
        <f t="shared" ca="1" si="59"/>
        <v>2.6141964797100052</v>
      </c>
      <c r="J387" s="57">
        <v>382</v>
      </c>
    </row>
    <row r="388" spans="2:10" x14ac:dyDescent="0.25">
      <c r="B388" s="53">
        <v>40736</v>
      </c>
      <c r="C388">
        <v>266.00839070000001</v>
      </c>
      <c r="D388" s="54">
        <f t="shared" si="54"/>
        <v>1.2763550455476549E-2</v>
      </c>
      <c r="E388" s="54">
        <f t="shared" ca="1" si="55"/>
        <v>-1.2334111360736304E-2</v>
      </c>
      <c r="F388" s="64">
        <f t="shared" ca="1" si="57"/>
        <v>2.5097661816212855E-2</v>
      </c>
      <c r="G388">
        <f t="shared" ca="1" si="50"/>
        <v>6.305193335775592E-3</v>
      </c>
      <c r="H388">
        <f t="shared" ca="1" si="58"/>
        <v>-5.2259567833734026E-2</v>
      </c>
      <c r="I388">
        <f t="shared" ca="1" si="59"/>
        <v>2.3022203588983285</v>
      </c>
      <c r="J388" s="60">
        <v>383</v>
      </c>
    </row>
    <row r="389" spans="2:10" x14ac:dyDescent="0.25">
      <c r="B389" s="53">
        <v>40737</v>
      </c>
      <c r="C389">
        <v>268.12545999999998</v>
      </c>
      <c r="D389" s="54">
        <f t="shared" si="54"/>
        <v>7.9586560951288386E-3</v>
      </c>
      <c r="E389" s="54">
        <f t="shared" ca="1" si="55"/>
        <v>-3.3842253819529535E-3</v>
      </c>
      <c r="F389" s="64">
        <f t="shared" ca="1" si="57"/>
        <v>1.1342881477081792E-2</v>
      </c>
      <c r="G389">
        <f t="shared" ref="G389:G452" ca="1" si="60">SQRT(A_0+A_1*POWER(H388,2)+B_1*POWER(G388,2))</f>
        <v>1.9600558901431901E-3</v>
      </c>
      <c r="H389">
        <f t="shared" ca="1" si="58"/>
        <v>0.30194880633982768</v>
      </c>
      <c r="I389">
        <f t="shared" ca="1" si="59"/>
        <v>2.6869154605028958</v>
      </c>
      <c r="J389" s="57">
        <v>384</v>
      </c>
    </row>
    <row r="390" spans="2:10" x14ac:dyDescent="0.25">
      <c r="B390" s="53">
        <v>40738</v>
      </c>
      <c r="C390">
        <v>263.48284310000003</v>
      </c>
      <c r="D390" s="54">
        <f t="shared" si="54"/>
        <v>-1.7315091599283228E-2</v>
      </c>
      <c r="E390" s="54">
        <f t="shared" ca="1" si="55"/>
        <v>3.2632886172066951E-4</v>
      </c>
      <c r="F390" s="64">
        <f t="shared" ca="1" si="57"/>
        <v>-1.76414204610039E-2</v>
      </c>
      <c r="G390">
        <f t="shared" ca="1" si="60"/>
        <v>5.1593059505972514E-3</v>
      </c>
      <c r="H390">
        <f t="shared" ca="1" si="58"/>
        <v>-1.0478491657983768</v>
      </c>
      <c r="I390">
        <f t="shared" ca="1" si="59"/>
        <v>2.4967864541673142</v>
      </c>
      <c r="J390" s="60">
        <v>385</v>
      </c>
    </row>
    <row r="391" spans="2:10" x14ac:dyDescent="0.25">
      <c r="B391" s="53">
        <v>40739</v>
      </c>
      <c r="C391">
        <v>297.69469370000002</v>
      </c>
      <c r="D391" s="54">
        <f t="shared" ref="D391:D454" si="61">(C391-C390)/C390</f>
        <v>0.12984469955417749</v>
      </c>
      <c r="E391" s="54">
        <f t="shared" ca="1" si="55"/>
        <v>-8.5038850649867912E-3</v>
      </c>
      <c r="F391" s="64">
        <f t="shared" ca="1" si="57"/>
        <v>0.13834858461916427</v>
      </c>
      <c r="G391">
        <f t="shared" ca="1" si="60"/>
        <v>1.7558705661912487E-2</v>
      </c>
      <c r="H391">
        <f t="shared" ca="1" si="58"/>
        <v>-0.68786269043524007</v>
      </c>
      <c r="I391">
        <f t="shared" ca="1" si="59"/>
        <v>-12.485270133140128</v>
      </c>
      <c r="J391" s="57">
        <v>386</v>
      </c>
    </row>
    <row r="392" spans="2:10" x14ac:dyDescent="0.25">
      <c r="B392" s="53">
        <v>40742</v>
      </c>
      <c r="C392">
        <v>296.35966969999998</v>
      </c>
      <c r="D392" s="54">
        <f t="shared" si="61"/>
        <v>-4.4845408005336996E-3</v>
      </c>
      <c r="E392" s="54">
        <f t="shared" ref="E392:E455" ca="1" si="62">((E_1*D391)+(E_2*D390)+(G392*H392))</f>
        <v>-2.3272221022210479E-5</v>
      </c>
      <c r="F392" s="64">
        <f t="shared" ca="1" si="57"/>
        <v>-4.4612685795114891E-3</v>
      </c>
      <c r="G392">
        <f t="shared" ca="1" si="60"/>
        <v>1.2200221342950899E-2</v>
      </c>
      <c r="H392">
        <f t="shared" ca="1" si="58"/>
        <v>0.63531999268181205</v>
      </c>
      <c r="I392">
        <f t="shared" ca="1" si="59"/>
        <v>2.7515258047972417</v>
      </c>
      <c r="J392" s="60">
        <v>387</v>
      </c>
    </row>
    <row r="393" spans="2:10" x14ac:dyDescent="0.25">
      <c r="B393" s="53">
        <v>40743</v>
      </c>
      <c r="C393">
        <v>300.15047779999998</v>
      </c>
      <c r="D393" s="54">
        <f t="shared" si="61"/>
        <v>1.2791241479778153E-2</v>
      </c>
      <c r="E393" s="54">
        <f t="shared" ca="1" si="62"/>
        <v>3.9773123975282682E-2</v>
      </c>
      <c r="F393" s="64">
        <f t="shared" ref="F393:F456" ca="1" si="63">D393-E393</f>
        <v>-2.6981882495504528E-2</v>
      </c>
      <c r="G393">
        <f t="shared" ca="1" si="60"/>
        <v>1.100902166609989E-2</v>
      </c>
      <c r="H393">
        <f t="shared" ref="H393:H456" ca="1" si="64">_xlfn.NORM.INV(RAND(),0,1)</f>
        <v>-1.6843144152454779</v>
      </c>
      <c r="I393">
        <f t="shared" ref="I393:I456" ca="1" si="65">LN(_xlfn.NORM.DIST(F393,AVERAGE($F$8:$F$1413),_xlfn.STDEV.S($F$8:$F$1413),FALSE))</f>
        <v>2.1463198695155916</v>
      </c>
      <c r="J393" s="57">
        <v>388</v>
      </c>
    </row>
    <row r="394" spans="2:10" x14ac:dyDescent="0.25">
      <c r="B394" s="53">
        <v>40744</v>
      </c>
      <c r="C394">
        <v>296.56392410000001</v>
      </c>
      <c r="D394" s="54">
        <f t="shared" si="61"/>
        <v>-1.194918537624253E-2</v>
      </c>
      <c r="E394" s="54">
        <f t="shared" ca="1" si="62"/>
        <v>3.8730681154750023E-3</v>
      </c>
      <c r="F394" s="64">
        <f t="shared" ca="1" si="63"/>
        <v>-1.5822253491717533E-2</v>
      </c>
      <c r="G394">
        <f t="shared" ca="1" si="60"/>
        <v>2.8243544356874924E-2</v>
      </c>
      <c r="H394">
        <f t="shared" ca="1" si="64"/>
        <v>0.20843505670521834</v>
      </c>
      <c r="I394">
        <f t="shared" ca="1" si="65"/>
        <v>2.5486431734808761</v>
      </c>
      <c r="J394" s="60">
        <v>389</v>
      </c>
    </row>
    <row r="395" spans="2:10" x14ac:dyDescent="0.25">
      <c r="B395" s="53">
        <v>40745</v>
      </c>
      <c r="C395">
        <v>302.36218229999997</v>
      </c>
      <c r="D395" s="54">
        <f t="shared" si="61"/>
        <v>1.9551461687716331E-2</v>
      </c>
      <c r="E395" s="54">
        <f t="shared" ca="1" si="62"/>
        <v>5.6630830235069613E-3</v>
      </c>
      <c r="F395" s="64">
        <f t="shared" ca="1" si="63"/>
        <v>1.388837866420937E-2</v>
      </c>
      <c r="G395">
        <f t="shared" ca="1" si="60"/>
        <v>7.3841950977154031E-3</v>
      </c>
      <c r="H395">
        <f t="shared" ca="1" si="64"/>
        <v>-1.103895359259348E-2</v>
      </c>
      <c r="I395">
        <f t="shared" ca="1" si="65"/>
        <v>2.6387739860952912</v>
      </c>
      <c r="J395" s="57">
        <v>390</v>
      </c>
    </row>
    <row r="396" spans="2:10" x14ac:dyDescent="0.25">
      <c r="B396" s="53">
        <v>40746</v>
      </c>
      <c r="C396">
        <v>307.96122120000001</v>
      </c>
      <c r="D396" s="54">
        <f t="shared" si="61"/>
        <v>1.8517656068657233E-2</v>
      </c>
      <c r="E396" s="54">
        <f t="shared" ca="1" si="62"/>
        <v>-6.6647432419559977E-3</v>
      </c>
      <c r="F396" s="64">
        <f t="shared" ca="1" si="63"/>
        <v>2.5182399310613231E-2</v>
      </c>
      <c r="G396">
        <f t="shared" ca="1" si="60"/>
        <v>1.9701670506605852E-3</v>
      </c>
      <c r="H396">
        <f t="shared" ca="1" si="64"/>
        <v>-0.65906173071093921</v>
      </c>
      <c r="I396">
        <f t="shared" ca="1" si="65"/>
        <v>2.2989029962158698</v>
      </c>
      <c r="J396" s="60">
        <v>391</v>
      </c>
    </row>
    <row r="397" spans="2:10" x14ac:dyDescent="0.25">
      <c r="B397" s="53">
        <v>40749</v>
      </c>
      <c r="C397">
        <v>308.33481840000002</v>
      </c>
      <c r="D397" s="54">
        <f t="shared" si="61"/>
        <v>1.2131306615302058E-3</v>
      </c>
      <c r="E397" s="54">
        <f t="shared" ca="1" si="62"/>
        <v>1.0062023462503358E-2</v>
      </c>
      <c r="F397" s="64">
        <f t="shared" ca="1" si="63"/>
        <v>-8.848892800973153E-3</v>
      </c>
      <c r="G397">
        <f t="shared" ca="1" si="60"/>
        <v>1.1056041846444454E-2</v>
      </c>
      <c r="H397">
        <f t="shared" ca="1" si="64"/>
        <v>0.11584175680492789</v>
      </c>
      <c r="I397">
        <f t="shared" ca="1" si="65"/>
        <v>2.6978904498622165</v>
      </c>
      <c r="J397" s="57">
        <v>392</v>
      </c>
    </row>
    <row r="398" spans="2:10" x14ac:dyDescent="0.25">
      <c r="B398" s="53">
        <v>40750</v>
      </c>
      <c r="C398">
        <v>310.09821820000002</v>
      </c>
      <c r="D398" s="54">
        <f t="shared" si="61"/>
        <v>5.7191069407943381E-3</v>
      </c>
      <c r="E398" s="54">
        <f t="shared" ca="1" si="62"/>
        <v>7.9687126739334466E-3</v>
      </c>
      <c r="F398" s="64">
        <f t="shared" ca="1" si="63"/>
        <v>-2.2496057331391085E-3</v>
      </c>
      <c r="G398">
        <f t="shared" ca="1" si="60"/>
        <v>3.3317920512253088E-3</v>
      </c>
      <c r="H398">
        <f t="shared" ca="1" si="64"/>
        <v>-0.10443582503286312</v>
      </c>
      <c r="I398">
        <f t="shared" ca="1" si="65"/>
        <v>2.7667704402669036</v>
      </c>
      <c r="J398" s="60">
        <v>393</v>
      </c>
    </row>
    <row r="399" spans="2:10" x14ac:dyDescent="0.25">
      <c r="B399" s="53">
        <v>40751</v>
      </c>
      <c r="C399">
        <v>302.47677579999998</v>
      </c>
      <c r="D399" s="54">
        <f t="shared" si="61"/>
        <v>-2.4577511100320262E-2</v>
      </c>
      <c r="E399" s="54">
        <f t="shared" ca="1" si="62"/>
        <v>-1.192779186685756E-3</v>
      </c>
      <c r="F399" s="64">
        <f t="shared" ca="1" si="63"/>
        <v>-2.3384731913634507E-2</v>
      </c>
      <c r="G399">
        <f t="shared" ca="1" si="60"/>
        <v>2.1522864536321074E-3</v>
      </c>
      <c r="H399">
        <f t="shared" ca="1" si="64"/>
        <v>-0.80738278168050492</v>
      </c>
      <c r="I399">
        <f t="shared" ca="1" si="65"/>
        <v>2.2979800875472383</v>
      </c>
      <c r="J399" s="57">
        <v>394</v>
      </c>
    </row>
    <row r="400" spans="2:10" x14ac:dyDescent="0.25">
      <c r="B400" s="53">
        <v>40752</v>
      </c>
      <c r="C400">
        <v>304.32980670000001</v>
      </c>
      <c r="D400" s="54">
        <f t="shared" si="61"/>
        <v>6.1261923170764692E-3</v>
      </c>
      <c r="E400" s="54">
        <f t="shared" ca="1" si="62"/>
        <v>1.0819329301859061E-2</v>
      </c>
      <c r="F400" s="64">
        <f t="shared" ca="1" si="63"/>
        <v>-4.6931369847825919E-3</v>
      </c>
      <c r="G400">
        <f t="shared" ca="1" si="60"/>
        <v>1.3523081301897583E-2</v>
      </c>
      <c r="H400">
        <f t="shared" ca="1" si="64"/>
        <v>0.61015586625257257</v>
      </c>
      <c r="I400">
        <f t="shared" ca="1" si="65"/>
        <v>2.7494698494415291</v>
      </c>
      <c r="J400" s="60">
        <v>395</v>
      </c>
    </row>
    <row r="401" spans="2:10" x14ac:dyDescent="0.25">
      <c r="B401" s="53">
        <v>40753</v>
      </c>
      <c r="C401">
        <v>300.7183503</v>
      </c>
      <c r="D401" s="54">
        <f t="shared" si="61"/>
        <v>-1.1866916484983291E-2</v>
      </c>
      <c r="E401" s="54">
        <f t="shared" ca="1" si="62"/>
        <v>-3.461630612081993E-3</v>
      </c>
      <c r="F401" s="64">
        <f t="shared" ca="1" si="63"/>
        <v>-8.4052858729012983E-3</v>
      </c>
      <c r="G401">
        <f t="shared" ca="1" si="60"/>
        <v>1.0687976512617473E-2</v>
      </c>
      <c r="H401">
        <f t="shared" ca="1" si="64"/>
        <v>0.70888219920922213</v>
      </c>
      <c r="I401">
        <f t="shared" ca="1" si="65"/>
        <v>2.7047266580773561</v>
      </c>
      <c r="J401" s="57">
        <v>396</v>
      </c>
    </row>
    <row r="402" spans="2:10" x14ac:dyDescent="0.25">
      <c r="B402" s="53">
        <v>40756</v>
      </c>
      <c r="C402">
        <v>302.25259360000001</v>
      </c>
      <c r="D402" s="54">
        <f t="shared" si="61"/>
        <v>5.1019277622048531E-3</v>
      </c>
      <c r="E402" s="54">
        <f t="shared" ca="1" si="62"/>
        <v>5.295914283589857E-3</v>
      </c>
      <c r="F402" s="64">
        <f t="shared" ca="1" si="63"/>
        <v>-1.9398652138500391E-4</v>
      </c>
      <c r="G402">
        <f t="shared" ca="1" si="60"/>
        <v>1.2122355969867741E-2</v>
      </c>
      <c r="H402">
        <f t="shared" ca="1" si="64"/>
        <v>0.20991984815241693</v>
      </c>
      <c r="I402">
        <f t="shared" ca="1" si="65"/>
        <v>2.7738528899109274</v>
      </c>
      <c r="J402" s="60">
        <v>397</v>
      </c>
    </row>
    <row r="403" spans="2:10" x14ac:dyDescent="0.25">
      <c r="B403" s="53">
        <v>40757</v>
      </c>
      <c r="C403">
        <v>295.09440869999997</v>
      </c>
      <c r="D403" s="54">
        <f t="shared" si="61"/>
        <v>-2.3682790657780603E-2</v>
      </c>
      <c r="E403" s="54">
        <f t="shared" ca="1" si="62"/>
        <v>3.6625293042629745E-3</v>
      </c>
      <c r="F403" s="64">
        <f t="shared" ca="1" si="63"/>
        <v>-2.7345319962043577E-2</v>
      </c>
      <c r="G403">
        <f t="shared" ca="1" si="60"/>
        <v>4.5740828117824374E-3</v>
      </c>
      <c r="H403">
        <f t="shared" ca="1" si="64"/>
        <v>1.9658829144378951</v>
      </c>
      <c r="I403">
        <f t="shared" ca="1" si="65"/>
        <v>2.1298340304778192</v>
      </c>
      <c r="J403" s="57">
        <v>398</v>
      </c>
    </row>
    <row r="404" spans="2:10" x14ac:dyDescent="0.25">
      <c r="B404" s="53">
        <v>40758</v>
      </c>
      <c r="C404">
        <v>299.4630684</v>
      </c>
      <c r="D404" s="54">
        <f t="shared" si="61"/>
        <v>1.4804278126602214E-2</v>
      </c>
      <c r="E404" s="54">
        <f t="shared" ca="1" si="62"/>
        <v>-1.25722110155032E-3</v>
      </c>
      <c r="F404" s="64">
        <f t="shared" ca="1" si="63"/>
        <v>1.6061499228152535E-2</v>
      </c>
      <c r="G404">
        <f t="shared" ca="1" si="60"/>
        <v>3.2845725163510683E-2</v>
      </c>
      <c r="H404">
        <f t="shared" ca="1" si="64"/>
        <v>-0.10802595736635452</v>
      </c>
      <c r="I404">
        <f t="shared" ca="1" si="65"/>
        <v>2.5893910003532699</v>
      </c>
      <c r="J404" s="60">
        <v>399</v>
      </c>
    </row>
    <row r="405" spans="2:10" x14ac:dyDescent="0.25">
      <c r="B405" s="53">
        <v>40759</v>
      </c>
      <c r="C405">
        <v>287.68219499999998</v>
      </c>
      <c r="D405" s="54">
        <f t="shared" si="61"/>
        <v>-3.9339987608301749E-2</v>
      </c>
      <c r="E405" s="54">
        <f t="shared" ca="1" si="62"/>
        <v>-1.9220151195759802E-2</v>
      </c>
      <c r="F405" s="64">
        <f t="shared" ca="1" si="63"/>
        <v>-2.0119836412541947E-2</v>
      </c>
      <c r="G405">
        <f t="shared" ca="1" si="60"/>
        <v>7.7631330682763535E-3</v>
      </c>
      <c r="H405">
        <f t="shared" ca="1" si="64"/>
        <v>-1.1057379329886201</v>
      </c>
      <c r="I405">
        <f t="shared" ca="1" si="65"/>
        <v>2.4175325139727604</v>
      </c>
      <c r="J405" s="57">
        <v>400</v>
      </c>
    </row>
    <row r="406" spans="2:10" x14ac:dyDescent="0.25">
      <c r="B406" s="53">
        <v>40760</v>
      </c>
      <c r="C406">
        <v>288.43936789999998</v>
      </c>
      <c r="D406" s="54">
        <f t="shared" si="61"/>
        <v>2.6319769285686957E-3</v>
      </c>
      <c r="E406" s="54">
        <f t="shared" ca="1" si="62"/>
        <v>2.0384317902519385E-2</v>
      </c>
      <c r="F406" s="64">
        <f t="shared" ca="1" si="63"/>
        <v>-1.7752340973950689E-2</v>
      </c>
      <c r="G406">
        <f t="shared" ca="1" si="60"/>
        <v>1.8568478314298465E-2</v>
      </c>
      <c r="H406">
        <f t="shared" ca="1" si="64"/>
        <v>0.73975356635131206</v>
      </c>
      <c r="I406">
        <f t="shared" ca="1" si="65"/>
        <v>2.4934516268141209</v>
      </c>
      <c r="J406" s="60">
        <v>401</v>
      </c>
    </row>
    <row r="407" spans="2:10" x14ac:dyDescent="0.25">
      <c r="B407" s="53">
        <v>40763</v>
      </c>
      <c r="C407">
        <v>271.99097560000001</v>
      </c>
      <c r="D407" s="54">
        <f t="shared" si="61"/>
        <v>-5.7025476167672493E-2</v>
      </c>
      <c r="E407" s="54">
        <f t="shared" ca="1" si="62"/>
        <v>-1.3875238975407498E-2</v>
      </c>
      <c r="F407" s="64">
        <f t="shared" ca="1" si="63"/>
        <v>-4.3150237192264997E-2</v>
      </c>
      <c r="G407">
        <f t="shared" ca="1" si="60"/>
        <v>1.309115469036581E-2</v>
      </c>
      <c r="H407">
        <f t="shared" ca="1" si="64"/>
        <v>0.28974464877409256</v>
      </c>
      <c r="I407">
        <f t="shared" ca="1" si="65"/>
        <v>1.206465344926688</v>
      </c>
      <c r="J407" s="57">
        <v>402</v>
      </c>
    </row>
    <row r="408" spans="2:10" x14ac:dyDescent="0.25">
      <c r="B408" s="53">
        <v>40764</v>
      </c>
      <c r="C408">
        <v>285.63485839999998</v>
      </c>
      <c r="D408" s="54">
        <f t="shared" si="61"/>
        <v>5.016299812853045E-2</v>
      </c>
      <c r="E408" s="54">
        <f t="shared" ca="1" si="62"/>
        <v>1.8184923868083281E-3</v>
      </c>
      <c r="F408" s="64">
        <f t="shared" ca="1" si="63"/>
        <v>4.8344505741722124E-2</v>
      </c>
      <c r="G408">
        <f t="shared" ca="1" si="60"/>
        <v>5.7708404452519691E-3</v>
      </c>
      <c r="H408">
        <f t="shared" ca="1" si="64"/>
        <v>0.11045212340113936</v>
      </c>
      <c r="I408">
        <f t="shared" ca="1" si="65"/>
        <v>0.95713982967895872</v>
      </c>
      <c r="J408" s="60">
        <v>403</v>
      </c>
    </row>
    <row r="409" spans="2:10" x14ac:dyDescent="0.25">
      <c r="B409" s="53">
        <v>40765</v>
      </c>
      <c r="C409">
        <v>273.48038839999998</v>
      </c>
      <c r="D409" s="54">
        <f t="shared" si="61"/>
        <v>-4.2552474400652511E-2</v>
      </c>
      <c r="E409" s="54">
        <f t="shared" ca="1" si="62"/>
        <v>-3.234477668721579E-2</v>
      </c>
      <c r="F409" s="64">
        <f t="shared" ca="1" si="63"/>
        <v>-1.0207697713436721E-2</v>
      </c>
      <c r="G409">
        <f t="shared" ca="1" si="60"/>
        <v>2.4788947974777719E-3</v>
      </c>
      <c r="H409">
        <f t="shared" ca="1" si="64"/>
        <v>-2.7166774893659107</v>
      </c>
      <c r="I409">
        <f t="shared" ca="1" si="65"/>
        <v>2.6749719884587</v>
      </c>
      <c r="J409" s="57">
        <v>404</v>
      </c>
    </row>
    <row r="410" spans="2:10" x14ac:dyDescent="0.25">
      <c r="B410" s="53">
        <v>40766</v>
      </c>
      <c r="C410">
        <v>280.01592210000001</v>
      </c>
      <c r="D410" s="54">
        <f t="shared" si="61"/>
        <v>2.3897632068742632E-2</v>
      </c>
      <c r="E410" s="54">
        <f t="shared" ca="1" si="62"/>
        <v>4.8849050010008943E-2</v>
      </c>
      <c r="F410" s="64">
        <f t="shared" ca="1" si="63"/>
        <v>-2.4951417941266311E-2</v>
      </c>
      <c r="G410">
        <f t="shared" ca="1" si="60"/>
        <v>4.536037050040842E-2</v>
      </c>
      <c r="H410">
        <f t="shared" ca="1" si="64"/>
        <v>0.58025487673965759</v>
      </c>
      <c r="I410">
        <f t="shared" ca="1" si="65"/>
        <v>2.234496641007115</v>
      </c>
      <c r="J410" s="60">
        <v>405</v>
      </c>
    </row>
    <row r="411" spans="2:10" x14ac:dyDescent="0.25">
      <c r="B411" s="53">
        <v>40767</v>
      </c>
      <c r="C411">
        <v>280.83284850000001</v>
      </c>
      <c r="D411" s="54">
        <f t="shared" si="61"/>
        <v>2.917428387190986E-3</v>
      </c>
      <c r="E411" s="54">
        <f t="shared" ca="1" si="62"/>
        <v>-1.9038231004773074E-2</v>
      </c>
      <c r="F411" s="64">
        <f t="shared" ca="1" si="63"/>
        <v>2.1955659391964061E-2</v>
      </c>
      <c r="G411">
        <f t="shared" ca="1" si="60"/>
        <v>1.4199372923065773E-2</v>
      </c>
      <c r="H411">
        <f t="shared" ca="1" si="64"/>
        <v>5.1076668732491148E-3</v>
      </c>
      <c r="I411">
        <f t="shared" ca="1" si="65"/>
        <v>2.4170350894775954</v>
      </c>
      <c r="J411" s="57">
        <v>406</v>
      </c>
    </row>
    <row r="412" spans="2:10" x14ac:dyDescent="0.25">
      <c r="B412" s="53">
        <v>40770</v>
      </c>
      <c r="C412">
        <v>277.57506100000001</v>
      </c>
      <c r="D412" s="54">
        <f t="shared" si="61"/>
        <v>-1.1600450294189877E-2</v>
      </c>
      <c r="E412" s="54">
        <f t="shared" ca="1" si="62"/>
        <v>5.0028045509548074E-3</v>
      </c>
      <c r="F412" s="64">
        <f t="shared" ca="1" si="63"/>
        <v>-1.6603254845144685E-2</v>
      </c>
      <c r="G412">
        <f t="shared" ca="1" si="60"/>
        <v>3.3896794900515649E-3</v>
      </c>
      <c r="H412">
        <f t="shared" ca="1" si="64"/>
        <v>-1.6904698324265952</v>
      </c>
      <c r="I412">
        <f t="shared" ca="1" si="65"/>
        <v>2.5270351758663683</v>
      </c>
      <c r="J412" s="60">
        <v>407</v>
      </c>
    </row>
    <row r="413" spans="2:10" x14ac:dyDescent="0.25">
      <c r="B413" s="53">
        <v>40771</v>
      </c>
      <c r="C413">
        <v>268.4940823</v>
      </c>
      <c r="D413" s="54">
        <f t="shared" si="61"/>
        <v>-3.2715398376513383E-2</v>
      </c>
      <c r="E413" s="54">
        <f t="shared" ca="1" si="62"/>
        <v>-3.223468843235059E-2</v>
      </c>
      <c r="F413" s="64">
        <f t="shared" ca="1" si="63"/>
        <v>-4.8070994416279239E-4</v>
      </c>
      <c r="G413">
        <f t="shared" ca="1" si="60"/>
        <v>2.8245193199629329E-2</v>
      </c>
      <c r="H413">
        <f t="shared" ca="1" si="64"/>
        <v>-1.187627353060644</v>
      </c>
      <c r="I413">
        <f t="shared" ca="1" si="65"/>
        <v>2.7732747513833371</v>
      </c>
      <c r="J413" s="57">
        <v>408</v>
      </c>
    </row>
    <row r="414" spans="2:10" x14ac:dyDescent="0.25">
      <c r="B414" s="53">
        <v>40772</v>
      </c>
      <c r="C414">
        <v>265.57998400000002</v>
      </c>
      <c r="D414" s="54">
        <f t="shared" si="61"/>
        <v>-1.0853491723307072E-2</v>
      </c>
      <c r="E414" s="54">
        <f t="shared" ca="1" si="62"/>
        <v>-3.2595626008723629E-2</v>
      </c>
      <c r="F414" s="64">
        <f t="shared" ca="1" si="63"/>
        <v>2.1742134285416555E-2</v>
      </c>
      <c r="G414">
        <f t="shared" ca="1" si="60"/>
        <v>2.0866077825085528E-2</v>
      </c>
      <c r="H414">
        <f t="shared" ca="1" si="64"/>
        <v>-1.3124204689024888</v>
      </c>
      <c r="I414">
        <f t="shared" ca="1" si="65"/>
        <v>2.4242588683605106</v>
      </c>
      <c r="J414" s="60">
        <v>409</v>
      </c>
    </row>
    <row r="415" spans="2:10" x14ac:dyDescent="0.25">
      <c r="B415" s="53">
        <v>40773</v>
      </c>
      <c r="C415">
        <v>251.49776109999999</v>
      </c>
      <c r="D415" s="54">
        <f t="shared" si="61"/>
        <v>-5.3024413541647143E-2</v>
      </c>
      <c r="E415" s="54">
        <f t="shared" ca="1" si="62"/>
        <v>-1.0574470119632062E-2</v>
      </c>
      <c r="F415" s="64">
        <f t="shared" ca="1" si="63"/>
        <v>-4.244994342201508E-2</v>
      </c>
      <c r="G415">
        <f t="shared" ca="1" si="60"/>
        <v>2.243893196152718E-2</v>
      </c>
      <c r="H415">
        <f t="shared" ca="1" si="64"/>
        <v>0.18355853916277506</v>
      </c>
      <c r="I415">
        <f t="shared" ca="1" si="65"/>
        <v>1.2559239550868628</v>
      </c>
      <c r="J415" s="57">
        <v>410</v>
      </c>
    </row>
    <row r="416" spans="2:10" x14ac:dyDescent="0.25">
      <c r="B416" s="53">
        <v>40774</v>
      </c>
      <c r="C416">
        <v>244.54381520000001</v>
      </c>
      <c r="D416" s="54">
        <f t="shared" si="61"/>
        <v>-2.7650130440862918E-2</v>
      </c>
      <c r="E416" s="54">
        <f t="shared" ca="1" si="62"/>
        <v>4.4859566305994331E-4</v>
      </c>
      <c r="F416" s="64">
        <f t="shared" ca="1" si="63"/>
        <v>-2.8098726103922861E-2</v>
      </c>
      <c r="G416">
        <f t="shared" ca="1" si="60"/>
        <v>6.0447809603774421E-3</v>
      </c>
      <c r="H416">
        <f t="shared" ca="1" si="64"/>
        <v>0.88076474625789825</v>
      </c>
      <c r="I416">
        <f t="shared" ca="1" si="65"/>
        <v>2.0949790981586491</v>
      </c>
      <c r="J416" s="60">
        <v>411</v>
      </c>
    </row>
    <row r="417" spans="2:10" x14ac:dyDescent="0.25">
      <c r="B417" s="53">
        <v>40777</v>
      </c>
      <c r="C417">
        <v>248.15528710000001</v>
      </c>
      <c r="D417" s="54">
        <f t="shared" si="61"/>
        <v>1.4768199707060094E-2</v>
      </c>
      <c r="E417" s="54">
        <f t="shared" ca="1" si="62"/>
        <v>-3.1687320854497256E-2</v>
      </c>
      <c r="F417" s="64">
        <f t="shared" ca="1" si="63"/>
        <v>4.6455520561557349E-2</v>
      </c>
      <c r="G417">
        <f t="shared" ca="1" si="60"/>
        <v>1.4800128908229298E-2</v>
      </c>
      <c r="H417">
        <f t="shared" ca="1" si="64"/>
        <v>-0.5319222744999742</v>
      </c>
      <c r="I417">
        <f t="shared" ca="1" si="65"/>
        <v>1.0990314335924998</v>
      </c>
      <c r="J417" s="57">
        <v>412</v>
      </c>
    </row>
    <row r="418" spans="2:10" x14ac:dyDescent="0.25">
      <c r="B418" s="53">
        <v>40778</v>
      </c>
      <c r="C418">
        <v>258.44172750000001</v>
      </c>
      <c r="D418" s="54">
        <f t="shared" si="61"/>
        <v>4.1451627004242875E-2</v>
      </c>
      <c r="E418" s="54">
        <f t="shared" ca="1" si="62"/>
        <v>-1.4089035059871436E-2</v>
      </c>
      <c r="F418" s="64">
        <f t="shared" ca="1" si="63"/>
        <v>5.5540662064114309E-2</v>
      </c>
      <c r="G418">
        <f t="shared" ca="1" si="60"/>
        <v>9.550752635545846E-3</v>
      </c>
      <c r="H418">
        <f t="shared" ca="1" si="64"/>
        <v>-0.17496654583796981</v>
      </c>
      <c r="I418">
        <f t="shared" ca="1" si="65"/>
        <v>0.36378139561399664</v>
      </c>
      <c r="J418" s="60">
        <v>413</v>
      </c>
    </row>
    <row r="419" spans="2:10" x14ac:dyDescent="0.25">
      <c r="B419" s="53">
        <v>40779</v>
      </c>
      <c r="C419">
        <v>260.66838539999998</v>
      </c>
      <c r="D419" s="54">
        <f t="shared" si="61"/>
        <v>8.6157058364344959E-3</v>
      </c>
      <c r="E419" s="54">
        <f t="shared" ca="1" si="62"/>
        <v>2.2670700009273879E-4</v>
      </c>
      <c r="F419" s="64">
        <f t="shared" ca="1" si="63"/>
        <v>8.3889988363417579E-3</v>
      </c>
      <c r="G419">
        <f t="shared" ca="1" si="60"/>
        <v>3.7790439457211556E-3</v>
      </c>
      <c r="H419">
        <f t="shared" ca="1" si="64"/>
        <v>-1.6953233990102603</v>
      </c>
      <c r="I419">
        <f t="shared" ca="1" si="65"/>
        <v>2.7296569463838636</v>
      </c>
      <c r="J419" s="57">
        <v>414</v>
      </c>
    </row>
    <row r="420" spans="2:10" x14ac:dyDescent="0.25">
      <c r="B420" s="53">
        <v>40780</v>
      </c>
      <c r="C420">
        <v>259.04945550000002</v>
      </c>
      <c r="D420" s="54">
        <f t="shared" si="61"/>
        <v>-6.2106875657962132E-3</v>
      </c>
      <c r="E420" s="54">
        <f t="shared" ca="1" si="62"/>
        <v>6.9198888751794668E-2</v>
      </c>
      <c r="F420" s="64">
        <f t="shared" ca="1" si="63"/>
        <v>-7.5409576317590876E-2</v>
      </c>
      <c r="G420">
        <f t="shared" ca="1" si="60"/>
        <v>2.8328682393889078E-2</v>
      </c>
      <c r="H420">
        <f t="shared" ca="1" si="64"/>
        <v>1.785539605167114</v>
      </c>
      <c r="I420">
        <f t="shared" ca="1" si="65"/>
        <v>-1.93084484664407</v>
      </c>
      <c r="J420" s="60">
        <v>415</v>
      </c>
    </row>
    <row r="421" spans="2:10" x14ac:dyDescent="0.25">
      <c r="B421" s="53">
        <v>40781</v>
      </c>
      <c r="C421">
        <v>262.44673920000002</v>
      </c>
      <c r="D421" s="54">
        <f t="shared" si="61"/>
        <v>1.3114421311725175E-2</v>
      </c>
      <c r="E421" s="54">
        <f t="shared" ca="1" si="62"/>
        <v>0.10663171829995527</v>
      </c>
      <c r="F421" s="64">
        <f t="shared" ca="1" si="63"/>
        <v>-9.3517296988230095E-2</v>
      </c>
      <c r="G421">
        <f t="shared" ca="1" si="60"/>
        <v>3.0510970182645997E-2</v>
      </c>
      <c r="H421">
        <f t="shared" ca="1" si="64"/>
        <v>3.3680456133219314</v>
      </c>
      <c r="I421">
        <f t="shared" ca="1" si="65"/>
        <v>-4.4286790521584969</v>
      </c>
      <c r="J421" s="57">
        <v>416</v>
      </c>
    </row>
    <row r="422" spans="2:10" x14ac:dyDescent="0.25">
      <c r="B422" s="53">
        <v>40784</v>
      </c>
      <c r="C422">
        <v>268.53393840000001</v>
      </c>
      <c r="D422" s="54">
        <f t="shared" si="61"/>
        <v>2.3194036315921526E-2</v>
      </c>
      <c r="E422" s="54">
        <f t="shared" ca="1" si="62"/>
        <v>-1.9858351905747005E-2</v>
      </c>
      <c r="F422" s="64">
        <f t="shared" ca="1" si="63"/>
        <v>4.3052388221668528E-2</v>
      </c>
      <c r="G422">
        <f t="shared" ca="1" si="60"/>
        <v>5.6655102072865761E-2</v>
      </c>
      <c r="H422">
        <f t="shared" ca="1" si="64"/>
        <v>-0.30128325803713768</v>
      </c>
      <c r="I422">
        <f t="shared" ca="1" si="65"/>
        <v>1.3401089442404737</v>
      </c>
      <c r="J422" s="60">
        <v>417</v>
      </c>
    </row>
    <row r="423" spans="2:10" x14ac:dyDescent="0.25">
      <c r="B423" s="53">
        <v>40785</v>
      </c>
      <c r="C423">
        <v>269.34091610000002</v>
      </c>
      <c r="D423" s="54">
        <f t="shared" si="61"/>
        <v>3.0051236905405789E-3</v>
      </c>
      <c r="E423" s="54">
        <f t="shared" ca="1" si="62"/>
        <v>8.9451104702204607E-3</v>
      </c>
      <c r="F423" s="64">
        <f t="shared" ca="1" si="63"/>
        <v>-5.9399867796798818E-3</v>
      </c>
      <c r="G423">
        <f t="shared" ca="1" si="60"/>
        <v>1.3889303969723262E-2</v>
      </c>
      <c r="H423">
        <f t="shared" ca="1" si="64"/>
        <v>0.21993625391765792</v>
      </c>
      <c r="I423">
        <f t="shared" ca="1" si="65"/>
        <v>2.7369246389190534</v>
      </c>
      <c r="J423" s="57">
        <v>418</v>
      </c>
    </row>
    <row r="424" spans="2:10" x14ac:dyDescent="0.25">
      <c r="B424" s="53">
        <v>40786</v>
      </c>
      <c r="C424">
        <v>269.4704327</v>
      </c>
      <c r="D424" s="54">
        <f t="shared" si="61"/>
        <v>4.808649271538885E-4</v>
      </c>
      <c r="E424" s="54">
        <f t="shared" ca="1" si="62"/>
        <v>9.4292775063734447E-3</v>
      </c>
      <c r="F424" s="64">
        <f t="shared" ca="1" si="63"/>
        <v>-8.9484125792195571E-3</v>
      </c>
      <c r="G424">
        <f t="shared" ca="1" si="60"/>
        <v>4.9504996580516719E-3</v>
      </c>
      <c r="H424">
        <f t="shared" ca="1" si="64"/>
        <v>-0.19951128151643743</v>
      </c>
      <c r="I424">
        <f t="shared" ca="1" si="65"/>
        <v>2.6963131323760856</v>
      </c>
      <c r="J424" s="60">
        <v>419</v>
      </c>
    </row>
    <row r="425" spans="2:10" x14ac:dyDescent="0.25">
      <c r="B425" s="53">
        <v>40787</v>
      </c>
      <c r="C425">
        <v>265.2562226</v>
      </c>
      <c r="D425" s="54">
        <f t="shared" si="61"/>
        <v>-1.5638858993823862E-2</v>
      </c>
      <c r="E425" s="54">
        <f t="shared" ca="1" si="62"/>
        <v>4.5784524890849524E-3</v>
      </c>
      <c r="F425" s="64">
        <f t="shared" ca="1" si="63"/>
        <v>-2.0217311482908815E-2</v>
      </c>
      <c r="G425">
        <f t="shared" ca="1" si="60"/>
        <v>3.6577893962754441E-3</v>
      </c>
      <c r="H425">
        <f t="shared" ca="1" si="64"/>
        <v>0.88271428863631762</v>
      </c>
      <c r="I425">
        <f t="shared" ca="1" si="65"/>
        <v>2.4142126440490221</v>
      </c>
      <c r="J425" s="57">
        <v>420</v>
      </c>
    </row>
    <row r="426" spans="2:10" x14ac:dyDescent="0.25">
      <c r="B426" s="53">
        <v>40788</v>
      </c>
      <c r="C426">
        <v>261.44051180000002</v>
      </c>
      <c r="D426" s="54">
        <f t="shared" si="61"/>
        <v>-1.4385000142876862E-2</v>
      </c>
      <c r="E426" s="54">
        <f t="shared" ca="1" si="62"/>
        <v>-5.123584956749039E-3</v>
      </c>
      <c r="F426" s="64">
        <f t="shared" ca="1" si="63"/>
        <v>-9.2614151861278235E-3</v>
      </c>
      <c r="G426">
        <f t="shared" ca="1" si="60"/>
        <v>1.4791874208547851E-2</v>
      </c>
      <c r="H426">
        <f t="shared" ca="1" si="64"/>
        <v>-0.36096044621109208</v>
      </c>
      <c r="I426">
        <f t="shared" ca="1" si="65"/>
        <v>2.6912479510993048</v>
      </c>
      <c r="J426" s="60">
        <v>421</v>
      </c>
    </row>
    <row r="427" spans="2:10" x14ac:dyDescent="0.25">
      <c r="B427" s="53">
        <v>40792</v>
      </c>
      <c r="C427">
        <v>260.1154669</v>
      </c>
      <c r="D427" s="54">
        <f t="shared" si="61"/>
        <v>-5.0682462747535934E-3</v>
      </c>
      <c r="E427" s="54">
        <f t="shared" ca="1" si="62"/>
        <v>-1.8405560844300645E-2</v>
      </c>
      <c r="F427" s="64">
        <f t="shared" ca="1" si="63"/>
        <v>1.3337314569547051E-2</v>
      </c>
      <c r="G427">
        <f t="shared" ca="1" si="60"/>
        <v>6.9767383237718849E-3</v>
      </c>
      <c r="H427">
        <f t="shared" ca="1" si="64"/>
        <v>-1.6313623382973588</v>
      </c>
      <c r="I427">
        <f t="shared" ca="1" si="65"/>
        <v>2.6500838367869557</v>
      </c>
      <c r="J427" s="57">
        <v>422</v>
      </c>
    </row>
    <row r="428" spans="2:10" x14ac:dyDescent="0.25">
      <c r="B428" s="53">
        <v>40793</v>
      </c>
      <c r="C428">
        <v>266.01836980000002</v>
      </c>
      <c r="D428" s="54">
        <f t="shared" si="61"/>
        <v>2.269339447726634E-2</v>
      </c>
      <c r="E428" s="54">
        <f t="shared" ca="1" si="62"/>
        <v>-2.8891703319598023E-2</v>
      </c>
      <c r="F428" s="64">
        <f t="shared" ca="1" si="63"/>
        <v>5.1585097796864363E-2</v>
      </c>
      <c r="G428">
        <f t="shared" ca="1" si="60"/>
        <v>2.7295009373750147E-2</v>
      </c>
      <c r="H428">
        <f t="shared" ca="1" si="64"/>
        <v>-0.82179947244087337</v>
      </c>
      <c r="I428">
        <f t="shared" ca="1" si="65"/>
        <v>0.70029273559234217</v>
      </c>
      <c r="J428" s="60">
        <v>423</v>
      </c>
    </row>
    <row r="429" spans="2:10" x14ac:dyDescent="0.25">
      <c r="B429" s="53">
        <v>40794</v>
      </c>
      <c r="C429">
        <v>266.48162739999998</v>
      </c>
      <c r="D429" s="54">
        <f t="shared" si="61"/>
        <v>1.7414496613457672E-3</v>
      </c>
      <c r="E429" s="54">
        <f t="shared" ca="1" si="62"/>
        <v>5.648521147567546E-3</v>
      </c>
      <c r="F429" s="64">
        <f t="shared" ca="1" si="63"/>
        <v>-3.9070714862217788E-3</v>
      </c>
      <c r="G429">
        <f t="shared" ca="1" si="60"/>
        <v>1.5094615903856936E-2</v>
      </c>
      <c r="H429">
        <f t="shared" ca="1" si="64"/>
        <v>0.5249806303654112</v>
      </c>
      <c r="I429">
        <f t="shared" ca="1" si="65"/>
        <v>2.7560878796408805</v>
      </c>
      <c r="J429" s="57">
        <v>424</v>
      </c>
    </row>
    <row r="430" spans="2:10" x14ac:dyDescent="0.25">
      <c r="B430" s="53">
        <v>40795</v>
      </c>
      <c r="C430">
        <v>261.44548609999998</v>
      </c>
      <c r="D430" s="54">
        <f t="shared" si="61"/>
        <v>-1.8898643591817081E-2</v>
      </c>
      <c r="E430" s="54">
        <f t="shared" ca="1" si="62"/>
        <v>-7.496344491245659E-3</v>
      </c>
      <c r="F430" s="64">
        <f t="shared" ca="1" si="63"/>
        <v>-1.1402299100571422E-2</v>
      </c>
      <c r="G430">
        <f t="shared" ca="1" si="60"/>
        <v>9.4673003672898562E-3</v>
      </c>
      <c r="H430">
        <f t="shared" ca="1" si="64"/>
        <v>-1.8683713189641085</v>
      </c>
      <c r="I430">
        <f t="shared" ca="1" si="65"/>
        <v>2.6523588248134504</v>
      </c>
      <c r="J430" s="60">
        <v>425</v>
      </c>
    </row>
    <row r="431" spans="2:10" x14ac:dyDescent="0.25">
      <c r="B431" s="53">
        <v>40798</v>
      </c>
      <c r="C431">
        <v>264.07064339999999</v>
      </c>
      <c r="D431" s="54">
        <f t="shared" si="61"/>
        <v>1.0040935642682769E-2</v>
      </c>
      <c r="E431" s="54">
        <f t="shared" ca="1" si="62"/>
        <v>-2.1697321901090794E-2</v>
      </c>
      <c r="F431" s="64">
        <f t="shared" ca="1" si="63"/>
        <v>3.173825754377356E-2</v>
      </c>
      <c r="G431">
        <f t="shared" ca="1" si="60"/>
        <v>3.1276836430552644E-2</v>
      </c>
      <c r="H431">
        <f t="shared" ca="1" si="64"/>
        <v>-0.71871450883660892</v>
      </c>
      <c r="I431">
        <f t="shared" ca="1" si="65"/>
        <v>2.0070790047221112</v>
      </c>
      <c r="J431" s="57">
        <v>426</v>
      </c>
    </row>
    <row r="432" spans="2:10" x14ac:dyDescent="0.25">
      <c r="B432" s="53">
        <v>40799</v>
      </c>
      <c r="C432">
        <v>263.77178409999999</v>
      </c>
      <c r="D432" s="54">
        <f t="shared" si="61"/>
        <v>-1.1317399622770932E-3</v>
      </c>
      <c r="E432" s="54">
        <f t="shared" ca="1" si="62"/>
        <v>-1.1921791630343136E-2</v>
      </c>
      <c r="F432" s="64">
        <f t="shared" ca="1" si="63"/>
        <v>1.0790051668066044E-2</v>
      </c>
      <c r="G432">
        <f t="shared" ca="1" si="60"/>
        <v>1.3989595604172216E-2</v>
      </c>
      <c r="H432">
        <f t="shared" ca="1" si="64"/>
        <v>-0.24548281603781208</v>
      </c>
      <c r="I432">
        <f t="shared" ca="1" si="65"/>
        <v>2.6959870356217244</v>
      </c>
      <c r="J432" s="60">
        <v>427</v>
      </c>
    </row>
    <row r="433" spans="2:10" x14ac:dyDescent="0.25">
      <c r="B433" s="53">
        <v>40800</v>
      </c>
      <c r="C433">
        <v>265.04201940000002</v>
      </c>
      <c r="D433" s="54">
        <f t="shared" si="61"/>
        <v>4.8156602660671937E-3</v>
      </c>
      <c r="E433" s="54">
        <f t="shared" ca="1" si="62"/>
        <v>9.8312695763085323E-3</v>
      </c>
      <c r="F433" s="64">
        <f t="shared" ca="1" si="63"/>
        <v>-5.0156093102413386E-3</v>
      </c>
      <c r="G433">
        <f t="shared" ca="1" si="60"/>
        <v>5.2882127552353487E-3</v>
      </c>
      <c r="H433">
        <f t="shared" ca="1" si="64"/>
        <v>1.0063331461075795</v>
      </c>
      <c r="I433">
        <f t="shared" ca="1" si="65"/>
        <v>2.7464661023182431</v>
      </c>
      <c r="J433" s="57">
        <v>428</v>
      </c>
    </row>
    <row r="434" spans="2:10" x14ac:dyDescent="0.25">
      <c r="B434" s="53">
        <v>40801</v>
      </c>
      <c r="C434">
        <v>270.2674313</v>
      </c>
      <c r="D434" s="54">
        <f t="shared" si="61"/>
        <v>1.9715409321998181E-2</v>
      </c>
      <c r="E434" s="54">
        <f t="shared" ca="1" si="62"/>
        <v>-5.0216054751180232E-3</v>
      </c>
      <c r="F434" s="64">
        <f t="shared" ca="1" si="63"/>
        <v>2.4737014797116205E-2</v>
      </c>
      <c r="G434">
        <f t="shared" ca="1" si="60"/>
        <v>1.6870621735885157E-2</v>
      </c>
      <c r="H434">
        <f t="shared" ca="1" si="64"/>
        <v>-0.26753023405709864</v>
      </c>
      <c r="I434">
        <f t="shared" ca="1" si="65"/>
        <v>2.3162094544071179</v>
      </c>
      <c r="J434" s="60">
        <v>429</v>
      </c>
    </row>
    <row r="435" spans="2:10" x14ac:dyDescent="0.25">
      <c r="B435" s="53">
        <v>40802</v>
      </c>
      <c r="C435">
        <v>272.31974179999997</v>
      </c>
      <c r="D435" s="54">
        <f t="shared" si="61"/>
        <v>7.5936286149176713E-3</v>
      </c>
      <c r="E435" s="54">
        <f t="shared" ca="1" si="62"/>
        <v>1.3774049280334226E-2</v>
      </c>
      <c r="F435" s="64">
        <f t="shared" ca="1" si="63"/>
        <v>-6.180420665416555E-3</v>
      </c>
      <c r="G435">
        <f t="shared" ca="1" si="60"/>
        <v>5.9775648824231834E-3</v>
      </c>
      <c r="H435">
        <f t="shared" ca="1" si="64"/>
        <v>1.9424130508555506</v>
      </c>
      <c r="I435">
        <f t="shared" ca="1" si="65"/>
        <v>2.7342166166637263</v>
      </c>
      <c r="J435" s="57">
        <v>430</v>
      </c>
    </row>
    <row r="436" spans="2:10" x14ac:dyDescent="0.25">
      <c r="B436" s="53">
        <v>40805</v>
      </c>
      <c r="C436">
        <v>272.31476739999999</v>
      </c>
      <c r="D436" s="54">
        <f t="shared" si="61"/>
        <v>-1.8266762325420601E-5</v>
      </c>
      <c r="E436" s="54">
        <f t="shared" ca="1" si="62"/>
        <v>3.1164436607479744E-2</v>
      </c>
      <c r="F436" s="64">
        <f t="shared" ca="1" si="63"/>
        <v>-3.1182703369805165E-2</v>
      </c>
      <c r="G436">
        <f t="shared" ca="1" si="60"/>
        <v>3.2466202887845158E-2</v>
      </c>
      <c r="H436">
        <f t="shared" ca="1" si="64"/>
        <v>0.68716753313051726</v>
      </c>
      <c r="I436">
        <f t="shared" ca="1" si="65"/>
        <v>1.9427439167046472</v>
      </c>
      <c r="J436" s="60">
        <v>431</v>
      </c>
    </row>
    <row r="437" spans="2:10" x14ac:dyDescent="0.25">
      <c r="B437" s="53">
        <v>40806</v>
      </c>
      <c r="C437">
        <v>272.29483959999999</v>
      </c>
      <c r="D437" s="54">
        <f t="shared" si="61"/>
        <v>-7.3179285098164449E-5</v>
      </c>
      <c r="E437" s="54">
        <f t="shared" ca="1" si="62"/>
        <v>2.9526777267731069E-4</v>
      </c>
      <c r="F437" s="64">
        <f t="shared" ca="1" si="63"/>
        <v>-3.6844705777547515E-4</v>
      </c>
      <c r="G437">
        <f t="shared" ca="1" si="60"/>
        <v>1.368529329464558E-2</v>
      </c>
      <c r="H437">
        <f t="shared" ca="1" si="64"/>
        <v>-0.22762994877292494</v>
      </c>
      <c r="I437">
        <f t="shared" ca="1" si="65"/>
        <v>2.7735169367094419</v>
      </c>
      <c r="J437" s="57">
        <v>432</v>
      </c>
    </row>
    <row r="438" spans="2:10" x14ac:dyDescent="0.25">
      <c r="B438" s="53">
        <v>40807</v>
      </c>
      <c r="C438">
        <v>268.59372230000002</v>
      </c>
      <c r="D438" s="54">
        <f t="shared" si="61"/>
        <v>-1.359231524709352E-2</v>
      </c>
      <c r="E438" s="54">
        <f t="shared" ca="1" si="62"/>
        <v>8.5317318347189353E-3</v>
      </c>
      <c r="F438" s="64">
        <f t="shared" ca="1" si="63"/>
        <v>-2.2124047081812453E-2</v>
      </c>
      <c r="G438">
        <f t="shared" ca="1" si="60"/>
        <v>5.0174520647247702E-3</v>
      </c>
      <c r="H438">
        <f t="shared" ca="1" si="64"/>
        <v>1.702046567560936</v>
      </c>
      <c r="I438">
        <f t="shared" ca="1" si="65"/>
        <v>2.3461844983055684</v>
      </c>
      <c r="J438" s="60">
        <v>433</v>
      </c>
    </row>
    <row r="439" spans="2:10" x14ac:dyDescent="0.25">
      <c r="B439" s="53">
        <v>40808</v>
      </c>
      <c r="C439">
        <v>259.35829389999998</v>
      </c>
      <c r="D439" s="54">
        <f t="shared" si="61"/>
        <v>-3.4384379206319392E-2</v>
      </c>
      <c r="E439" s="54">
        <f t="shared" ca="1" si="62"/>
        <v>-3.6323049187527087E-2</v>
      </c>
      <c r="F439" s="64">
        <f t="shared" ca="1" si="63"/>
        <v>1.9386699812076955E-3</v>
      </c>
      <c r="G439">
        <f t="shared" ca="1" si="60"/>
        <v>2.845071903437241E-2</v>
      </c>
      <c r="H439">
        <f t="shared" ca="1" si="64"/>
        <v>-1.2755371355738008</v>
      </c>
      <c r="I439">
        <f t="shared" ca="1" si="65"/>
        <v>2.7739847032830052</v>
      </c>
      <c r="J439" s="57">
        <v>434</v>
      </c>
    </row>
    <row r="440" spans="2:10" x14ac:dyDescent="0.25">
      <c r="B440" s="53">
        <v>40809</v>
      </c>
      <c r="C440">
        <v>261.7742523</v>
      </c>
      <c r="D440" s="54">
        <f t="shared" si="61"/>
        <v>9.3151383889482874E-3</v>
      </c>
      <c r="E440" s="54">
        <f t="shared" ca="1" si="62"/>
        <v>-3.8256512163418528E-2</v>
      </c>
      <c r="F440" s="64">
        <f t="shared" ca="1" si="63"/>
        <v>4.7571650552366812E-2</v>
      </c>
      <c r="G440">
        <f t="shared" ca="1" si="60"/>
        <v>2.2278396234623153E-2</v>
      </c>
      <c r="H440">
        <f t="shared" ca="1" si="64"/>
        <v>-1.4431621671921524</v>
      </c>
      <c r="I440">
        <f t="shared" ca="1" si="65"/>
        <v>1.0158899227773224</v>
      </c>
      <c r="J440" s="60">
        <v>435</v>
      </c>
    </row>
    <row r="441" spans="2:10" x14ac:dyDescent="0.25">
      <c r="B441" s="53">
        <v>40812</v>
      </c>
      <c r="C441">
        <v>264.9523585</v>
      </c>
      <c r="D441" s="54">
        <f t="shared" si="61"/>
        <v>1.2140637102681172E-2</v>
      </c>
      <c r="E441" s="54">
        <f t="shared" ca="1" si="62"/>
        <v>-4.4596546998358869E-2</v>
      </c>
      <c r="F441" s="64">
        <f t="shared" ca="1" si="63"/>
        <v>5.673718410104004E-2</v>
      </c>
      <c r="G441">
        <f t="shared" ca="1" si="60"/>
        <v>2.4638237046438444E-2</v>
      </c>
      <c r="H441">
        <f t="shared" ca="1" si="64"/>
        <v>-1.183282477169407</v>
      </c>
      <c r="I441">
        <f t="shared" ca="1" si="65"/>
        <v>0.25700957855203738</v>
      </c>
      <c r="J441" s="57">
        <v>436</v>
      </c>
    </row>
    <row r="442" spans="2:10" x14ac:dyDescent="0.25">
      <c r="B442" s="53">
        <v>40813</v>
      </c>
      <c r="C442">
        <v>268.66345489999998</v>
      </c>
      <c r="D442" s="54">
        <f t="shared" si="61"/>
        <v>1.4006655464438803E-2</v>
      </c>
      <c r="E442" s="54">
        <f t="shared" ca="1" si="62"/>
        <v>-1.6725387805587195E-4</v>
      </c>
      <c r="F442" s="64">
        <f t="shared" ca="1" si="63"/>
        <v>1.4173909342494675E-2</v>
      </c>
      <c r="G442">
        <f t="shared" ca="1" si="60"/>
        <v>2.0557780257462771E-2</v>
      </c>
      <c r="H442">
        <f t="shared" ca="1" si="64"/>
        <v>-0.21165117374407894</v>
      </c>
      <c r="I442">
        <f t="shared" ca="1" si="65"/>
        <v>2.632720872424585</v>
      </c>
      <c r="J442" s="60">
        <v>437</v>
      </c>
    </row>
    <row r="443" spans="2:10" x14ac:dyDescent="0.25">
      <c r="B443" s="53">
        <v>40814</v>
      </c>
      <c r="C443">
        <v>263.43303830000002</v>
      </c>
      <c r="D443" s="54">
        <f t="shared" si="61"/>
        <v>-1.9468284593998034E-2</v>
      </c>
      <c r="E443" s="54">
        <f t="shared" ca="1" si="62"/>
        <v>6.3960997252247151E-3</v>
      </c>
      <c r="F443" s="64">
        <f t="shared" ca="1" si="63"/>
        <v>-2.586438431922275E-2</v>
      </c>
      <c r="G443">
        <f t="shared" ca="1" si="60"/>
        <v>5.952676209941412E-3</v>
      </c>
      <c r="H443">
        <f t="shared" ca="1" si="64"/>
        <v>0.15845899028531799</v>
      </c>
      <c r="I443">
        <f t="shared" ca="1" si="65"/>
        <v>2.1956735704879771</v>
      </c>
      <c r="J443" s="57">
        <v>438</v>
      </c>
    </row>
    <row r="444" spans="2:10" x14ac:dyDescent="0.25">
      <c r="B444" s="53">
        <v>40815</v>
      </c>
      <c r="C444">
        <v>262.76555669999999</v>
      </c>
      <c r="D444" s="54">
        <f t="shared" si="61"/>
        <v>-2.5337808966842505E-3</v>
      </c>
      <c r="E444" s="54">
        <f t="shared" ca="1" si="62"/>
        <v>5.3095383443508594E-3</v>
      </c>
      <c r="F444" s="64">
        <f t="shared" ca="1" si="63"/>
        <v>-7.8433192410351099E-3</v>
      </c>
      <c r="G444">
        <f t="shared" ca="1" si="60"/>
        <v>3.1388360225773205E-3</v>
      </c>
      <c r="H444">
        <f t="shared" ca="1" si="64"/>
        <v>-0.31247113331035697</v>
      </c>
      <c r="I444">
        <f t="shared" ca="1" si="65"/>
        <v>2.7129303204376769</v>
      </c>
      <c r="J444" s="60">
        <v>439</v>
      </c>
    </row>
    <row r="445" spans="2:10" x14ac:dyDescent="0.25">
      <c r="B445" s="53">
        <v>40816</v>
      </c>
      <c r="C445">
        <v>256.55878969999998</v>
      </c>
      <c r="D445" s="54">
        <f t="shared" si="61"/>
        <v>-2.362093068037183E-2</v>
      </c>
      <c r="E445" s="54">
        <f t="shared" ca="1" si="62"/>
        <v>-2.160462783378214E-3</v>
      </c>
      <c r="F445" s="64">
        <f t="shared" ca="1" si="63"/>
        <v>-2.1460467896993615E-2</v>
      </c>
      <c r="G445">
        <f t="shared" ca="1" si="60"/>
        <v>5.3601916640256819E-3</v>
      </c>
      <c r="H445">
        <f t="shared" ca="1" si="64"/>
        <v>1.2281608241961384</v>
      </c>
      <c r="I445">
        <f t="shared" ca="1" si="65"/>
        <v>2.3705259910740422</v>
      </c>
      <c r="J445" s="57">
        <v>440</v>
      </c>
    </row>
    <row r="446" spans="2:10" x14ac:dyDescent="0.25">
      <c r="B446" s="53">
        <v>40819</v>
      </c>
      <c r="C446">
        <v>246.83523149999999</v>
      </c>
      <c r="D446" s="54">
        <f t="shared" si="61"/>
        <v>-3.7899922319441726E-2</v>
      </c>
      <c r="E446" s="54">
        <f t="shared" ca="1" si="62"/>
        <v>7.4153933556952642E-3</v>
      </c>
      <c r="F446" s="64">
        <f t="shared" ca="1" si="63"/>
        <v>-4.531531567513699E-2</v>
      </c>
      <c r="G446">
        <f t="shared" ca="1" si="60"/>
        <v>2.05610413435495E-2</v>
      </c>
      <c r="H446">
        <f t="shared" ca="1" si="64"/>
        <v>0.41601843173711744</v>
      </c>
      <c r="I446">
        <f t="shared" ca="1" si="65"/>
        <v>1.0485436982128711</v>
      </c>
      <c r="J446" s="60">
        <v>441</v>
      </c>
    </row>
    <row r="447" spans="2:10" x14ac:dyDescent="0.25">
      <c r="B447" s="53">
        <v>40820</v>
      </c>
      <c r="C447">
        <v>250.0133222</v>
      </c>
      <c r="D447" s="54">
        <f t="shared" si="61"/>
        <v>1.2875352844433851E-2</v>
      </c>
      <c r="E447" s="54">
        <f t="shared" ca="1" si="62"/>
        <v>-4.5392705565648105E-3</v>
      </c>
      <c r="F447" s="64">
        <f t="shared" ca="1" si="63"/>
        <v>1.7414623400998662E-2</v>
      </c>
      <c r="G447">
        <f t="shared" ca="1" si="60"/>
        <v>8.4368176891312235E-3</v>
      </c>
      <c r="H447">
        <f t="shared" ca="1" si="64"/>
        <v>0.71946744282847563</v>
      </c>
      <c r="I447">
        <f t="shared" ca="1" si="65"/>
        <v>2.5547872561195661</v>
      </c>
      <c r="J447" s="57">
        <v>442</v>
      </c>
    </row>
    <row r="448" spans="2:10" x14ac:dyDescent="0.25">
      <c r="B448" s="53">
        <v>40821</v>
      </c>
      <c r="C448">
        <v>251.40810020000001</v>
      </c>
      <c r="D448" s="54">
        <f t="shared" si="61"/>
        <v>5.5788147116586024E-3</v>
      </c>
      <c r="E448" s="54">
        <f t="shared" ca="1" si="62"/>
        <v>-2.3326676205404708E-2</v>
      </c>
      <c r="F448" s="64">
        <f t="shared" ca="1" si="63"/>
        <v>2.890549091706331E-2</v>
      </c>
      <c r="G448">
        <f t="shared" ca="1" si="60"/>
        <v>1.2203657041060295E-2</v>
      </c>
      <c r="H448">
        <f t="shared" ca="1" si="64"/>
        <v>-0.51667167336273312</v>
      </c>
      <c r="I448">
        <f t="shared" ca="1" si="65"/>
        <v>2.1416956458341931</v>
      </c>
      <c r="J448" s="60">
        <v>443</v>
      </c>
    </row>
    <row r="449" spans="2:10" x14ac:dyDescent="0.25">
      <c r="B449" s="53">
        <v>40822</v>
      </c>
      <c r="C449">
        <v>256.39442179999998</v>
      </c>
      <c r="D449" s="54">
        <f t="shared" si="61"/>
        <v>1.9833575752067067E-2</v>
      </c>
      <c r="E449" s="54">
        <f t="shared" ca="1" si="62"/>
        <v>-1.4322061489259984E-4</v>
      </c>
      <c r="F449" s="64">
        <f t="shared" ca="1" si="63"/>
        <v>1.9976796366959669E-2</v>
      </c>
      <c r="G449">
        <f t="shared" ca="1" si="60"/>
        <v>9.1171341046982404E-3</v>
      </c>
      <c r="H449">
        <f t="shared" ca="1" si="64"/>
        <v>-0.64997350309451773</v>
      </c>
      <c r="I449">
        <f t="shared" ca="1" si="65"/>
        <v>2.4811599075328026</v>
      </c>
      <c r="J449" s="57">
        <v>444</v>
      </c>
    </row>
    <row r="450" spans="2:10" x14ac:dyDescent="0.25">
      <c r="B450" s="53">
        <v>40823</v>
      </c>
      <c r="C450">
        <v>256.59864579999999</v>
      </c>
      <c r="D450" s="54">
        <f t="shared" si="61"/>
        <v>7.9652278924896114E-4</v>
      </c>
      <c r="E450" s="54">
        <f t="shared" ca="1" si="62"/>
        <v>7.4006420229142146E-3</v>
      </c>
      <c r="F450" s="64">
        <f t="shared" ca="1" si="63"/>
        <v>-6.6041192336652533E-3</v>
      </c>
      <c r="G450">
        <f t="shared" ca="1" si="60"/>
        <v>1.1092092194540243E-2</v>
      </c>
      <c r="H450">
        <f t="shared" ca="1" si="64"/>
        <v>0.4412821958204961</v>
      </c>
      <c r="I450">
        <f t="shared" ca="1" si="65"/>
        <v>2.7292171430819296</v>
      </c>
      <c r="J450" s="60">
        <v>445</v>
      </c>
    </row>
    <row r="451" spans="2:10" x14ac:dyDescent="0.25">
      <c r="B451" s="53">
        <v>40826</v>
      </c>
      <c r="C451">
        <v>267.58249009999997</v>
      </c>
      <c r="D451" s="54">
        <f t="shared" si="61"/>
        <v>4.2805542740709149E-2</v>
      </c>
      <c r="E451" s="54">
        <f t="shared" ca="1" si="62"/>
        <v>-4.0425945211728376E-3</v>
      </c>
      <c r="F451" s="64">
        <f t="shared" ca="1" si="63"/>
        <v>4.6848137261881986E-2</v>
      </c>
      <c r="G451">
        <f t="shared" ca="1" si="60"/>
        <v>7.8521991665298514E-3</v>
      </c>
      <c r="H451">
        <f t="shared" ca="1" si="64"/>
        <v>-1.6492531682053766</v>
      </c>
      <c r="I451">
        <f t="shared" ca="1" si="65"/>
        <v>1.070014555761261</v>
      </c>
      <c r="J451" s="57">
        <v>446</v>
      </c>
    </row>
    <row r="452" spans="2:10" x14ac:dyDescent="0.25">
      <c r="B452" s="53">
        <v>40827</v>
      </c>
      <c r="C452">
        <v>270.57626970000001</v>
      </c>
      <c r="D452" s="54">
        <f t="shared" si="61"/>
        <v>1.1188249271771162E-2</v>
      </c>
      <c r="E452" s="54">
        <f t="shared" ca="1" si="62"/>
        <v>1.1444003488025456E-2</v>
      </c>
      <c r="F452" s="64">
        <f t="shared" ca="1" si="63"/>
        <v>-2.5575421625429438E-4</v>
      </c>
      <c r="G452">
        <f t="shared" ca="1" si="60"/>
        <v>2.7605139884504713E-2</v>
      </c>
      <c r="H452">
        <f t="shared" ca="1" si="64"/>
        <v>0.40157490628523113</v>
      </c>
      <c r="I452">
        <f t="shared" ca="1" si="65"/>
        <v>2.7737395692277631</v>
      </c>
      <c r="J452" s="60">
        <v>447</v>
      </c>
    </row>
    <row r="453" spans="2:10" x14ac:dyDescent="0.25">
      <c r="B453" s="53">
        <v>40828</v>
      </c>
      <c r="C453">
        <v>273.2263595</v>
      </c>
      <c r="D453" s="54">
        <f t="shared" si="61"/>
        <v>9.7942432384712161E-3</v>
      </c>
      <c r="E453" s="54">
        <f t="shared" ca="1" si="62"/>
        <v>3.1469649433920305E-2</v>
      </c>
      <c r="F453" s="64">
        <f t="shared" ca="1" si="63"/>
        <v>-2.1675406195449089E-2</v>
      </c>
      <c r="G453">
        <f t="shared" ref="G453:G516" ca="1" si="66">SQRT(A_0+A_1*POWER(H452,2)+B_1*POWER(G452,2))</f>
        <v>9.2466547362200693E-3</v>
      </c>
      <c r="H453">
        <f t="shared" ca="1" si="64"/>
        <v>1.3242226945923008</v>
      </c>
      <c r="I453">
        <f t="shared" ca="1" si="65"/>
        <v>2.362719501588165</v>
      </c>
      <c r="J453" s="57">
        <v>448</v>
      </c>
    </row>
    <row r="454" spans="2:10" x14ac:dyDescent="0.25">
      <c r="B454" s="53">
        <v>40829</v>
      </c>
      <c r="C454">
        <v>278.45177139999998</v>
      </c>
      <c r="D454" s="54">
        <f t="shared" si="61"/>
        <v>1.9124845456208565E-2</v>
      </c>
      <c r="E454" s="54">
        <f t="shared" ca="1" si="62"/>
        <v>4.2309741502948549E-2</v>
      </c>
      <c r="F454" s="64">
        <f t="shared" ca="1" si="63"/>
        <v>-2.3184896046739983E-2</v>
      </c>
      <c r="G454">
        <f t="shared" ca="1" si="66"/>
        <v>2.2226430590371021E-2</v>
      </c>
      <c r="H454">
        <f t="shared" ca="1" si="64"/>
        <v>1.6774940866909545</v>
      </c>
      <c r="I454">
        <f t="shared" ca="1" si="65"/>
        <v>2.3057924149041478</v>
      </c>
      <c r="J454" s="60">
        <v>449</v>
      </c>
    </row>
    <row r="455" spans="2:10" x14ac:dyDescent="0.25">
      <c r="B455" s="53">
        <v>40830</v>
      </c>
      <c r="C455">
        <v>294.73576550000001</v>
      </c>
      <c r="D455" s="54">
        <f t="shared" ref="D455:D518" si="67">(C455-C454)/C454</f>
        <v>5.8480483058618568E-2</v>
      </c>
      <c r="E455" s="54">
        <f t="shared" ca="1" si="62"/>
        <v>2.7948333394411367E-2</v>
      </c>
      <c r="F455" s="64">
        <f t="shared" ca="1" si="63"/>
        <v>3.0532149664207201E-2</v>
      </c>
      <c r="G455">
        <f t="shared" ca="1" si="66"/>
        <v>2.8472105252828735E-2</v>
      </c>
      <c r="H455">
        <f t="shared" ca="1" si="64"/>
        <v>0.82709770831835627</v>
      </c>
      <c r="I455">
        <f t="shared" ca="1" si="65"/>
        <v>2.0659797620222693</v>
      </c>
      <c r="J455" s="57">
        <v>450</v>
      </c>
    </row>
    <row r="456" spans="2:10" x14ac:dyDescent="0.25">
      <c r="B456" s="53">
        <v>40833</v>
      </c>
      <c r="C456">
        <v>290.11805129999999</v>
      </c>
      <c r="D456" s="54">
        <f t="shared" si="67"/>
        <v>-1.566730183615949E-2</v>
      </c>
      <c r="E456" s="54">
        <f t="shared" ref="E456:E519" ca="1" si="68">((E_1*D455)+(E_2*D454)+(G456*H456))</f>
        <v>9.9857604053789264E-3</v>
      </c>
      <c r="F456" s="64">
        <f t="shared" ca="1" si="63"/>
        <v>-2.5653062241538419E-2</v>
      </c>
      <c r="G456">
        <f t="shared" ca="1" si="66"/>
        <v>1.5286878530654472E-2</v>
      </c>
      <c r="H456">
        <f t="shared" ca="1" si="64"/>
        <v>9.1280992816967138E-2</v>
      </c>
      <c r="I456">
        <f t="shared" ca="1" si="65"/>
        <v>2.2047796369075687</v>
      </c>
      <c r="J456" s="60">
        <v>451</v>
      </c>
    </row>
    <row r="457" spans="2:10" x14ac:dyDescent="0.25">
      <c r="B457" s="53">
        <v>40834</v>
      </c>
      <c r="C457">
        <v>294.15293960000002</v>
      </c>
      <c r="D457" s="54">
        <f t="shared" si="67"/>
        <v>1.3907746456726714E-2</v>
      </c>
      <c r="E457" s="54">
        <f t="shared" ca="1" si="68"/>
        <v>2.2097430866702149E-2</v>
      </c>
      <c r="F457" s="64">
        <f t="shared" ref="F457:F520" ca="1" si="69">D457-E457</f>
        <v>-8.1896844099754347E-3</v>
      </c>
      <c r="G457">
        <f t="shared" ca="1" si="66"/>
        <v>3.9330023177073098E-3</v>
      </c>
      <c r="H457">
        <f t="shared" ref="H457:H520" ca="1" si="70">_xlfn.NORM.INV(RAND(),0,1)</f>
        <v>-1.0595100144685903</v>
      </c>
      <c r="I457">
        <f t="shared" ref="I457:I520" ca="1" si="71">LN(_xlfn.NORM.DIST(F457,AVERAGE($F$8:$F$1413),_xlfn.STDEV.S($F$8:$F$1413),FALSE))</f>
        <v>2.7079343659512007</v>
      </c>
      <c r="J457" s="57">
        <v>452</v>
      </c>
    </row>
    <row r="458" spans="2:10" x14ac:dyDescent="0.25">
      <c r="B458" s="53">
        <v>40835</v>
      </c>
      <c r="C458">
        <v>289.2662431</v>
      </c>
      <c r="D458" s="54">
        <f t="shared" si="67"/>
        <v>-1.6612774656085835E-2</v>
      </c>
      <c r="E458" s="54">
        <f t="shared" ca="1" si="68"/>
        <v>-2.5655125587931531E-3</v>
      </c>
      <c r="F458" s="64">
        <f t="shared" ca="1" si="69"/>
        <v>-1.4047262097292682E-2</v>
      </c>
      <c r="G458">
        <f t="shared" ca="1" si="66"/>
        <v>1.7736285545554252E-2</v>
      </c>
      <c r="H458">
        <f t="shared" ca="1" si="70"/>
        <v>0.25206781861502997</v>
      </c>
      <c r="I458">
        <f t="shared" ca="1" si="71"/>
        <v>2.5940867169656454</v>
      </c>
      <c r="J458" s="60">
        <v>453</v>
      </c>
    </row>
    <row r="459" spans="2:10" x14ac:dyDescent="0.25">
      <c r="B459" s="53">
        <v>40836</v>
      </c>
      <c r="C459">
        <v>290.74570720000003</v>
      </c>
      <c r="D459" s="54">
        <f t="shared" si="67"/>
        <v>5.1145411374135885E-3</v>
      </c>
      <c r="E459" s="54">
        <f t="shared" ca="1" si="68"/>
        <v>4.5165580982994107E-3</v>
      </c>
      <c r="F459" s="64">
        <f t="shared" ca="1" si="69"/>
        <v>5.9798303911417789E-4</v>
      </c>
      <c r="G459">
        <f t="shared" ca="1" si="66"/>
        <v>5.9201222229524541E-3</v>
      </c>
      <c r="H459">
        <f t="shared" ca="1" si="70"/>
        <v>-0.29212286911932178</v>
      </c>
      <c r="I459">
        <f t="shared" ca="1" si="71"/>
        <v>2.7747596271565218</v>
      </c>
      <c r="J459" s="57">
        <v>454</v>
      </c>
    </row>
    <row r="460" spans="2:10" x14ac:dyDescent="0.25">
      <c r="B460" s="53">
        <v>40837</v>
      </c>
      <c r="C460">
        <v>294.14299089999997</v>
      </c>
      <c r="D460" s="54">
        <f t="shared" si="67"/>
        <v>1.1684725228506988E-2</v>
      </c>
      <c r="E460" s="54">
        <f t="shared" ca="1" si="68"/>
        <v>-1.6999197632736565E-2</v>
      </c>
      <c r="F460" s="64">
        <f t="shared" ca="1" si="69"/>
        <v>2.8683922861243553E-2</v>
      </c>
      <c r="G460">
        <f t="shared" ca="1" si="66"/>
        <v>5.1586693195990281E-3</v>
      </c>
      <c r="H460">
        <f t="shared" ca="1" si="70"/>
        <v>-1.8489566510317788</v>
      </c>
      <c r="I460">
        <f t="shared" ca="1" si="71"/>
        <v>2.1516781155738314</v>
      </c>
      <c r="J460" s="60">
        <v>455</v>
      </c>
    </row>
    <row r="461" spans="2:10" x14ac:dyDescent="0.25">
      <c r="B461" s="53">
        <v>40840</v>
      </c>
      <c r="C461">
        <v>297.09691429999998</v>
      </c>
      <c r="D461" s="54">
        <f t="shared" si="67"/>
        <v>1.0042474209437326E-2</v>
      </c>
      <c r="E461" s="54">
        <f t="shared" ca="1" si="68"/>
        <v>-5.4441640940742081E-2</v>
      </c>
      <c r="F461" s="64">
        <f t="shared" ca="1" si="69"/>
        <v>6.4484115150179405E-2</v>
      </c>
      <c r="G461">
        <f t="shared" ca="1" si="66"/>
        <v>3.0900843757607502E-2</v>
      </c>
      <c r="H461">
        <f t="shared" ca="1" si="70"/>
        <v>-1.8361597377415437</v>
      </c>
      <c r="I461">
        <f t="shared" ca="1" si="71"/>
        <v>-0.4902619828951652</v>
      </c>
      <c r="J461" s="57">
        <v>456</v>
      </c>
    </row>
    <row r="462" spans="2:10" x14ac:dyDescent="0.25">
      <c r="B462" s="53">
        <v>40841</v>
      </c>
      <c r="C462">
        <v>290.49167840000001</v>
      </c>
      <c r="D462" s="54">
        <f t="shared" si="67"/>
        <v>-2.22325967792792E-2</v>
      </c>
      <c r="E462" s="54">
        <f t="shared" ca="1" si="68"/>
        <v>3.430949146012803E-2</v>
      </c>
      <c r="F462" s="64">
        <f t="shared" ca="1" si="69"/>
        <v>-5.6542088239407234E-2</v>
      </c>
      <c r="G462">
        <f t="shared" ca="1" si="66"/>
        <v>3.1462748883329887E-2</v>
      </c>
      <c r="H462">
        <f t="shared" ca="1" si="70"/>
        <v>0.92367880425438198</v>
      </c>
      <c r="I462">
        <f t="shared" ca="1" si="71"/>
        <v>0.10819688339374325</v>
      </c>
      <c r="J462" s="60">
        <v>457</v>
      </c>
    </row>
    <row r="463" spans="2:10" x14ac:dyDescent="0.25">
      <c r="B463" s="53">
        <v>40842</v>
      </c>
      <c r="C463">
        <v>292.06077299999998</v>
      </c>
      <c r="D463" s="54">
        <f t="shared" si="67"/>
        <v>5.4015130782485475E-3</v>
      </c>
      <c r="E463" s="54">
        <f t="shared" ca="1" si="68"/>
        <v>-1.3746019412438767E-2</v>
      </c>
      <c r="F463" s="64">
        <f t="shared" ca="1" si="69"/>
        <v>1.9147532490687316E-2</v>
      </c>
      <c r="G463">
        <f t="shared" ca="1" si="66"/>
        <v>1.7032405951869594E-2</v>
      </c>
      <c r="H463">
        <f t="shared" ca="1" si="70"/>
        <v>-1.0718340451228705</v>
      </c>
      <c r="I463">
        <f t="shared" ca="1" si="71"/>
        <v>2.5061508232629652</v>
      </c>
      <c r="J463" s="57">
        <v>458</v>
      </c>
    </row>
    <row r="464" spans="2:10" x14ac:dyDescent="0.25">
      <c r="B464" s="53">
        <v>40843</v>
      </c>
      <c r="C464">
        <v>298.21770479999998</v>
      </c>
      <c r="D464" s="54">
        <f t="shared" si="67"/>
        <v>2.1080995358455739E-2</v>
      </c>
      <c r="E464" s="54">
        <f t="shared" ca="1" si="68"/>
        <v>1.5612648300684928E-4</v>
      </c>
      <c r="F464" s="64">
        <f t="shared" ca="1" si="69"/>
        <v>2.092486887544889E-2</v>
      </c>
      <c r="G464">
        <f t="shared" ca="1" si="66"/>
        <v>1.833436514229389E-2</v>
      </c>
      <c r="H464">
        <f t="shared" ca="1" si="70"/>
        <v>0.55312184600105974</v>
      </c>
      <c r="I464">
        <f t="shared" ca="1" si="71"/>
        <v>2.4512272390871139</v>
      </c>
      <c r="J464" s="60">
        <v>459</v>
      </c>
    </row>
    <row r="465" spans="2:10" x14ac:dyDescent="0.25">
      <c r="B465" s="53">
        <v>40844</v>
      </c>
      <c r="C465">
        <v>298.94997560000002</v>
      </c>
      <c r="D465" s="54">
        <f t="shared" si="67"/>
        <v>2.4554906976134625E-3</v>
      </c>
      <c r="E465" s="54">
        <f t="shared" ca="1" si="68"/>
        <v>-2.7920736913200503E-2</v>
      </c>
      <c r="F465" s="64">
        <f t="shared" ca="1" si="69"/>
        <v>3.0376227610813964E-2</v>
      </c>
      <c r="G465">
        <f t="shared" ca="1" si="66"/>
        <v>1.0183513213290907E-2</v>
      </c>
      <c r="H465">
        <f t="shared" ca="1" si="70"/>
        <v>-2.9800155686350625</v>
      </c>
      <c r="I465">
        <f t="shared" ca="1" si="71"/>
        <v>2.0734227086546921</v>
      </c>
      <c r="J465" s="57">
        <v>460</v>
      </c>
    </row>
    <row r="466" spans="2:10" x14ac:dyDescent="0.25">
      <c r="B466" s="53">
        <v>40847</v>
      </c>
      <c r="C466">
        <v>295.2139765</v>
      </c>
      <c r="D466" s="54">
        <f t="shared" si="67"/>
        <v>-1.2497071098606956E-2</v>
      </c>
      <c r="E466" s="54">
        <f t="shared" ca="1" si="68"/>
        <v>-1.3058763072465614E-2</v>
      </c>
      <c r="F466" s="64">
        <f t="shared" ca="1" si="69"/>
        <v>5.6169197385865823E-4</v>
      </c>
      <c r="G466">
        <f t="shared" ca="1" si="66"/>
        <v>4.9805459429036483E-2</v>
      </c>
      <c r="H466">
        <f t="shared" ca="1" si="70"/>
        <v>-0.45229384250491195</v>
      </c>
      <c r="I466">
        <f t="shared" ca="1" si="71"/>
        <v>2.7747402324606294</v>
      </c>
      <c r="J466" s="60">
        <v>461</v>
      </c>
    </row>
    <row r="467" spans="2:10" x14ac:dyDescent="0.25">
      <c r="B467" s="53">
        <v>40848</v>
      </c>
      <c r="C467">
        <v>288.24509260000002</v>
      </c>
      <c r="D467" s="54">
        <f t="shared" si="67"/>
        <v>-2.3606212627944396E-2</v>
      </c>
      <c r="E467" s="54">
        <f t="shared" ca="1" si="68"/>
        <v>-1.8748216752695949E-2</v>
      </c>
      <c r="F467" s="64">
        <f t="shared" ca="1" si="69"/>
        <v>-4.857995875248447E-3</v>
      </c>
      <c r="G467">
        <f t="shared" ca="1" si="66"/>
        <v>1.3666298801296892E-2</v>
      </c>
      <c r="H467">
        <f t="shared" ca="1" si="70"/>
        <v>-1.4525374957173796</v>
      </c>
      <c r="I467">
        <f t="shared" ca="1" si="71"/>
        <v>2.7479552228971071</v>
      </c>
      <c r="J467" s="57">
        <v>462</v>
      </c>
    </row>
    <row r="468" spans="2:10" x14ac:dyDescent="0.25">
      <c r="B468" s="53">
        <v>40849</v>
      </c>
      <c r="C468">
        <v>291.31855350000001</v>
      </c>
      <c r="D468" s="54">
        <f t="shared" si="67"/>
        <v>1.0662665137772361E-2</v>
      </c>
      <c r="E468" s="54">
        <f t="shared" ca="1" si="68"/>
        <v>1.2696499336126958E-2</v>
      </c>
      <c r="F468" s="64">
        <f t="shared" ca="1" si="69"/>
        <v>-2.0338341983545966E-3</v>
      </c>
      <c r="G468">
        <f t="shared" ca="1" si="66"/>
        <v>2.4465050121738576E-2</v>
      </c>
      <c r="H468">
        <f t="shared" ca="1" si="70"/>
        <v>0.74839785688581206</v>
      </c>
      <c r="I468">
        <f t="shared" ca="1" si="71"/>
        <v>2.7678345771087214</v>
      </c>
      <c r="J468" s="60">
        <v>463</v>
      </c>
    </row>
    <row r="469" spans="2:10" x14ac:dyDescent="0.25">
      <c r="B469" s="53">
        <v>40850</v>
      </c>
      <c r="C469">
        <v>297.6349098</v>
      </c>
      <c r="D469" s="54">
        <f t="shared" si="67"/>
        <v>2.1681956827373835E-2</v>
      </c>
      <c r="E469" s="54">
        <f t="shared" ca="1" si="68"/>
        <v>-2.1786827718863096E-3</v>
      </c>
      <c r="F469" s="64">
        <f t="shared" ca="1" si="69"/>
        <v>2.3860639599260144E-2</v>
      </c>
      <c r="G469">
        <f t="shared" ca="1" si="66"/>
        <v>1.3716170681089383E-2</v>
      </c>
      <c r="H469">
        <f t="shared" ca="1" si="70"/>
        <v>0.61410407866243033</v>
      </c>
      <c r="I469">
        <f t="shared" ca="1" si="71"/>
        <v>2.349327257129278</v>
      </c>
      <c r="J469" s="57">
        <v>464</v>
      </c>
    </row>
    <row r="470" spans="2:10" x14ac:dyDescent="0.25">
      <c r="B470" s="53">
        <v>40851</v>
      </c>
      <c r="C470">
        <v>296.95744910000002</v>
      </c>
      <c r="D470" s="54">
        <f t="shared" si="67"/>
        <v>-2.2761466403763342E-3</v>
      </c>
      <c r="E470" s="54">
        <f t="shared" ca="1" si="68"/>
        <v>8.9368837057886667E-3</v>
      </c>
      <c r="F470" s="64">
        <f t="shared" ca="1" si="69"/>
        <v>-1.1213030346165002E-2</v>
      </c>
      <c r="G470">
        <f t="shared" ca="1" si="66"/>
        <v>1.0763481673107856E-2</v>
      </c>
      <c r="H470">
        <f t="shared" ca="1" si="70"/>
        <v>0.38534869171352892</v>
      </c>
      <c r="I470">
        <f t="shared" ca="1" si="71"/>
        <v>2.6560953016749806</v>
      </c>
      <c r="J470" s="60">
        <v>465</v>
      </c>
    </row>
    <row r="471" spans="2:10" x14ac:dyDescent="0.25">
      <c r="B471" s="53">
        <v>40854</v>
      </c>
      <c r="C471">
        <v>303.02969430000002</v>
      </c>
      <c r="D471" s="54">
        <f t="shared" si="67"/>
        <v>2.0448199627264366E-2</v>
      </c>
      <c r="E471" s="54">
        <f t="shared" ca="1" si="68"/>
        <v>1.4530821694745705E-2</v>
      </c>
      <c r="F471" s="64">
        <f t="shared" ca="1" si="69"/>
        <v>5.917377932518661E-3</v>
      </c>
      <c r="G471">
        <f t="shared" ca="1" si="66"/>
        <v>6.9571827119482618E-3</v>
      </c>
      <c r="H471">
        <f t="shared" ca="1" si="70"/>
        <v>0.68893689491110033</v>
      </c>
      <c r="I471">
        <f t="shared" ca="1" si="71"/>
        <v>2.7545868710025854</v>
      </c>
      <c r="J471" s="57">
        <v>466</v>
      </c>
    </row>
    <row r="472" spans="2:10" x14ac:dyDescent="0.25">
      <c r="B472" s="53">
        <v>40855</v>
      </c>
      <c r="C472">
        <v>305.02719519999999</v>
      </c>
      <c r="D472" s="54">
        <f t="shared" si="67"/>
        <v>6.5917662116058082E-3</v>
      </c>
      <c r="E472" s="54">
        <f t="shared" ca="1" si="68"/>
        <v>8.3515943985379721E-3</v>
      </c>
      <c r="F472" s="64">
        <f t="shared" ca="1" si="69"/>
        <v>-1.7598281869321639E-3</v>
      </c>
      <c r="G472">
        <f t="shared" ca="1" si="66"/>
        <v>1.1651908548110816E-2</v>
      </c>
      <c r="H472">
        <f t="shared" ca="1" si="70"/>
        <v>0.80446091814555531</v>
      </c>
      <c r="I472">
        <f t="shared" ca="1" si="71"/>
        <v>2.7690774949339629</v>
      </c>
      <c r="J472" s="60">
        <v>467</v>
      </c>
    </row>
    <row r="473" spans="2:10" x14ac:dyDescent="0.25">
      <c r="B473" s="53">
        <v>40856</v>
      </c>
      <c r="C473">
        <v>299.35347969999998</v>
      </c>
      <c r="D473" s="54">
        <f t="shared" si="67"/>
        <v>-1.860068737897248E-2</v>
      </c>
      <c r="E473" s="54">
        <f t="shared" ca="1" si="68"/>
        <v>-5.5388465764701529E-3</v>
      </c>
      <c r="F473" s="64">
        <f t="shared" ca="1" si="69"/>
        <v>-1.3061840802502327E-2</v>
      </c>
      <c r="G473">
        <f t="shared" ca="1" si="66"/>
        <v>1.3724728599268064E-2</v>
      </c>
      <c r="H473">
        <f t="shared" ca="1" si="70"/>
        <v>-1.0727101862919055</v>
      </c>
      <c r="I473">
        <f t="shared" ca="1" si="71"/>
        <v>2.6171180354263734</v>
      </c>
      <c r="J473" s="57">
        <v>468</v>
      </c>
    </row>
    <row r="474" spans="2:10" x14ac:dyDescent="0.25">
      <c r="B474" s="53">
        <v>40857</v>
      </c>
      <c r="C474">
        <v>296.42943270000001</v>
      </c>
      <c r="D474" s="54">
        <f t="shared" si="67"/>
        <v>-9.7678737622503512E-3</v>
      </c>
      <c r="E474" s="54">
        <f t="shared" ca="1" si="68"/>
        <v>2.7723076766854655E-2</v>
      </c>
      <c r="F474" s="64">
        <f t="shared" ca="1" si="69"/>
        <v>-3.7490950529105005E-2</v>
      </c>
      <c r="G474">
        <f t="shared" ca="1" si="66"/>
        <v>1.8204171584188359E-2</v>
      </c>
      <c r="H474">
        <f t="shared" ca="1" si="70"/>
        <v>1.3602872824355752</v>
      </c>
      <c r="I474">
        <f t="shared" ca="1" si="71"/>
        <v>1.5834829062215916</v>
      </c>
      <c r="J474" s="60">
        <v>469</v>
      </c>
    </row>
    <row r="475" spans="2:10" x14ac:dyDescent="0.25">
      <c r="B475" s="53">
        <v>40858</v>
      </c>
      <c r="C475">
        <v>303.03964300000001</v>
      </c>
      <c r="D475" s="54">
        <f t="shared" si="67"/>
        <v>2.2299439835617933E-2</v>
      </c>
      <c r="E475" s="54">
        <f t="shared" ca="1" si="68"/>
        <v>-6.7873590135520842E-2</v>
      </c>
      <c r="F475" s="64">
        <f t="shared" ca="1" si="69"/>
        <v>9.0173029971138768E-2</v>
      </c>
      <c r="G475">
        <f t="shared" ca="1" si="66"/>
        <v>2.3103051543266084E-2</v>
      </c>
      <c r="H475">
        <f t="shared" ca="1" si="70"/>
        <v>-2.5762605622044608</v>
      </c>
      <c r="I475">
        <f t="shared" ca="1" si="71"/>
        <v>-3.6621316487595958</v>
      </c>
      <c r="J475" s="57">
        <v>470</v>
      </c>
    </row>
    <row r="476" spans="2:10" x14ac:dyDescent="0.25">
      <c r="B476" s="53">
        <v>40861</v>
      </c>
      <c r="C476">
        <v>305.35596190000001</v>
      </c>
      <c r="D476" s="54">
        <f t="shared" si="67"/>
        <v>7.6436167792079887E-3</v>
      </c>
      <c r="E476" s="54">
        <f t="shared" ca="1" si="68"/>
        <v>-4.0257340672534576E-3</v>
      </c>
      <c r="F476" s="64">
        <f t="shared" ca="1" si="69"/>
        <v>1.1669350846461446E-2</v>
      </c>
      <c r="G476">
        <f t="shared" ca="1" si="66"/>
        <v>4.333453168165613E-2</v>
      </c>
      <c r="H476">
        <f t="shared" ca="1" si="70"/>
        <v>8.326601518448086E-3</v>
      </c>
      <c r="I476">
        <f t="shared" ca="1" si="71"/>
        <v>2.681326399996125</v>
      </c>
      <c r="J476" s="60">
        <v>471</v>
      </c>
    </row>
    <row r="477" spans="2:10" x14ac:dyDescent="0.25">
      <c r="B477" s="53">
        <v>40862</v>
      </c>
      <c r="C477">
        <v>307.12934130000002</v>
      </c>
      <c r="D477" s="54">
        <f t="shared" si="67"/>
        <v>5.8075807296035968E-3</v>
      </c>
      <c r="E477" s="54">
        <f t="shared" ca="1" si="68"/>
        <v>-5.0148672408213951E-3</v>
      </c>
      <c r="F477" s="64">
        <f t="shared" ca="1" si="69"/>
        <v>1.0822447970424993E-2</v>
      </c>
      <c r="G477">
        <f t="shared" ca="1" si="66"/>
        <v>9.9251543287643892E-3</v>
      </c>
      <c r="H477">
        <f t="shared" ca="1" si="70"/>
        <v>-1.5143466308913409</v>
      </c>
      <c r="I477">
        <f t="shared" ca="1" si="71"/>
        <v>2.6954690543826105</v>
      </c>
      <c r="J477" s="57">
        <v>472</v>
      </c>
    </row>
    <row r="478" spans="2:10" x14ac:dyDescent="0.25">
      <c r="B478" s="53">
        <v>40863</v>
      </c>
      <c r="C478">
        <v>304.59384499999999</v>
      </c>
      <c r="D478" s="54">
        <f t="shared" si="67"/>
        <v>-8.2554675149822086E-3</v>
      </c>
      <c r="E478" s="54">
        <f t="shared" ca="1" si="68"/>
        <v>4.4364431257469528E-2</v>
      </c>
      <c r="F478" s="64">
        <f t="shared" ca="1" si="69"/>
        <v>-5.261989877245174E-2</v>
      </c>
      <c r="G478">
        <f t="shared" ca="1" si="66"/>
        <v>2.5397814942656839E-2</v>
      </c>
      <c r="H478">
        <f t="shared" ca="1" si="70"/>
        <v>1.6116122540560927</v>
      </c>
      <c r="I478">
        <f t="shared" ca="1" si="71"/>
        <v>0.45986237726375784</v>
      </c>
      <c r="J478" s="60">
        <v>473</v>
      </c>
    </row>
    <row r="479" spans="2:10" x14ac:dyDescent="0.25">
      <c r="B479" s="53">
        <v>40864</v>
      </c>
      <c r="C479">
        <v>299.31362360000003</v>
      </c>
      <c r="D479" s="54">
        <f t="shared" si="67"/>
        <v>-1.7335285944467985E-2</v>
      </c>
      <c r="E479" s="54">
        <f t="shared" ca="1" si="68"/>
        <v>1.3567234744270138E-2</v>
      </c>
      <c r="F479" s="64">
        <f t="shared" ca="1" si="69"/>
        <v>-3.0902520688738125E-2</v>
      </c>
      <c r="G479">
        <f t="shared" ca="1" si="66"/>
        <v>2.7534122096354856E-2</v>
      </c>
      <c r="H479">
        <f t="shared" ca="1" si="70"/>
        <v>0.39801799941803656</v>
      </c>
      <c r="I479">
        <f t="shared" ca="1" si="71"/>
        <v>1.9572092940877122</v>
      </c>
      <c r="J479" s="57">
        <v>474</v>
      </c>
    </row>
    <row r="480" spans="2:10" x14ac:dyDescent="0.25">
      <c r="B480" s="53">
        <v>40865</v>
      </c>
      <c r="C480">
        <v>296.32979269999998</v>
      </c>
      <c r="D480" s="54">
        <f t="shared" si="67"/>
        <v>-9.96891108434011E-3</v>
      </c>
      <c r="E480" s="54">
        <f t="shared" ca="1" si="68"/>
        <v>1.0443596107422015E-2</v>
      </c>
      <c r="F480" s="64">
        <f t="shared" ca="1" si="69"/>
        <v>-2.0412507191762123E-2</v>
      </c>
      <c r="G480">
        <f t="shared" ca="1" si="66"/>
        <v>9.1926592723969112E-3</v>
      </c>
      <c r="H480">
        <f t="shared" ca="1" si="70"/>
        <v>1.5394447069058848</v>
      </c>
      <c r="I480">
        <f t="shared" ca="1" si="71"/>
        <v>2.4075183881475208</v>
      </c>
      <c r="J480" s="60">
        <v>475</v>
      </c>
    </row>
    <row r="481" spans="2:10" x14ac:dyDescent="0.25">
      <c r="B481" s="53">
        <v>40868</v>
      </c>
      <c r="C481">
        <v>289.38581090000002</v>
      </c>
      <c r="D481" s="54">
        <f t="shared" si="67"/>
        <v>-2.3433289433134885E-2</v>
      </c>
      <c r="E481" s="54">
        <f t="shared" ca="1" si="68"/>
        <v>3.910411075837289E-2</v>
      </c>
      <c r="F481" s="64">
        <f t="shared" ca="1" si="69"/>
        <v>-6.2537400191507775E-2</v>
      </c>
      <c r="G481">
        <f t="shared" ca="1" si="66"/>
        <v>2.5800695959517762E-2</v>
      </c>
      <c r="H481">
        <f t="shared" ca="1" si="70"/>
        <v>1.817389218738916</v>
      </c>
      <c r="I481">
        <f t="shared" ca="1" si="71"/>
        <v>-0.47738085545838788</v>
      </c>
      <c r="J481" s="57">
        <v>476</v>
      </c>
    </row>
    <row r="482" spans="2:10" x14ac:dyDescent="0.25">
      <c r="B482" s="53">
        <v>40869</v>
      </c>
      <c r="C482">
        <v>288.91754859999998</v>
      </c>
      <c r="D482" s="54">
        <f t="shared" si="67"/>
        <v>-1.6181246016994987E-3</v>
      </c>
      <c r="E482" s="54">
        <f t="shared" ca="1" si="68"/>
        <v>-5.1860336039120353E-2</v>
      </c>
      <c r="F482" s="64">
        <f t="shared" ca="1" si="69"/>
        <v>5.0242211437420851E-2</v>
      </c>
      <c r="G482">
        <f t="shared" ca="1" si="66"/>
        <v>3.0915814049822143E-2</v>
      </c>
      <c r="H482">
        <f t="shared" ca="1" si="70"/>
        <v>-1.5326361614354571</v>
      </c>
      <c r="I482">
        <f t="shared" ca="1" si="71"/>
        <v>0.80878777395247869</v>
      </c>
      <c r="J482" s="60">
        <v>477</v>
      </c>
    </row>
    <row r="483" spans="2:10" x14ac:dyDescent="0.25">
      <c r="B483" s="53">
        <v>40870</v>
      </c>
      <c r="C483">
        <v>283.99102640000001</v>
      </c>
      <c r="D483" s="54">
        <f t="shared" si="67"/>
        <v>-1.7051654438687721E-2</v>
      </c>
      <c r="E483" s="54">
        <f t="shared" ca="1" si="68"/>
        <v>-1.144034787150746E-2</v>
      </c>
      <c r="F483" s="64">
        <f t="shared" ca="1" si="69"/>
        <v>-5.611306567180261E-3</v>
      </c>
      <c r="G483">
        <f t="shared" ca="1" si="66"/>
        <v>2.6553202866615402E-2</v>
      </c>
      <c r="H483">
        <f t="shared" ca="1" si="70"/>
        <v>-3.449528762420246E-2</v>
      </c>
      <c r="I483">
        <f t="shared" ca="1" si="71"/>
        <v>2.7404754669463345</v>
      </c>
      <c r="J483" s="57">
        <v>478</v>
      </c>
    </row>
    <row r="484" spans="2:10" x14ac:dyDescent="0.25">
      <c r="B484" s="53">
        <v>40872</v>
      </c>
      <c r="C484">
        <v>280.44930269999998</v>
      </c>
      <c r="D484" s="54">
        <f t="shared" si="67"/>
        <v>-1.2471252155029481E-2</v>
      </c>
      <c r="E484" s="54">
        <f t="shared" ca="1" si="68"/>
        <v>-2.2694852823617255E-3</v>
      </c>
      <c r="F484" s="64">
        <f t="shared" ca="1" si="69"/>
        <v>-1.0201766872667755E-2</v>
      </c>
      <c r="G484">
        <f t="shared" ca="1" si="66"/>
        <v>6.1600255619179214E-3</v>
      </c>
      <c r="H484">
        <f t="shared" ca="1" si="70"/>
        <v>-0.25039819081461434</v>
      </c>
      <c r="I484">
        <f t="shared" ca="1" si="71"/>
        <v>2.6750785038920544</v>
      </c>
      <c r="J484" s="60">
        <v>479</v>
      </c>
    </row>
    <row r="485" spans="2:10" x14ac:dyDescent="0.25">
      <c r="B485" s="53">
        <v>40875</v>
      </c>
      <c r="C485">
        <v>292.99726729999998</v>
      </c>
      <c r="D485" s="54">
        <f t="shared" si="67"/>
        <v>4.4742363340524012E-2</v>
      </c>
      <c r="E485" s="54">
        <f t="shared" ca="1" si="68"/>
        <v>-1.3511625530051627E-2</v>
      </c>
      <c r="F485" s="64">
        <f t="shared" ca="1" si="69"/>
        <v>5.8253988870575639E-2</v>
      </c>
      <c r="G485">
        <f t="shared" ca="1" si="66"/>
        <v>4.5227824389869921E-3</v>
      </c>
      <c r="H485">
        <f t="shared" ca="1" si="70"/>
        <v>-1.2941526948276199</v>
      </c>
      <c r="I485">
        <f t="shared" ca="1" si="71"/>
        <v>0.11833240663666633</v>
      </c>
      <c r="J485" s="57">
        <v>480</v>
      </c>
    </row>
    <row r="486" spans="2:10" x14ac:dyDescent="0.25">
      <c r="B486" s="53">
        <v>40876</v>
      </c>
      <c r="C486">
        <v>290.3770849</v>
      </c>
      <c r="D486" s="54">
        <f t="shared" si="67"/>
        <v>-8.9426854528208647E-3</v>
      </c>
      <c r="E486" s="54">
        <f t="shared" ca="1" si="68"/>
        <v>1.5722056201083145E-2</v>
      </c>
      <c r="F486" s="64">
        <f t="shared" ca="1" si="69"/>
        <v>-2.4664741653904011E-2</v>
      </c>
      <c r="G486">
        <f t="shared" ca="1" si="66"/>
        <v>2.1649524139684705E-2</v>
      </c>
      <c r="H486">
        <f t="shared" ca="1" si="70"/>
        <v>0.98488881875797252</v>
      </c>
      <c r="I486">
        <f t="shared" ca="1" si="71"/>
        <v>2.2464094556814538</v>
      </c>
      <c r="J486" s="60">
        <v>481</v>
      </c>
    </row>
    <row r="487" spans="2:10" x14ac:dyDescent="0.25">
      <c r="B487" s="53">
        <v>40877</v>
      </c>
      <c r="C487">
        <v>298.57637840000001</v>
      </c>
      <c r="D487" s="54">
        <f t="shared" si="67"/>
        <v>2.8236709872694263E-2</v>
      </c>
      <c r="E487" s="54">
        <f t="shared" ca="1" si="68"/>
        <v>4.6164620964419145E-2</v>
      </c>
      <c r="F487" s="64">
        <f t="shared" ca="1" si="69"/>
        <v>-1.7927911091724882E-2</v>
      </c>
      <c r="G487">
        <f t="shared" ca="1" si="66"/>
        <v>1.7192955726363063E-2</v>
      </c>
      <c r="H487">
        <f t="shared" ca="1" si="70"/>
        <v>1.5163235454887547</v>
      </c>
      <c r="I487">
        <f t="shared" ca="1" si="71"/>
        <v>2.4881324724006113</v>
      </c>
      <c r="J487" s="57">
        <v>482</v>
      </c>
    </row>
    <row r="488" spans="2:10" x14ac:dyDescent="0.25">
      <c r="B488" s="53">
        <v>40878</v>
      </c>
      <c r="C488">
        <v>305.73953820000003</v>
      </c>
      <c r="D488" s="54">
        <f t="shared" si="67"/>
        <v>2.3991046573696457E-2</v>
      </c>
      <c r="E488" s="54">
        <f t="shared" ca="1" si="68"/>
        <v>2.5099196624261428E-2</v>
      </c>
      <c r="F488" s="64">
        <f t="shared" ca="1" si="69"/>
        <v>-1.1081500505649711E-3</v>
      </c>
      <c r="G488">
        <f t="shared" ca="1" si="66"/>
        <v>2.5631001062918636E-2</v>
      </c>
      <c r="H488">
        <f t="shared" ca="1" si="70"/>
        <v>1.135931018870614</v>
      </c>
      <c r="I488">
        <f t="shared" ca="1" si="71"/>
        <v>2.771546221195309</v>
      </c>
      <c r="J488" s="60">
        <v>483</v>
      </c>
    </row>
    <row r="489" spans="2:10" x14ac:dyDescent="0.25">
      <c r="B489" s="53">
        <v>40879</v>
      </c>
      <c r="C489">
        <v>309.0222278</v>
      </c>
      <c r="D489" s="54">
        <f t="shared" si="67"/>
        <v>1.073688283604521E-2</v>
      </c>
      <c r="E489" s="54">
        <f t="shared" ca="1" si="68"/>
        <v>1.2437890307194912E-2</v>
      </c>
      <c r="F489" s="64">
        <f t="shared" ca="1" si="69"/>
        <v>-1.7010074711497018E-3</v>
      </c>
      <c r="G489">
        <f t="shared" ca="1" si="66"/>
        <v>1.9864953685959186E-2</v>
      </c>
      <c r="H489">
        <f t="shared" ca="1" si="70"/>
        <v>-1.2292758657824971E-2</v>
      </c>
      <c r="I489">
        <f t="shared" ca="1" si="71"/>
        <v>2.7693284955518345</v>
      </c>
      <c r="J489" s="57">
        <v>484</v>
      </c>
    </row>
    <row r="490" spans="2:10" x14ac:dyDescent="0.25">
      <c r="B490" s="53">
        <v>40882</v>
      </c>
      <c r="C490">
        <v>311.65736420000002</v>
      </c>
      <c r="D490" s="54">
        <f t="shared" si="67"/>
        <v>8.5273361038141534E-3</v>
      </c>
      <c r="E490" s="54">
        <f t="shared" ca="1" si="68"/>
        <v>-2.2613687020313147E-3</v>
      </c>
      <c r="F490" s="64">
        <f t="shared" ca="1" si="69"/>
        <v>1.0788704805845468E-2</v>
      </c>
      <c r="G490">
        <f t="shared" ca="1" si="66"/>
        <v>4.6413550923689517E-3</v>
      </c>
      <c r="H490">
        <f t="shared" ca="1" si="70"/>
        <v>-2.8087515379779333</v>
      </c>
      <c r="I490">
        <f t="shared" ca="1" si="71"/>
        <v>2.6960085337512947</v>
      </c>
      <c r="J490" s="60">
        <v>485</v>
      </c>
    </row>
    <row r="491" spans="2:10" x14ac:dyDescent="0.25">
      <c r="B491" s="53">
        <v>40883</v>
      </c>
      <c r="C491">
        <v>310.72086990000003</v>
      </c>
      <c r="D491" s="54">
        <f t="shared" si="67"/>
        <v>-3.0048842336965146E-3</v>
      </c>
      <c r="E491" s="54">
        <f t="shared" ca="1" si="68"/>
        <v>0.12245127806381613</v>
      </c>
      <c r="F491" s="64">
        <f t="shared" ca="1" si="69"/>
        <v>-0.12545616229751264</v>
      </c>
      <c r="G491">
        <f t="shared" ca="1" si="66"/>
        <v>4.6905269033338678E-2</v>
      </c>
      <c r="H491">
        <f t="shared" ca="1" si="70"/>
        <v>2.5077988978272678</v>
      </c>
      <c r="I491">
        <f t="shared" ca="1" si="71"/>
        <v>-10.125755714354678</v>
      </c>
      <c r="J491" s="57">
        <v>486</v>
      </c>
    </row>
    <row r="492" spans="2:10" x14ac:dyDescent="0.25">
      <c r="B492" s="53">
        <v>40884</v>
      </c>
      <c r="C492">
        <v>310.53159929999998</v>
      </c>
      <c r="D492" s="54">
        <f t="shared" si="67"/>
        <v>-6.0913385078046548E-4</v>
      </c>
      <c r="E492" s="54">
        <f t="shared" ca="1" si="68"/>
        <v>-5.1355284025213332E-2</v>
      </c>
      <c r="F492" s="64">
        <f t="shared" ca="1" si="69"/>
        <v>5.0746150174432868E-2</v>
      </c>
      <c r="G492">
        <f t="shared" ca="1" si="66"/>
        <v>4.3213431909783599E-2</v>
      </c>
      <c r="H492">
        <f t="shared" ca="1" si="70"/>
        <v>-1.2770341820762043</v>
      </c>
      <c r="I492">
        <f t="shared" ca="1" si="71"/>
        <v>0.76841489584845901</v>
      </c>
      <c r="J492" s="60">
        <v>487</v>
      </c>
    </row>
    <row r="493" spans="2:10" x14ac:dyDescent="0.25">
      <c r="B493" s="53">
        <v>40885</v>
      </c>
      <c r="C493">
        <v>306.87528209999999</v>
      </c>
      <c r="D493" s="54">
        <f t="shared" si="67"/>
        <v>-1.1774380476067672E-2</v>
      </c>
      <c r="E493" s="54">
        <f t="shared" ca="1" si="68"/>
        <v>-5.1321304536585304E-3</v>
      </c>
      <c r="F493" s="64">
        <f t="shared" ca="1" si="69"/>
        <v>-6.642250022409142E-3</v>
      </c>
      <c r="G493">
        <f t="shared" ca="1" si="66"/>
        <v>2.3501173568150867E-2</v>
      </c>
      <c r="H493">
        <f t="shared" ca="1" si="70"/>
        <v>-0.16095222874146103</v>
      </c>
      <c r="I493">
        <f t="shared" ca="1" si="71"/>
        <v>2.7287529884231234</v>
      </c>
      <c r="J493" s="57">
        <v>488</v>
      </c>
    </row>
    <row r="494" spans="2:10" x14ac:dyDescent="0.25">
      <c r="B494" s="53">
        <v>40886</v>
      </c>
      <c r="C494">
        <v>312.53907980000002</v>
      </c>
      <c r="D494" s="54">
        <f t="shared" si="67"/>
        <v>1.8456350284199161E-2</v>
      </c>
      <c r="E494" s="54">
        <f t="shared" ca="1" si="68"/>
        <v>3.2477984616311488E-3</v>
      </c>
      <c r="F494" s="64">
        <f t="shared" ca="1" si="69"/>
        <v>1.5208551822568011E-2</v>
      </c>
      <c r="G494">
        <f t="shared" ca="1" si="66"/>
        <v>6.0747419596775569E-3</v>
      </c>
      <c r="H494">
        <f t="shared" ca="1" si="70"/>
        <v>0.57970784781253137</v>
      </c>
      <c r="I494">
        <f t="shared" ca="1" si="71"/>
        <v>2.6096834652524326</v>
      </c>
      <c r="J494" s="60">
        <v>489</v>
      </c>
    </row>
    <row r="495" spans="2:10" x14ac:dyDescent="0.25">
      <c r="B495" s="53">
        <v>40889</v>
      </c>
      <c r="C495">
        <v>311.52784759999997</v>
      </c>
      <c r="D495" s="54">
        <f t="shared" si="67"/>
        <v>-3.2355384185784363E-3</v>
      </c>
      <c r="E495" s="54">
        <f t="shared" ca="1" si="68"/>
        <v>-1.5165793995094115E-2</v>
      </c>
      <c r="F495" s="64">
        <f t="shared" ca="1" si="69"/>
        <v>1.193025557651568E-2</v>
      </c>
      <c r="G495">
        <f t="shared" ca="1" si="66"/>
        <v>9.826619328839126E-3</v>
      </c>
      <c r="H495">
        <f t="shared" ca="1" si="70"/>
        <v>-1.0052289233898599</v>
      </c>
      <c r="I495">
        <f t="shared" ca="1" si="71"/>
        <v>2.6767359812757587</v>
      </c>
      <c r="J495" s="57">
        <v>490</v>
      </c>
    </row>
    <row r="496" spans="2:10" x14ac:dyDescent="0.25">
      <c r="B496" s="53">
        <v>40890</v>
      </c>
      <c r="C496">
        <v>311.64741550000002</v>
      </c>
      <c r="D496" s="54">
        <f t="shared" si="67"/>
        <v>3.838112737631536E-4</v>
      </c>
      <c r="E496" s="54">
        <f t="shared" ca="1" si="68"/>
        <v>1.315922269582483E-2</v>
      </c>
      <c r="F496" s="64">
        <f t="shared" ca="1" si="69"/>
        <v>-1.2775411422061676E-2</v>
      </c>
      <c r="G496">
        <f t="shared" ca="1" si="66"/>
        <v>1.6957582017735579E-2</v>
      </c>
      <c r="H496">
        <f t="shared" ca="1" si="70"/>
        <v>0.28719671747823472</v>
      </c>
      <c r="I496">
        <f t="shared" ca="1" si="71"/>
        <v>2.6235181729508192</v>
      </c>
      <c r="J496" s="60">
        <v>491</v>
      </c>
    </row>
    <row r="497" spans="2:10" x14ac:dyDescent="0.25">
      <c r="B497" s="53">
        <v>40891</v>
      </c>
      <c r="C497">
        <v>307.88150949999999</v>
      </c>
      <c r="D497" s="54">
        <f t="shared" si="67"/>
        <v>-1.2083867257355867E-2</v>
      </c>
      <c r="E497" s="54">
        <f t="shared" ca="1" si="68"/>
        <v>-3.1343700300000285E-3</v>
      </c>
      <c r="F497" s="64">
        <f t="shared" ca="1" si="69"/>
        <v>-8.9494972273558397E-3</v>
      </c>
      <c r="G497">
        <f t="shared" ca="1" si="66"/>
        <v>6.238867126699868E-3</v>
      </c>
      <c r="H497">
        <f t="shared" ca="1" si="70"/>
        <v>-0.26947705470640215</v>
      </c>
      <c r="I497">
        <f t="shared" ca="1" si="71"/>
        <v>2.6962958533213124</v>
      </c>
      <c r="J497" s="57">
        <v>492</v>
      </c>
    </row>
    <row r="498" spans="2:10" x14ac:dyDescent="0.25">
      <c r="B498" s="53">
        <v>40892</v>
      </c>
      <c r="C498">
        <v>308.61377979999997</v>
      </c>
      <c r="D498" s="54">
        <f t="shared" si="67"/>
        <v>2.378415973044922E-3</v>
      </c>
      <c r="E498" s="54">
        <f t="shared" ca="1" si="68"/>
        <v>-5.5357015168435312E-3</v>
      </c>
      <c r="F498" s="64">
        <f t="shared" ca="1" si="69"/>
        <v>7.9141174898884527E-3</v>
      </c>
      <c r="G498">
        <f t="shared" ca="1" si="66"/>
        <v>4.8238696518722122E-3</v>
      </c>
      <c r="H498">
        <f t="shared" ca="1" si="70"/>
        <v>-1.1832555628417589</v>
      </c>
      <c r="I498">
        <f t="shared" ca="1" si="71"/>
        <v>2.7352128602376404</v>
      </c>
      <c r="J498" s="60">
        <v>493</v>
      </c>
    </row>
    <row r="499" spans="2:10" x14ac:dyDescent="0.25">
      <c r="B499" s="53">
        <v>40893</v>
      </c>
      <c r="C499">
        <v>311.81178340000002</v>
      </c>
      <c r="D499" s="54">
        <f t="shared" si="67"/>
        <v>1.0362478312123799E-2</v>
      </c>
      <c r="E499" s="54">
        <f t="shared" ca="1" si="68"/>
        <v>5.7985588206956207E-2</v>
      </c>
      <c r="F499" s="64">
        <f t="shared" ca="1" si="69"/>
        <v>-4.7623109894832406E-2</v>
      </c>
      <c r="G499">
        <f t="shared" ca="1" si="66"/>
        <v>1.9806657542793264E-2</v>
      </c>
      <c r="H499">
        <f t="shared" ca="1" si="70"/>
        <v>3.2015827954418534</v>
      </c>
      <c r="I499">
        <f t="shared" ca="1" si="71"/>
        <v>0.87187304871965943</v>
      </c>
      <c r="J499" s="57">
        <v>494</v>
      </c>
    </row>
    <row r="500" spans="2:10" x14ac:dyDescent="0.25">
      <c r="B500" s="53">
        <v>40896</v>
      </c>
      <c r="C500">
        <v>309.75449859999998</v>
      </c>
      <c r="D500" s="54">
        <f t="shared" si="67"/>
        <v>-6.5978417414742493E-3</v>
      </c>
      <c r="E500" s="54">
        <f t="shared" ca="1" si="68"/>
        <v>4.5812338050026241E-3</v>
      </c>
      <c r="F500" s="64">
        <f t="shared" ca="1" si="69"/>
        <v>-1.1179075546476874E-2</v>
      </c>
      <c r="G500">
        <f t="shared" ca="1" si="66"/>
        <v>5.3639139735791645E-2</v>
      </c>
      <c r="H500">
        <f t="shared" ca="1" si="70"/>
        <v>6.5490628512715948E-2</v>
      </c>
      <c r="I500">
        <f t="shared" ca="1" si="71"/>
        <v>2.6567595020350803</v>
      </c>
      <c r="J500" s="60">
        <v>495</v>
      </c>
    </row>
    <row r="501" spans="2:10" x14ac:dyDescent="0.25">
      <c r="B501" s="53">
        <v>40897</v>
      </c>
      <c r="C501">
        <v>314.00856429999999</v>
      </c>
      <c r="D501" s="54">
        <f t="shared" si="67"/>
        <v>1.3733668822332359E-2</v>
      </c>
      <c r="E501" s="54">
        <f t="shared" ca="1" si="68"/>
        <v>9.8611678655423467E-3</v>
      </c>
      <c r="F501" s="64">
        <f t="shared" ca="1" si="69"/>
        <v>3.8725009567900127E-3</v>
      </c>
      <c r="G501">
        <f t="shared" ca="1" si="66"/>
        <v>1.2310646348669603E-2</v>
      </c>
      <c r="H501">
        <f t="shared" ca="1" si="70"/>
        <v>0.42299038312914505</v>
      </c>
      <c r="I501">
        <f t="shared" ca="1" si="71"/>
        <v>2.7677511819773812</v>
      </c>
      <c r="J501" s="57">
        <v>496</v>
      </c>
    </row>
    <row r="502" spans="2:10" x14ac:dyDescent="0.25">
      <c r="B502" s="53">
        <v>40898</v>
      </c>
      <c r="C502">
        <v>311.74205080000002</v>
      </c>
      <c r="D502" s="54">
        <f t="shared" si="67"/>
        <v>-7.2179989900994354E-3</v>
      </c>
      <c r="E502" s="54">
        <f t="shared" ca="1" si="68"/>
        <v>-1.5620261132008447E-2</v>
      </c>
      <c r="F502" s="64">
        <f t="shared" ca="1" si="69"/>
        <v>8.4022621419090129E-3</v>
      </c>
      <c r="G502">
        <f t="shared" ca="1" si="66"/>
        <v>7.6637251188994083E-3</v>
      </c>
      <c r="H502">
        <f t="shared" ca="1" si="70"/>
        <v>-1.6515825847410412</v>
      </c>
      <c r="I502">
        <f t="shared" ca="1" si="71"/>
        <v>2.7294965407222582</v>
      </c>
      <c r="J502" s="60">
        <v>497</v>
      </c>
    </row>
    <row r="503" spans="2:10" x14ac:dyDescent="0.25">
      <c r="B503" s="53">
        <v>40899</v>
      </c>
      <c r="C503">
        <v>313.67482380000001</v>
      </c>
      <c r="D503" s="54">
        <f t="shared" si="67"/>
        <v>6.1999110964981096E-3</v>
      </c>
      <c r="E503" s="54">
        <f t="shared" ca="1" si="68"/>
        <v>-1.0935721294689952E-2</v>
      </c>
      <c r="F503" s="64">
        <f t="shared" ca="1" si="69"/>
        <v>1.7135632391188062E-2</v>
      </c>
      <c r="G503">
        <f t="shared" ca="1" si="66"/>
        <v>2.764116835546326E-2</v>
      </c>
      <c r="H503">
        <f t="shared" ca="1" si="70"/>
        <v>-0.61877495245002023</v>
      </c>
      <c r="I503">
        <f t="shared" ca="1" si="71"/>
        <v>2.5621640536713048</v>
      </c>
      <c r="J503" s="57">
        <v>498</v>
      </c>
    </row>
    <row r="504" spans="2:10" x14ac:dyDescent="0.25">
      <c r="B504" s="53">
        <v>40900</v>
      </c>
      <c r="C504">
        <v>315.3883889</v>
      </c>
      <c r="D504" s="54">
        <f t="shared" si="67"/>
        <v>5.4628710052055584E-3</v>
      </c>
      <c r="E504" s="54">
        <f t="shared" ca="1" si="68"/>
        <v>8.6560616371868116E-3</v>
      </c>
      <c r="F504" s="64">
        <f t="shared" ca="1" si="69"/>
        <v>-3.1931906319812532E-3</v>
      </c>
      <c r="G504">
        <f t="shared" ca="1" si="66"/>
        <v>1.2138749304302768E-2</v>
      </c>
      <c r="H504">
        <f t="shared" ca="1" si="70"/>
        <v>0.98014238569728396</v>
      </c>
      <c r="I504">
        <f t="shared" ca="1" si="71"/>
        <v>2.7612331154846022</v>
      </c>
      <c r="J504" s="60">
        <v>499</v>
      </c>
    </row>
    <row r="505" spans="2:10" x14ac:dyDescent="0.25">
      <c r="B505" s="53">
        <v>40904</v>
      </c>
      <c r="C505">
        <v>318.93011209999997</v>
      </c>
      <c r="D505" s="54">
        <f t="shared" si="67"/>
        <v>1.1229719687375525E-2</v>
      </c>
      <c r="E505" s="54">
        <f t="shared" ca="1" si="68"/>
        <v>-2.819550121464658E-2</v>
      </c>
      <c r="F505" s="64">
        <f t="shared" ca="1" si="69"/>
        <v>3.9425220902022107E-2</v>
      </c>
      <c r="G505">
        <f t="shared" ca="1" si="66"/>
        <v>1.6622853958391661E-2</v>
      </c>
      <c r="H505">
        <f t="shared" ca="1" si="70"/>
        <v>-1.8637052147653064</v>
      </c>
      <c r="I505">
        <f t="shared" ca="1" si="71"/>
        <v>1.5764562021754902</v>
      </c>
      <c r="J505" s="57">
        <v>500</v>
      </c>
    </row>
    <row r="506" spans="2:10" x14ac:dyDescent="0.25">
      <c r="B506" s="53">
        <v>40905</v>
      </c>
      <c r="C506">
        <v>318.65615550000001</v>
      </c>
      <c r="D506" s="54">
        <f t="shared" si="67"/>
        <v>-8.5898630955882926E-4</v>
      </c>
      <c r="E506" s="54">
        <f t="shared" ca="1" si="68"/>
        <v>1.8152141829724244E-3</v>
      </c>
      <c r="F506" s="64">
        <f t="shared" ca="1" si="69"/>
        <v>-2.6742004925312535E-3</v>
      </c>
      <c r="G506">
        <f t="shared" ca="1" si="66"/>
        <v>3.135408907321726E-2</v>
      </c>
      <c r="H506">
        <f t="shared" ca="1" si="70"/>
        <v>-2.0363025809479612E-2</v>
      </c>
      <c r="I506">
        <f t="shared" ca="1" si="71"/>
        <v>2.7644567760375569</v>
      </c>
      <c r="J506" s="60">
        <v>501</v>
      </c>
    </row>
    <row r="507" spans="2:10" x14ac:dyDescent="0.25">
      <c r="B507" s="53">
        <v>40906</v>
      </c>
      <c r="C507">
        <v>320.00109780000003</v>
      </c>
      <c r="D507" s="54">
        <f t="shared" si="67"/>
        <v>4.2206694482009267E-3</v>
      </c>
      <c r="E507" s="54">
        <f t="shared" ca="1" si="68"/>
        <v>9.5302433508507051E-3</v>
      </c>
      <c r="F507" s="64">
        <f t="shared" ca="1" si="69"/>
        <v>-5.3095739026497784E-3</v>
      </c>
      <c r="G507">
        <f t="shared" ca="1" si="66"/>
        <v>7.2221819902795314E-3</v>
      </c>
      <c r="H507">
        <f t="shared" ca="1" si="70"/>
        <v>0.62124800170555416</v>
      </c>
      <c r="I507">
        <f t="shared" ca="1" si="71"/>
        <v>2.7435815019359806</v>
      </c>
      <c r="J507" s="57">
        <v>502</v>
      </c>
    </row>
    <row r="508" spans="2:10" x14ac:dyDescent="0.25">
      <c r="B508" s="53">
        <v>40907</v>
      </c>
      <c r="C508">
        <v>321.74457039999999</v>
      </c>
      <c r="D508" s="54">
        <f t="shared" si="67"/>
        <v>5.4483331838118499E-3</v>
      </c>
      <c r="E508" s="54">
        <f t="shared" ca="1" si="68"/>
        <v>7.9268272549669859E-3</v>
      </c>
      <c r="F508" s="64">
        <f t="shared" ca="1" si="69"/>
        <v>-2.478494071155136E-3</v>
      </c>
      <c r="G508">
        <f t="shared" ca="1" si="66"/>
        <v>1.0547681950692042E-2</v>
      </c>
      <c r="H508">
        <f t="shared" ca="1" si="70"/>
        <v>0.78809187769992395</v>
      </c>
      <c r="I508">
        <f t="shared" ca="1" si="71"/>
        <v>2.7655593908518137</v>
      </c>
      <c r="J508" s="60">
        <v>503</v>
      </c>
    </row>
    <row r="509" spans="2:10" x14ac:dyDescent="0.25">
      <c r="B509" s="53">
        <v>40911</v>
      </c>
      <c r="C509">
        <v>331.46315370000002</v>
      </c>
      <c r="D509" s="54">
        <f t="shared" si="67"/>
        <v>3.0205896832750514E-2</v>
      </c>
      <c r="E509" s="54">
        <f t="shared" ca="1" si="68"/>
        <v>1.6211902244183618E-2</v>
      </c>
      <c r="F509" s="64">
        <f t="shared" ca="1" si="69"/>
        <v>1.3993994588566896E-2</v>
      </c>
      <c r="G509">
        <f t="shared" ca="1" si="66"/>
        <v>1.341017786536274E-2</v>
      </c>
      <c r="H509">
        <f t="shared" ca="1" si="70"/>
        <v>1.0675638542478181</v>
      </c>
      <c r="I509">
        <f t="shared" ca="1" si="71"/>
        <v>2.6365503301921107</v>
      </c>
      <c r="J509" s="57">
        <v>504</v>
      </c>
    </row>
    <row r="510" spans="2:10" x14ac:dyDescent="0.25">
      <c r="B510" s="53">
        <v>40912</v>
      </c>
      <c r="C510">
        <v>332.89281299999999</v>
      </c>
      <c r="D510" s="54">
        <f t="shared" si="67"/>
        <v>4.3131771481723178E-3</v>
      </c>
      <c r="E510" s="54">
        <f t="shared" ca="1" si="68"/>
        <v>1.9459430609600457E-2</v>
      </c>
      <c r="F510" s="64">
        <f t="shared" ca="1" si="69"/>
        <v>-1.5146253461428139E-2</v>
      </c>
      <c r="G510">
        <f t="shared" ca="1" si="66"/>
        <v>1.810745928903143E-2</v>
      </c>
      <c r="H510">
        <f t="shared" ca="1" si="70"/>
        <v>0.93949980675689926</v>
      </c>
      <c r="I510">
        <f t="shared" ca="1" si="71"/>
        <v>2.5665503925387041</v>
      </c>
      <c r="J510" s="60">
        <v>505</v>
      </c>
    </row>
    <row r="511" spans="2:10" x14ac:dyDescent="0.25">
      <c r="B511" s="53">
        <v>40913</v>
      </c>
      <c r="C511">
        <v>328.27509880000002</v>
      </c>
      <c r="D511" s="54">
        <f t="shared" si="67"/>
        <v>-1.3871474599843543E-2</v>
      </c>
      <c r="E511" s="54">
        <f t="shared" ca="1" si="68"/>
        <v>9.3741806793993382E-3</v>
      </c>
      <c r="F511" s="64">
        <f t="shared" ca="1" si="69"/>
        <v>-2.3245655279242883E-2</v>
      </c>
      <c r="G511">
        <f t="shared" ca="1" si="66"/>
        <v>1.624662850796876E-2</v>
      </c>
      <c r="H511">
        <f t="shared" ca="1" si="70"/>
        <v>-0.25802072673108378</v>
      </c>
      <c r="I511">
        <f t="shared" ca="1" si="71"/>
        <v>2.3034239371972003</v>
      </c>
      <c r="J511" s="57">
        <v>506</v>
      </c>
    </row>
    <row r="512" spans="2:10" x14ac:dyDescent="0.25">
      <c r="B512" s="53">
        <v>40914</v>
      </c>
      <c r="C512">
        <v>323.7968808</v>
      </c>
      <c r="D512" s="54">
        <f t="shared" si="67"/>
        <v>-1.3641662180195881E-2</v>
      </c>
      <c r="E512" s="54">
        <f t="shared" ca="1" si="68"/>
        <v>-1.4662825797507953E-3</v>
      </c>
      <c r="F512" s="64">
        <f t="shared" ca="1" si="69"/>
        <v>-1.2175379600445086E-2</v>
      </c>
      <c r="G512">
        <f t="shared" ca="1" si="66"/>
        <v>5.7676902322994442E-3</v>
      </c>
      <c r="H512">
        <f t="shared" ca="1" si="70"/>
        <v>-0.59004170338716422</v>
      </c>
      <c r="I512">
        <f t="shared" ca="1" si="71"/>
        <v>2.6364959054301682</v>
      </c>
      <c r="J512" s="60">
        <v>507</v>
      </c>
    </row>
    <row r="513" spans="2:10" x14ac:dyDescent="0.25">
      <c r="B513" s="53">
        <v>40917</v>
      </c>
      <c r="C513">
        <v>310.0683113</v>
      </c>
      <c r="D513" s="54">
        <f t="shared" si="67"/>
        <v>-4.2398708307754621E-2</v>
      </c>
      <c r="E513" s="54">
        <f t="shared" ca="1" si="68"/>
        <v>2.9974194918977442E-3</v>
      </c>
      <c r="F513" s="64">
        <f t="shared" ca="1" si="69"/>
        <v>-4.5396127799652367E-2</v>
      </c>
      <c r="G513">
        <f t="shared" ca="1" si="66"/>
        <v>9.9870684991794252E-3</v>
      </c>
      <c r="H513">
        <f t="shared" ca="1" si="70"/>
        <v>0.92395597886524039</v>
      </c>
      <c r="I513">
        <f t="shared" ca="1" si="71"/>
        <v>1.0425026057795062</v>
      </c>
      <c r="J513" s="57">
        <v>508</v>
      </c>
    </row>
    <row r="514" spans="2:10" x14ac:dyDescent="0.25">
      <c r="B514" s="53">
        <v>40918</v>
      </c>
      <c r="C514">
        <v>310.40705709999997</v>
      </c>
      <c r="D514" s="54">
        <f t="shared" si="67"/>
        <v>1.0924876475759027E-3</v>
      </c>
      <c r="E514" s="54">
        <f t="shared" ca="1" si="68"/>
        <v>8.912797879378799E-3</v>
      </c>
      <c r="F514" s="64">
        <f t="shared" ca="1" si="69"/>
        <v>-7.8203102318028968E-3</v>
      </c>
      <c r="G514">
        <f t="shared" ca="1" si="66"/>
        <v>1.5621823613188507E-2</v>
      </c>
      <c r="H514">
        <f t="shared" ca="1" si="70"/>
        <v>0.96277314572298067</v>
      </c>
      <c r="I514">
        <f t="shared" ca="1" si="71"/>
        <v>2.7132553352026507</v>
      </c>
      <c r="J514" s="60">
        <v>509</v>
      </c>
    </row>
    <row r="515" spans="2:10" x14ac:dyDescent="0.25">
      <c r="B515" s="53">
        <v>40919</v>
      </c>
      <c r="C515">
        <v>311.81178340000002</v>
      </c>
      <c r="D515" s="54">
        <f t="shared" si="67"/>
        <v>4.5254328723187071E-3</v>
      </c>
      <c r="E515" s="54">
        <f t="shared" ca="1" si="68"/>
        <v>-4.9598057507245323E-2</v>
      </c>
      <c r="F515" s="64">
        <f t="shared" ca="1" si="69"/>
        <v>5.4123490379564029E-2</v>
      </c>
      <c r="G515">
        <f t="shared" ca="1" si="66"/>
        <v>1.6490479184264006E-2</v>
      </c>
      <c r="H515">
        <f t="shared" ca="1" si="70"/>
        <v>-1.8529459886817072</v>
      </c>
      <c r="I515">
        <f t="shared" ca="1" si="71"/>
        <v>0.48725050520545554</v>
      </c>
      <c r="J515" s="57">
        <v>510</v>
      </c>
    </row>
    <row r="516" spans="2:10" x14ac:dyDescent="0.25">
      <c r="B516" s="53">
        <v>40920</v>
      </c>
      <c r="C516">
        <v>313.6449164</v>
      </c>
      <c r="D516" s="54">
        <f t="shared" si="67"/>
        <v>5.8789728213971505E-3</v>
      </c>
      <c r="E516" s="54">
        <f t="shared" ca="1" si="68"/>
        <v>2.2112101437025541E-3</v>
      </c>
      <c r="F516" s="64">
        <f t="shared" ca="1" si="69"/>
        <v>3.6677626776945964E-3</v>
      </c>
      <c r="G516">
        <f t="shared" ca="1" si="66"/>
        <v>3.1172267982587397E-2</v>
      </c>
      <c r="H516">
        <f t="shared" ca="1" si="70"/>
        <v>5.5192457361299019E-2</v>
      </c>
      <c r="I516">
        <f t="shared" ca="1" si="71"/>
        <v>2.7686971333861661</v>
      </c>
      <c r="J516" s="60">
        <v>511</v>
      </c>
    </row>
    <row r="517" spans="2:10" x14ac:dyDescent="0.25">
      <c r="B517" s="53">
        <v>40921</v>
      </c>
      <c r="C517">
        <v>311.328598</v>
      </c>
      <c r="D517" s="54">
        <f t="shared" si="67"/>
        <v>-7.3851616234899709E-3</v>
      </c>
      <c r="E517" s="54">
        <f t="shared" ca="1" si="68"/>
        <v>-5.8736390418739617E-3</v>
      </c>
      <c r="F517" s="64">
        <f t="shared" ca="1" si="69"/>
        <v>-1.5115225816160092E-3</v>
      </c>
      <c r="G517">
        <f t="shared" ref="G517:G580" ca="1" si="72">SQRT(A_0+A_1*POWER(H516,2)+B_1*POWER(G516,2))</f>
        <v>7.2320810358440886E-3</v>
      </c>
      <c r="H517">
        <f t="shared" ca="1" si="70"/>
        <v>-1.0932127084700012</v>
      </c>
      <c r="I517">
        <f t="shared" ca="1" si="71"/>
        <v>2.7700990576045315</v>
      </c>
      <c r="J517" s="57">
        <v>512</v>
      </c>
    </row>
    <row r="518" spans="2:10" x14ac:dyDescent="0.25">
      <c r="B518" s="53">
        <v>40925</v>
      </c>
      <c r="C518">
        <v>313.11690049999999</v>
      </c>
      <c r="D518" s="54">
        <f t="shared" si="67"/>
        <v>5.7440996795289139E-3</v>
      </c>
      <c r="E518" s="54">
        <f t="shared" ca="1" si="68"/>
        <v>-5.9748907099081202E-3</v>
      </c>
      <c r="F518" s="64">
        <f t="shared" ca="1" si="69"/>
        <v>1.1718990389437033E-2</v>
      </c>
      <c r="G518">
        <f t="shared" ca="1" si="72"/>
        <v>1.8349428084933228E-2</v>
      </c>
      <c r="H518">
        <f t="shared" ca="1" si="70"/>
        <v>-0.46950389071883974</v>
      </c>
      <c r="I518">
        <f t="shared" ca="1" si="71"/>
        <v>2.6804615025595351</v>
      </c>
      <c r="J518" s="60">
        <v>513</v>
      </c>
    </row>
    <row r="519" spans="2:10" x14ac:dyDescent="0.25">
      <c r="B519" s="53">
        <v>40926</v>
      </c>
      <c r="C519">
        <v>315.2738253</v>
      </c>
      <c r="D519" s="54">
        <f t="shared" ref="D519:D582" si="73">(C519-C518)/C518</f>
        <v>6.8885607789159024E-3</v>
      </c>
      <c r="E519" s="54">
        <f t="shared" ca="1" si="68"/>
        <v>4.2800227156557557E-3</v>
      </c>
      <c r="F519" s="64">
        <f t="shared" ca="1" si="69"/>
        <v>2.6085380632601468E-3</v>
      </c>
      <c r="G519">
        <f t="shared" ca="1" si="72"/>
        <v>8.9391732125403429E-3</v>
      </c>
      <c r="H519">
        <f t="shared" ca="1" si="70"/>
        <v>0.84982666094665338</v>
      </c>
      <c r="I519">
        <f t="shared" ca="1" si="71"/>
        <v>2.7725094650402307</v>
      </c>
      <c r="J519" s="57">
        <v>514</v>
      </c>
    </row>
    <row r="520" spans="2:10" x14ac:dyDescent="0.25">
      <c r="B520" s="53">
        <v>40927</v>
      </c>
      <c r="C520">
        <v>318.59139720000002</v>
      </c>
      <c r="D520" s="54">
        <f t="shared" si="73"/>
        <v>1.0522826932566225E-2</v>
      </c>
      <c r="E520" s="54">
        <f t="shared" ref="E520:E583" ca="1" si="74">((E_1*D519)+(E_2*D518)+(G520*H520))</f>
        <v>-4.6925326088688192E-3</v>
      </c>
      <c r="F520" s="64">
        <f t="shared" ca="1" si="69"/>
        <v>1.5215359541435044E-2</v>
      </c>
      <c r="G520">
        <f t="shared" ca="1" si="72"/>
        <v>1.4365857872742678E-2</v>
      </c>
      <c r="H520">
        <f t="shared" ca="1" si="70"/>
        <v>-0.50623092600805453</v>
      </c>
      <c r="I520">
        <f t="shared" ca="1" si="71"/>
        <v>2.6095261564530494</v>
      </c>
      <c r="J520" s="60">
        <v>515</v>
      </c>
    </row>
    <row r="521" spans="2:10" x14ac:dyDescent="0.25">
      <c r="B521" s="53">
        <v>40928</v>
      </c>
      <c r="C521">
        <v>291.90137950000002</v>
      </c>
      <c r="D521" s="54">
        <f t="shared" si="73"/>
        <v>-8.3775073446961223E-2</v>
      </c>
      <c r="E521" s="54">
        <f t="shared" ca="1" si="74"/>
        <v>-7.6940201926778288E-4</v>
      </c>
      <c r="F521" s="64">
        <f t="shared" ref="F521:F584" ca="1" si="75">D521-E521</f>
        <v>-8.3005671427693439E-2</v>
      </c>
      <c r="G521">
        <f t="shared" ca="1" si="72"/>
        <v>9.1174840817004974E-3</v>
      </c>
      <c r="H521">
        <f t="shared" ref="H521:H584" ca="1" si="76">_xlfn.NORM.INV(RAND(),0,1)</f>
        <v>-0.42373246194580266</v>
      </c>
      <c r="I521">
        <f t="shared" ref="I521:I584" ca="1" si="77">LN(_xlfn.NORM.DIST(F521,AVERAGE($F$8:$F$1413),_xlfn.STDEV.S($F$8:$F$1413),FALSE))</f>
        <v>-2.9141667450055522</v>
      </c>
      <c r="J521" s="57">
        <v>516</v>
      </c>
    </row>
    <row r="522" spans="2:10" x14ac:dyDescent="0.25">
      <c r="B522" s="53">
        <v>40931</v>
      </c>
      <c r="C522">
        <v>291.66724809999999</v>
      </c>
      <c r="D522" s="54">
        <f t="shared" si="73"/>
        <v>-8.0209076230153221E-4</v>
      </c>
      <c r="E522" s="54">
        <f t="shared" ca="1" si="74"/>
        <v>5.1267932674105687E-3</v>
      </c>
      <c r="F522" s="64">
        <f t="shared" ca="1" si="75"/>
        <v>-5.9288840297121006E-3</v>
      </c>
      <c r="G522">
        <f t="shared" ca="1" si="72"/>
        <v>7.440174843482068E-3</v>
      </c>
      <c r="H522">
        <f t="shared" ca="1" si="76"/>
        <v>5.406118549011487E-2</v>
      </c>
      <c r="I522">
        <f t="shared" ca="1" si="77"/>
        <v>2.7370474337121844</v>
      </c>
      <c r="J522" s="60">
        <v>517</v>
      </c>
    </row>
    <row r="523" spans="2:10" x14ac:dyDescent="0.25">
      <c r="B523" s="53">
        <v>40932</v>
      </c>
      <c r="C523">
        <v>289.38083660000001</v>
      </c>
      <c r="D523" s="54">
        <f t="shared" si="73"/>
        <v>-7.8391095157042609E-3</v>
      </c>
      <c r="E523" s="54">
        <f t="shared" ca="1" si="74"/>
        <v>-3.9786239361465671E-2</v>
      </c>
      <c r="F523" s="64">
        <f t="shared" ca="1" si="75"/>
        <v>3.194712984576141E-2</v>
      </c>
      <c r="G523">
        <f t="shared" ca="1" si="72"/>
        <v>2.1690890059891722E-3</v>
      </c>
      <c r="H523">
        <f t="shared" ca="1" si="76"/>
        <v>-0.99634554792515984</v>
      </c>
      <c r="I523">
        <f t="shared" ca="1" si="77"/>
        <v>1.9966398753820915</v>
      </c>
      <c r="J523" s="57">
        <v>518</v>
      </c>
    </row>
    <row r="524" spans="2:10" x14ac:dyDescent="0.25">
      <c r="B524" s="53">
        <v>40933</v>
      </c>
      <c r="C524">
        <v>283.682188</v>
      </c>
      <c r="D524" s="54">
        <f t="shared" si="73"/>
        <v>-1.9692556932776564E-2</v>
      </c>
      <c r="E524" s="54">
        <f t="shared" ca="1" si="74"/>
        <v>-2.3664233005432203E-2</v>
      </c>
      <c r="F524" s="64">
        <f t="shared" ca="1" si="75"/>
        <v>3.9716760726556388E-3</v>
      </c>
      <c r="G524">
        <f t="shared" ca="1" si="72"/>
        <v>1.666846809020733E-2</v>
      </c>
      <c r="H524">
        <f t="shared" ca="1" si="76"/>
        <v>-1.3980806609398309</v>
      </c>
      <c r="I524">
        <f t="shared" ca="1" si="77"/>
        <v>2.7672686137400122</v>
      </c>
      <c r="J524" s="60">
        <v>519</v>
      </c>
    </row>
    <row r="525" spans="2:10" x14ac:dyDescent="0.25">
      <c r="B525" s="53">
        <v>40934</v>
      </c>
      <c r="C525">
        <v>282.98977339999999</v>
      </c>
      <c r="D525" s="54">
        <f t="shared" si="73"/>
        <v>-2.4408109824646672E-3</v>
      </c>
      <c r="E525" s="54">
        <f t="shared" ca="1" si="74"/>
        <v>7.9764036614428276E-3</v>
      </c>
      <c r="F525" s="64">
        <f t="shared" ca="1" si="75"/>
        <v>-1.0417214643907494E-2</v>
      </c>
      <c r="G525">
        <f t="shared" ca="1" si="72"/>
        <v>2.3664650384846574E-2</v>
      </c>
      <c r="H525">
        <f t="shared" ca="1" si="76"/>
        <v>0.48584888996193909</v>
      </c>
      <c r="I525">
        <f t="shared" ca="1" si="77"/>
        <v>2.6711726841025989</v>
      </c>
      <c r="J525" s="57">
        <v>520</v>
      </c>
    </row>
    <row r="526" spans="2:10" x14ac:dyDescent="0.25">
      <c r="B526" s="53">
        <v>40935</v>
      </c>
      <c r="C526">
        <v>288.90759989999998</v>
      </c>
      <c r="D526" s="54">
        <f t="shared" si="73"/>
        <v>2.0911803380383179E-2</v>
      </c>
      <c r="E526" s="54">
        <f t="shared" ca="1" si="74"/>
        <v>-7.8491967365823916E-3</v>
      </c>
      <c r="F526" s="64">
        <f t="shared" ca="1" si="75"/>
        <v>2.8761000116965571E-2</v>
      </c>
      <c r="G526">
        <f t="shared" ca="1" si="72"/>
        <v>9.7903291790863312E-3</v>
      </c>
      <c r="H526">
        <f t="shared" ca="1" si="76"/>
        <v>0.10164796683490426</v>
      </c>
      <c r="I526">
        <f t="shared" ca="1" si="77"/>
        <v>2.1482144941430805</v>
      </c>
      <c r="J526" s="60">
        <v>521</v>
      </c>
    </row>
    <row r="527" spans="2:10" x14ac:dyDescent="0.25">
      <c r="B527" s="53">
        <v>40938</v>
      </c>
      <c r="C527">
        <v>287.76688159999998</v>
      </c>
      <c r="D527" s="54">
        <f t="shared" si="73"/>
        <v>-3.9483845367683018E-3</v>
      </c>
      <c r="E527" s="54">
        <f t="shared" ca="1" si="74"/>
        <v>-6.4977191262524147E-3</v>
      </c>
      <c r="F527" s="64">
        <f t="shared" ca="1" si="75"/>
        <v>2.5493345894841129E-3</v>
      </c>
      <c r="G527">
        <f t="shared" ca="1" si="72"/>
        <v>2.978460061440587E-3</v>
      </c>
      <c r="H527">
        <f t="shared" ca="1" si="76"/>
        <v>-1.8136427214426878</v>
      </c>
      <c r="I527">
        <f t="shared" ca="1" si="77"/>
        <v>2.7726690552418516</v>
      </c>
      <c r="J527" s="57">
        <v>522</v>
      </c>
    </row>
    <row r="528" spans="2:10" x14ac:dyDescent="0.25">
      <c r="B528" s="53">
        <v>40939</v>
      </c>
      <c r="C528">
        <v>288.97235819999997</v>
      </c>
      <c r="D528" s="54">
        <f t="shared" si="73"/>
        <v>4.1890734378378768E-3</v>
      </c>
      <c r="E528" s="54">
        <f t="shared" ca="1" si="74"/>
        <v>-8.5175448216493754E-3</v>
      </c>
      <c r="F528" s="64">
        <f t="shared" ca="1" si="75"/>
        <v>1.2706618259487252E-2</v>
      </c>
      <c r="G528">
        <f t="shared" ca="1" si="72"/>
        <v>3.0296960754021097E-2</v>
      </c>
      <c r="H528">
        <f t="shared" ca="1" si="76"/>
        <v>-0.59112815474990632</v>
      </c>
      <c r="I528">
        <f t="shared" ca="1" si="77"/>
        <v>2.6624258969385193</v>
      </c>
      <c r="J528" s="60">
        <v>523</v>
      </c>
    </row>
    <row r="529" spans="2:10" x14ac:dyDescent="0.25">
      <c r="B529" s="53">
        <v>40940</v>
      </c>
      <c r="C529">
        <v>289.33100139999999</v>
      </c>
      <c r="D529" s="54">
        <f t="shared" si="73"/>
        <v>1.2410986373713902E-3</v>
      </c>
      <c r="E529" s="54">
        <f t="shared" ca="1" si="74"/>
        <v>6.4376872369876111E-3</v>
      </c>
      <c r="F529" s="64">
        <f t="shared" ca="1" si="75"/>
        <v>-5.1965885996162206E-3</v>
      </c>
      <c r="G529">
        <f t="shared" ca="1" si="72"/>
        <v>1.2083730180826827E-2</v>
      </c>
      <c r="H529">
        <f t="shared" ca="1" si="76"/>
        <v>0.67950156922225302</v>
      </c>
      <c r="I529">
        <f t="shared" ca="1" si="77"/>
        <v>2.7447067176329623</v>
      </c>
      <c r="J529" s="57">
        <v>524</v>
      </c>
    </row>
    <row r="530" spans="2:10" x14ac:dyDescent="0.25">
      <c r="B530" s="53">
        <v>40941</v>
      </c>
      <c r="C530">
        <v>291.46302400000002</v>
      </c>
      <c r="D530" s="54">
        <f t="shared" si="73"/>
        <v>7.3688010952290151E-3</v>
      </c>
      <c r="E530" s="54">
        <f t="shared" ca="1" si="74"/>
        <v>1.2820611742297918E-4</v>
      </c>
      <c r="F530" s="64">
        <f t="shared" ca="1" si="75"/>
        <v>7.2405949778060362E-3</v>
      </c>
      <c r="G530">
        <f t="shared" ca="1" si="72"/>
        <v>1.1714792318565533E-2</v>
      </c>
      <c r="H530">
        <f t="shared" ca="1" si="76"/>
        <v>-0.14965797127700242</v>
      </c>
      <c r="I530">
        <f t="shared" ca="1" si="77"/>
        <v>2.7424679213339735</v>
      </c>
      <c r="J530" s="60">
        <v>525</v>
      </c>
    </row>
    <row r="531" spans="2:10" x14ac:dyDescent="0.25">
      <c r="B531" s="53">
        <v>40942</v>
      </c>
      <c r="C531">
        <v>297.05208390000001</v>
      </c>
      <c r="D531" s="54">
        <f t="shared" si="73"/>
        <v>1.917587975070208E-2</v>
      </c>
      <c r="E531" s="54">
        <f t="shared" ca="1" si="74"/>
        <v>1.6262052810327881E-3</v>
      </c>
      <c r="F531" s="64">
        <f t="shared" ca="1" si="75"/>
        <v>1.7549674469669291E-2</v>
      </c>
      <c r="G531">
        <f t="shared" ca="1" si="72"/>
        <v>3.7922074593236708E-3</v>
      </c>
      <c r="H531">
        <f t="shared" ca="1" si="76"/>
        <v>0.28180843142420781</v>
      </c>
      <c r="I531">
        <f t="shared" ca="1" si="77"/>
        <v>2.5511711988311547</v>
      </c>
      <c r="J531" s="57">
        <v>526</v>
      </c>
    </row>
    <row r="532" spans="2:10" x14ac:dyDescent="0.25">
      <c r="B532" s="53">
        <v>40945</v>
      </c>
      <c r="C532">
        <v>303.40826579999998</v>
      </c>
      <c r="D532" s="54">
        <f t="shared" si="73"/>
        <v>2.1397533444470703E-2</v>
      </c>
      <c r="E532" s="54">
        <f t="shared" ca="1" si="74"/>
        <v>3.9175809171430494E-3</v>
      </c>
      <c r="F532" s="64">
        <f t="shared" ca="1" si="75"/>
        <v>1.7479952527327654E-2</v>
      </c>
      <c r="G532">
        <f t="shared" ca="1" si="72"/>
        <v>4.8877233679242337E-3</v>
      </c>
      <c r="H532">
        <f t="shared" ca="1" si="76"/>
        <v>0.1243471136389795</v>
      </c>
      <c r="I532">
        <f t="shared" ca="1" si="77"/>
        <v>2.5530417171230151</v>
      </c>
      <c r="J532" s="60">
        <v>527</v>
      </c>
    </row>
    <row r="533" spans="2:10" x14ac:dyDescent="0.25">
      <c r="B533" s="53">
        <v>40946</v>
      </c>
      <c r="C533">
        <v>302.25259360000001</v>
      </c>
      <c r="D533" s="54">
        <f t="shared" si="73"/>
        <v>-3.808967422007425E-3</v>
      </c>
      <c r="E533" s="54">
        <f t="shared" ca="1" si="74"/>
        <v>1.2441653780588499E-2</v>
      </c>
      <c r="F533" s="64">
        <f t="shared" ca="1" si="75"/>
        <v>-1.6250621202595922E-2</v>
      </c>
      <c r="G533">
        <f t="shared" ca="1" si="72"/>
        <v>2.5622876491261603E-3</v>
      </c>
      <c r="H533">
        <f t="shared" ca="1" si="76"/>
        <v>1.4943729561798347</v>
      </c>
      <c r="I533">
        <f t="shared" ca="1" si="77"/>
        <v>2.5369135408600427</v>
      </c>
      <c r="J533" s="57">
        <v>528</v>
      </c>
    </row>
    <row r="534" spans="2:10" x14ac:dyDescent="0.25">
      <c r="B534" s="53">
        <v>40947</v>
      </c>
      <c r="C534">
        <v>303.78686720000002</v>
      </c>
      <c r="D534" s="54">
        <f t="shared" si="73"/>
        <v>5.0761304699686316E-3</v>
      </c>
      <c r="E534" s="54">
        <f t="shared" ca="1" si="74"/>
        <v>9.5627806778050065E-3</v>
      </c>
      <c r="F534" s="64">
        <f t="shared" ca="1" si="75"/>
        <v>-4.4866502078363749E-3</v>
      </c>
      <c r="G534">
        <f t="shared" ca="1" si="72"/>
        <v>2.4970654952381481E-2</v>
      </c>
      <c r="H534">
        <f t="shared" ca="1" si="76"/>
        <v>-1.8907997608502995E-3</v>
      </c>
      <c r="I534">
        <f t="shared" ca="1" si="77"/>
        <v>2.751304982332424</v>
      </c>
      <c r="J534" s="60">
        <v>529</v>
      </c>
    </row>
    <row r="535" spans="2:10" x14ac:dyDescent="0.25">
      <c r="B535" s="53">
        <v>40948</v>
      </c>
      <c r="C535">
        <v>304.58884030000002</v>
      </c>
      <c r="D535" s="54">
        <f t="shared" si="73"/>
        <v>2.6399202420821365E-3</v>
      </c>
      <c r="E535" s="54">
        <f t="shared" ca="1" si="74"/>
        <v>-1.0997583258238507E-2</v>
      </c>
      <c r="F535" s="64">
        <f t="shared" ca="1" si="75"/>
        <v>1.3637503500320643E-2</v>
      </c>
      <c r="G535">
        <f t="shared" ca="1" si="72"/>
        <v>5.7778096443831901E-3</v>
      </c>
      <c r="H535">
        <f t="shared" ca="1" si="76"/>
        <v>-1.6073543007663973</v>
      </c>
      <c r="I535">
        <f t="shared" ca="1" si="77"/>
        <v>2.6439837030176538</v>
      </c>
      <c r="J535" s="57">
        <v>530</v>
      </c>
    </row>
    <row r="536" spans="2:10" x14ac:dyDescent="0.25">
      <c r="B536" s="53">
        <v>40949</v>
      </c>
      <c r="C536">
        <v>301.82421770000002</v>
      </c>
      <c r="D536" s="54">
        <f t="shared" si="73"/>
        <v>-9.0765721990241788E-3</v>
      </c>
      <c r="E536" s="54">
        <f t="shared" ca="1" si="74"/>
        <v>-1.1861784824216117E-2</v>
      </c>
      <c r="F536" s="64">
        <f t="shared" ca="1" si="75"/>
        <v>2.7852126251919386E-3</v>
      </c>
      <c r="G536">
        <f t="shared" ca="1" si="72"/>
        <v>2.6880485839725823E-2</v>
      </c>
      <c r="H536">
        <f t="shared" ca="1" si="76"/>
        <v>-0.52609250682043063</v>
      </c>
      <c r="I536">
        <f t="shared" ca="1" si="77"/>
        <v>2.7719995500700918</v>
      </c>
      <c r="J536" s="60">
        <v>531</v>
      </c>
    </row>
    <row r="537" spans="2:10" x14ac:dyDescent="0.25">
      <c r="B537" s="53">
        <v>40952</v>
      </c>
      <c r="C537">
        <v>304.95746259999999</v>
      </c>
      <c r="D537" s="54">
        <f t="shared" si="73"/>
        <v>1.0381025498471674E-2</v>
      </c>
      <c r="E537" s="54">
        <f t="shared" ca="1" si="74"/>
        <v>-8.9163650571959466E-3</v>
      </c>
      <c r="F537" s="64">
        <f t="shared" ca="1" si="75"/>
        <v>1.9297390555667621E-2</v>
      </c>
      <c r="G537">
        <f t="shared" ca="1" si="72"/>
        <v>1.0753306322687199E-2</v>
      </c>
      <c r="H537">
        <f t="shared" ca="1" si="76"/>
        <v>-0.93941801593369989</v>
      </c>
      <c r="I537">
        <f t="shared" ca="1" si="77"/>
        <v>2.5017169142564888</v>
      </c>
      <c r="J537" s="57">
        <v>532</v>
      </c>
    </row>
    <row r="538" spans="2:10" x14ac:dyDescent="0.25">
      <c r="B538" s="53">
        <v>40953</v>
      </c>
      <c r="C538">
        <v>303.74203679999999</v>
      </c>
      <c r="D538" s="54">
        <f t="shared" si="73"/>
        <v>-3.9855584763774576E-3</v>
      </c>
      <c r="E538" s="54">
        <f t="shared" ca="1" si="74"/>
        <v>-8.9904523207009739E-3</v>
      </c>
      <c r="F538" s="64">
        <f t="shared" ca="1" si="75"/>
        <v>5.0048938443235163E-3</v>
      </c>
      <c r="G538">
        <f t="shared" ca="1" si="72"/>
        <v>1.5902622703748637E-2</v>
      </c>
      <c r="H538">
        <f t="shared" ca="1" si="76"/>
        <v>-0.3090157485158489</v>
      </c>
      <c r="I538">
        <f t="shared" ca="1" si="77"/>
        <v>2.7612959420065741</v>
      </c>
      <c r="J538" s="60">
        <v>533</v>
      </c>
    </row>
    <row r="539" spans="2:10" x14ac:dyDescent="0.25">
      <c r="B539" s="53">
        <v>40954</v>
      </c>
      <c r="C539">
        <v>301.64987020000001</v>
      </c>
      <c r="D539" s="54">
        <f t="shared" si="73"/>
        <v>-6.8879718528310884E-3</v>
      </c>
      <c r="E539" s="54">
        <f t="shared" ca="1" si="74"/>
        <v>7.4198941496626484E-3</v>
      </c>
      <c r="F539" s="64">
        <f t="shared" ca="1" si="75"/>
        <v>-1.4307866002493737E-2</v>
      </c>
      <c r="G539">
        <f t="shared" ca="1" si="72"/>
        <v>6.3834524908125195E-3</v>
      </c>
      <c r="H539">
        <f t="shared" ca="1" si="76"/>
        <v>0.43199763327232482</v>
      </c>
      <c r="I539">
        <f t="shared" ca="1" si="77"/>
        <v>2.5877335364428049</v>
      </c>
      <c r="J539" s="57">
        <v>534</v>
      </c>
    </row>
    <row r="540" spans="2:10" x14ac:dyDescent="0.25">
      <c r="B540" s="53">
        <v>40955</v>
      </c>
      <c r="C540">
        <v>302.12808180000002</v>
      </c>
      <c r="D540" s="54">
        <f t="shared" si="73"/>
        <v>1.5853200920754407E-3</v>
      </c>
      <c r="E540" s="54">
        <f t="shared" ca="1" si="74"/>
        <v>5.1184435900254888E-3</v>
      </c>
      <c r="F540" s="64">
        <f t="shared" ca="1" si="75"/>
        <v>-3.5331234979500484E-3</v>
      </c>
      <c r="G540">
        <f t="shared" ca="1" si="72"/>
        <v>7.4247549145673589E-3</v>
      </c>
      <c r="H540">
        <f t="shared" ca="1" si="76"/>
        <v>0.93047602368601656</v>
      </c>
      <c r="I540">
        <f t="shared" ca="1" si="77"/>
        <v>2.7588857729065102</v>
      </c>
      <c r="J540" s="60">
        <v>535</v>
      </c>
    </row>
    <row r="541" spans="2:10" x14ac:dyDescent="0.25">
      <c r="B541" s="53">
        <v>40956</v>
      </c>
      <c r="C541">
        <v>301.19158700000003</v>
      </c>
      <c r="D541" s="54">
        <f t="shared" si="73"/>
        <v>-3.0996615555250622E-3</v>
      </c>
      <c r="E541" s="54">
        <f t="shared" ca="1" si="74"/>
        <v>4.4691311804706075E-3</v>
      </c>
      <c r="F541" s="64">
        <f t="shared" ca="1" si="75"/>
        <v>-7.5687927359956702E-3</v>
      </c>
      <c r="G541">
        <f t="shared" ca="1" si="72"/>
        <v>1.5655487723618512E-2</v>
      </c>
      <c r="H541">
        <f t="shared" ca="1" si="76"/>
        <v>0.48306575352169712</v>
      </c>
      <c r="I541">
        <f t="shared" ca="1" si="77"/>
        <v>2.7167523742631858</v>
      </c>
      <c r="J541" s="57">
        <v>536</v>
      </c>
    </row>
    <row r="542" spans="2:10" x14ac:dyDescent="0.25">
      <c r="B542" s="53">
        <v>40960</v>
      </c>
      <c r="C542">
        <v>305.8541012</v>
      </c>
      <c r="D542" s="54">
        <f t="shared" si="73"/>
        <v>1.5480227208338243E-2</v>
      </c>
      <c r="E542" s="54">
        <f t="shared" ca="1" si="74"/>
        <v>-1.4322345952330565E-3</v>
      </c>
      <c r="F542" s="64">
        <f t="shared" ca="1" si="75"/>
        <v>1.69124618035713E-2</v>
      </c>
      <c r="G542">
        <f t="shared" ca="1" si="72"/>
        <v>8.8742977660208801E-3</v>
      </c>
      <c r="H542">
        <f t="shared" ca="1" si="76"/>
        <v>-0.24161688491676489</v>
      </c>
      <c r="I542">
        <f t="shared" ca="1" si="77"/>
        <v>2.5679743675230995</v>
      </c>
      <c r="J542" s="60">
        <v>537</v>
      </c>
    </row>
    <row r="543" spans="2:10" x14ac:dyDescent="0.25">
      <c r="B543" s="53">
        <v>40961</v>
      </c>
      <c r="C543">
        <v>302.835419</v>
      </c>
      <c r="D543" s="54">
        <f t="shared" si="73"/>
        <v>-9.8696803088674772E-3</v>
      </c>
      <c r="E543" s="54">
        <f t="shared" ca="1" si="74"/>
        <v>-6.0723170299139401E-3</v>
      </c>
      <c r="F543" s="64">
        <f t="shared" ca="1" si="75"/>
        <v>-3.7973632789535371E-3</v>
      </c>
      <c r="G543">
        <f t="shared" ca="1" si="72"/>
        <v>4.6227625217355097E-3</v>
      </c>
      <c r="H543">
        <f t="shared" ca="1" si="76"/>
        <v>-1.012481973753601</v>
      </c>
      <c r="I543">
        <f t="shared" ca="1" si="77"/>
        <v>2.7569321403789715</v>
      </c>
      <c r="J543" s="57">
        <v>538</v>
      </c>
    </row>
    <row r="544" spans="2:10" x14ac:dyDescent="0.25">
      <c r="B544" s="53">
        <v>40962</v>
      </c>
      <c r="C544">
        <v>301.92382689999999</v>
      </c>
      <c r="D544" s="54">
        <f t="shared" si="73"/>
        <v>-3.0101898351592984E-3</v>
      </c>
      <c r="E544" s="54">
        <f t="shared" ca="1" si="74"/>
        <v>-7.27455332437036E-3</v>
      </c>
      <c r="F544" s="64">
        <f t="shared" ca="1" si="75"/>
        <v>4.2643634892110616E-3</v>
      </c>
      <c r="G544">
        <f t="shared" ca="1" si="72"/>
        <v>1.6962724328113465E-2</v>
      </c>
      <c r="H544">
        <f t="shared" ca="1" si="76"/>
        <v>-0.83871334837030109</v>
      </c>
      <c r="I544">
        <f t="shared" ca="1" si="77"/>
        <v>2.7657517917613421</v>
      </c>
      <c r="J544" s="60">
        <v>539</v>
      </c>
    </row>
    <row r="545" spans="2:10" x14ac:dyDescent="0.25">
      <c r="B545" s="53">
        <v>40963</v>
      </c>
      <c r="C545">
        <v>303.8117699</v>
      </c>
      <c r="D545" s="54">
        <f t="shared" si="73"/>
        <v>6.2530440852729104E-3</v>
      </c>
      <c r="E545" s="54">
        <f t="shared" ca="1" si="74"/>
        <v>-2.9689439158072685E-4</v>
      </c>
      <c r="F545" s="64">
        <f t="shared" ca="1" si="75"/>
        <v>6.5499384768536372E-3</v>
      </c>
      <c r="G545">
        <f t="shared" ca="1" si="72"/>
        <v>1.4558053672113727E-2</v>
      </c>
      <c r="H545">
        <f t="shared" ca="1" si="76"/>
        <v>0.28409213745667644</v>
      </c>
      <c r="I545">
        <f t="shared" ca="1" si="77"/>
        <v>2.7491463839059764</v>
      </c>
      <c r="J545" s="57">
        <v>540</v>
      </c>
    </row>
    <row r="546" spans="2:10" x14ac:dyDescent="0.25">
      <c r="B546" s="53">
        <v>40966</v>
      </c>
      <c r="C546">
        <v>303.51785460000002</v>
      </c>
      <c r="D546" s="54">
        <f t="shared" si="73"/>
        <v>-9.6742565337979867E-4</v>
      </c>
      <c r="E546" s="54">
        <f t="shared" ca="1" si="74"/>
        <v>-5.6845812524586195E-4</v>
      </c>
      <c r="F546" s="64">
        <f t="shared" ca="1" si="75"/>
        <v>-3.9896752813393672E-4</v>
      </c>
      <c r="G546">
        <f t="shared" ca="1" si="72"/>
        <v>5.8740193909232741E-3</v>
      </c>
      <c r="H546">
        <f t="shared" ca="1" si="76"/>
        <v>0.13336194608167562</v>
      </c>
      <c r="I546">
        <f t="shared" ca="1" si="77"/>
        <v>2.773453110234926</v>
      </c>
      <c r="J546" s="60">
        <v>541</v>
      </c>
    </row>
    <row r="547" spans="2:10" x14ac:dyDescent="0.25">
      <c r="B547" s="53">
        <v>40967</v>
      </c>
      <c r="C547">
        <v>308.04090309999998</v>
      </c>
      <c r="D547" s="54">
        <f t="shared" si="73"/>
        <v>1.4902083786671436E-2</v>
      </c>
      <c r="E547" s="54">
        <f t="shared" ca="1" si="74"/>
        <v>3.3655103242669977E-3</v>
      </c>
      <c r="F547" s="64">
        <f t="shared" ca="1" si="75"/>
        <v>1.1536573462404439E-2</v>
      </c>
      <c r="G547">
        <f t="shared" ca="1" si="72"/>
        <v>2.786309288164048E-3</v>
      </c>
      <c r="H547">
        <f t="shared" ca="1" si="76"/>
        <v>0.1999633212528456</v>
      </c>
      <c r="I547">
        <f t="shared" ca="1" si="77"/>
        <v>2.6836202869889525</v>
      </c>
      <c r="J547" s="57">
        <v>542</v>
      </c>
    </row>
    <row r="548" spans="2:10" x14ac:dyDescent="0.25">
      <c r="B548" s="53">
        <v>40968</v>
      </c>
      <c r="C548">
        <v>307.97116990000001</v>
      </c>
      <c r="D548" s="54">
        <f t="shared" si="73"/>
        <v>-2.2637643020198409E-4</v>
      </c>
      <c r="E548" s="54">
        <f t="shared" ca="1" si="74"/>
        <v>8.9548663708881532E-5</v>
      </c>
      <c r="F548" s="64">
        <f t="shared" ca="1" si="75"/>
        <v>-3.1592509391086562E-4</v>
      </c>
      <c r="G548">
        <f t="shared" ca="1" si="72"/>
        <v>3.5440987268509352E-3</v>
      </c>
      <c r="H548">
        <f t="shared" ca="1" si="76"/>
        <v>0.14778992525724649</v>
      </c>
      <c r="I548">
        <f t="shared" ca="1" si="77"/>
        <v>2.7736232506096217</v>
      </c>
      <c r="J548" s="60">
        <v>543</v>
      </c>
    </row>
    <row r="549" spans="2:10" x14ac:dyDescent="0.25">
      <c r="B549" s="53">
        <v>40969</v>
      </c>
      <c r="C549">
        <v>310.03843430000001</v>
      </c>
      <c r="D549" s="54">
        <f t="shared" si="73"/>
        <v>6.7125257233371927E-3</v>
      </c>
      <c r="E549" s="54">
        <f t="shared" ca="1" si="74"/>
        <v>6.5506180756126804E-3</v>
      </c>
      <c r="F549" s="64">
        <f t="shared" ca="1" si="75"/>
        <v>1.6190764772451224E-4</v>
      </c>
      <c r="G549">
        <f t="shared" ca="1" si="72"/>
        <v>2.7847264327971644E-3</v>
      </c>
      <c r="H549">
        <f t="shared" ca="1" si="76"/>
        <v>-5.1065093766894963E-2</v>
      </c>
      <c r="I549">
        <f t="shared" ca="1" si="77"/>
        <v>2.7743857377084713</v>
      </c>
      <c r="J549" s="57">
        <v>544</v>
      </c>
    </row>
    <row r="550" spans="2:10" x14ac:dyDescent="0.25">
      <c r="B550" s="53">
        <v>40970</v>
      </c>
      <c r="C550">
        <v>309.46558800000003</v>
      </c>
      <c r="D550" s="54">
        <f t="shared" si="73"/>
        <v>-1.8476622141811035E-3</v>
      </c>
      <c r="E550" s="54">
        <f t="shared" ca="1" si="74"/>
        <v>2.1206053118078862E-3</v>
      </c>
      <c r="F550" s="64">
        <f t="shared" ca="1" si="75"/>
        <v>-3.9682675259889895E-3</v>
      </c>
      <c r="G550">
        <f t="shared" ca="1" si="72"/>
        <v>1.4650683013351408E-3</v>
      </c>
      <c r="H550">
        <f t="shared" ca="1" si="76"/>
        <v>1.5167619273483399</v>
      </c>
      <c r="I550">
        <f t="shared" ca="1" si="77"/>
        <v>2.7556084955413813</v>
      </c>
      <c r="J550" s="60">
        <v>545</v>
      </c>
    </row>
    <row r="551" spans="2:10" x14ac:dyDescent="0.25">
      <c r="B551" s="53">
        <v>40973</v>
      </c>
      <c r="C551">
        <v>305.97864340000001</v>
      </c>
      <c r="D551" s="54">
        <f t="shared" si="73"/>
        <v>-1.1267632768267647E-2</v>
      </c>
      <c r="E551" s="54">
        <f t="shared" ca="1" si="74"/>
        <v>-4.8307348225390442E-2</v>
      </c>
      <c r="F551" s="64">
        <f t="shared" ca="1" si="75"/>
        <v>3.7039715457122799E-2</v>
      </c>
      <c r="G551">
        <f t="shared" ca="1" si="72"/>
        <v>2.5339435591374096E-2</v>
      </c>
      <c r="H551">
        <f t="shared" ca="1" si="76"/>
        <v>-2.025382370577566</v>
      </c>
      <c r="I551">
        <f t="shared" ca="1" si="77"/>
        <v>1.7203088573270207</v>
      </c>
      <c r="J551" s="57">
        <v>546</v>
      </c>
    </row>
    <row r="552" spans="2:10" x14ac:dyDescent="0.25">
      <c r="B552" s="53">
        <v>40974</v>
      </c>
      <c r="C552">
        <v>301.35098049999999</v>
      </c>
      <c r="D552" s="54">
        <f t="shared" si="73"/>
        <v>-1.5124136928571069E-2</v>
      </c>
      <c r="E552" s="54">
        <f t="shared" ca="1" si="74"/>
        <v>1.6395298419760711E-2</v>
      </c>
      <c r="F552" s="64">
        <f t="shared" ca="1" si="75"/>
        <v>-3.1519435348331779E-2</v>
      </c>
      <c r="G552">
        <f t="shared" ca="1" si="72"/>
        <v>3.4311031581608274E-2</v>
      </c>
      <c r="H552">
        <f t="shared" ca="1" si="76"/>
        <v>0.50203429953202683</v>
      </c>
      <c r="I552">
        <f t="shared" ca="1" si="77"/>
        <v>1.9251911670368773</v>
      </c>
      <c r="J552" s="60">
        <v>547</v>
      </c>
    </row>
    <row r="553" spans="2:10" x14ac:dyDescent="0.25">
      <c r="B553" s="53">
        <v>40975</v>
      </c>
      <c r="C553">
        <v>302.26754699999998</v>
      </c>
      <c r="D553" s="54">
        <f t="shared" si="73"/>
        <v>3.0415248640612525E-3</v>
      </c>
      <c r="E553" s="54">
        <f t="shared" ca="1" si="74"/>
        <v>-1.5416884790552053E-2</v>
      </c>
      <c r="F553" s="64">
        <f t="shared" ca="1" si="75"/>
        <v>1.8458409654613307E-2</v>
      </c>
      <c r="G553">
        <f t="shared" ca="1" si="72"/>
        <v>1.1504036752292723E-2</v>
      </c>
      <c r="H553">
        <f t="shared" ca="1" si="76"/>
        <v>-0.90021483966060845</v>
      </c>
      <c r="I553">
        <f t="shared" ca="1" si="77"/>
        <v>2.526073087746731</v>
      </c>
      <c r="J553" s="57">
        <v>548</v>
      </c>
    </row>
    <row r="554" spans="2:10" x14ac:dyDescent="0.25">
      <c r="B554" s="53">
        <v>40976</v>
      </c>
      <c r="C554">
        <v>302.43692019999997</v>
      </c>
      <c r="D554" s="54">
        <f t="shared" si="73"/>
        <v>5.6034199397527601E-4</v>
      </c>
      <c r="E554" s="54">
        <f t="shared" ca="1" si="74"/>
        <v>-9.6890169348196539E-3</v>
      </c>
      <c r="F554" s="64">
        <f t="shared" ca="1" si="75"/>
        <v>1.024935892879493E-2</v>
      </c>
      <c r="G554">
        <f t="shared" ca="1" si="72"/>
        <v>1.528618961105257E-2</v>
      </c>
      <c r="H554">
        <f t="shared" ca="1" si="76"/>
        <v>-0.18948584427478121</v>
      </c>
      <c r="I554">
        <f t="shared" ca="1" si="77"/>
        <v>2.7043817855873304</v>
      </c>
      <c r="J554" s="60">
        <v>549</v>
      </c>
    </row>
    <row r="555" spans="2:10" x14ac:dyDescent="0.25">
      <c r="B555" s="53">
        <v>40977</v>
      </c>
      <c r="C555">
        <v>299.00478520000001</v>
      </c>
      <c r="D555" s="54">
        <f t="shared" si="73"/>
        <v>-1.134826726092273E-2</v>
      </c>
      <c r="E555" s="54">
        <f t="shared" ca="1" si="74"/>
        <v>-4.8572983247529931E-3</v>
      </c>
      <c r="F555" s="64">
        <f t="shared" ca="1" si="75"/>
        <v>-6.490968936169737E-3</v>
      </c>
      <c r="G555">
        <f t="shared" ca="1" si="72"/>
        <v>4.8113825196568613E-3</v>
      </c>
      <c r="H555">
        <f t="shared" ca="1" si="76"/>
        <v>-1.2934572732990366</v>
      </c>
      <c r="I555">
        <f t="shared" ca="1" si="77"/>
        <v>2.7305806589319692</v>
      </c>
      <c r="J555" s="57">
        <v>550</v>
      </c>
    </row>
    <row r="556" spans="2:10" x14ac:dyDescent="0.25">
      <c r="B556" s="53">
        <v>40980</v>
      </c>
      <c r="C556">
        <v>301.44561579999998</v>
      </c>
      <c r="D556" s="54">
        <f t="shared" si="73"/>
        <v>8.1631823997978265E-3</v>
      </c>
      <c r="E556" s="54">
        <f t="shared" ca="1" si="74"/>
        <v>7.2986168164623968E-3</v>
      </c>
      <c r="F556" s="64">
        <f t="shared" ca="1" si="75"/>
        <v>8.6456558333542974E-4</v>
      </c>
      <c r="G556">
        <f t="shared" ca="1" si="72"/>
        <v>2.1641173007072193E-2</v>
      </c>
      <c r="H556">
        <f t="shared" ca="1" si="76"/>
        <v>0.32563630317015796</v>
      </c>
      <c r="I556">
        <f t="shared" ca="1" si="77"/>
        <v>2.7748368659138571</v>
      </c>
      <c r="J556" s="60">
        <v>551</v>
      </c>
    </row>
    <row r="557" spans="2:10" x14ac:dyDescent="0.25">
      <c r="B557" s="53">
        <v>40981</v>
      </c>
      <c r="C557">
        <v>307.7370694</v>
      </c>
      <c r="D557" s="54">
        <f t="shared" si="73"/>
        <v>2.0870940794090697E-2</v>
      </c>
      <c r="E557" s="54">
        <f t="shared" ca="1" si="74"/>
        <v>-1.4341490061082847E-2</v>
      </c>
      <c r="F557" s="64">
        <f t="shared" ca="1" si="75"/>
        <v>3.5212430855173546E-2</v>
      </c>
      <c r="G557">
        <f t="shared" ca="1" si="72"/>
        <v>7.4074382185821443E-3</v>
      </c>
      <c r="H557">
        <f t="shared" ca="1" si="76"/>
        <v>-1.2480558533084662</v>
      </c>
      <c r="I557">
        <f t="shared" ca="1" si="77"/>
        <v>1.8242802405265226</v>
      </c>
      <c r="J557" s="57">
        <v>552</v>
      </c>
    </row>
    <row r="558" spans="2:10" x14ac:dyDescent="0.25">
      <c r="B558" s="53">
        <v>40982</v>
      </c>
      <c r="C558">
        <v>306.84540509999999</v>
      </c>
      <c r="D558" s="54">
        <f t="shared" si="73"/>
        <v>-2.8974874614179393E-3</v>
      </c>
      <c r="E558" s="54">
        <f t="shared" ca="1" si="74"/>
        <v>1.2953980715061984E-2</v>
      </c>
      <c r="F558" s="64">
        <f t="shared" ca="1" si="75"/>
        <v>-1.5851468176479921E-2</v>
      </c>
      <c r="G558">
        <f t="shared" ca="1" si="72"/>
        <v>2.0924594228472804E-2</v>
      </c>
      <c r="H558">
        <f t="shared" ca="1" si="76"/>
        <v>0.44384957833503424</v>
      </c>
      <c r="I558">
        <f t="shared" ca="1" si="77"/>
        <v>2.5478526330801432</v>
      </c>
      <c r="J558" s="60">
        <v>553</v>
      </c>
    </row>
    <row r="559" spans="2:10" x14ac:dyDescent="0.25">
      <c r="B559" s="53">
        <v>40983</v>
      </c>
      <c r="C559">
        <v>309.40580410000001</v>
      </c>
      <c r="D559" s="54">
        <f t="shared" si="73"/>
        <v>8.3442637805366243E-3</v>
      </c>
      <c r="E559" s="54">
        <f t="shared" ca="1" si="74"/>
        <v>5.9587546415945207E-3</v>
      </c>
      <c r="F559" s="64">
        <f t="shared" ca="1" si="75"/>
        <v>2.3855091389421035E-3</v>
      </c>
      <c r="G559">
        <f t="shared" ca="1" si="72"/>
        <v>8.8673648114037402E-3</v>
      </c>
      <c r="H559">
        <f t="shared" ca="1" si="76"/>
        <v>-0.38509219132509664</v>
      </c>
      <c r="I559">
        <f t="shared" ca="1" si="77"/>
        <v>2.7730811487950864</v>
      </c>
      <c r="J559" s="57">
        <v>554</v>
      </c>
    </row>
    <row r="560" spans="2:10" x14ac:dyDescent="0.25">
      <c r="B560" s="53">
        <v>40984</v>
      </c>
      <c r="C560">
        <v>311.35350010000002</v>
      </c>
      <c r="D560" s="54">
        <f t="shared" si="73"/>
        <v>6.29495624901242E-3</v>
      </c>
      <c r="E560" s="54">
        <f t="shared" ca="1" si="74"/>
        <v>2.5584430076318037E-3</v>
      </c>
      <c r="F560" s="64">
        <f t="shared" ca="1" si="75"/>
        <v>3.7365132413806163E-3</v>
      </c>
      <c r="G560">
        <f t="shared" ca="1" si="72"/>
        <v>6.8128771539081963E-3</v>
      </c>
      <c r="H560">
        <f t="shared" ca="1" si="76"/>
        <v>0.56651819351902777</v>
      </c>
      <c r="I560">
        <f t="shared" ca="1" si="77"/>
        <v>2.7683870384548528</v>
      </c>
      <c r="J560" s="60">
        <v>555</v>
      </c>
    </row>
    <row r="561" spans="2:10" x14ac:dyDescent="0.25">
      <c r="B561" s="53">
        <v>40987</v>
      </c>
      <c r="C561">
        <v>315.80681600000003</v>
      </c>
      <c r="D561" s="54">
        <f t="shared" si="73"/>
        <v>1.430308603747733E-2</v>
      </c>
      <c r="E561" s="54">
        <f t="shared" ca="1" si="74"/>
        <v>4.6292213602658486E-3</v>
      </c>
      <c r="F561" s="64">
        <f t="shared" ca="1" si="75"/>
        <v>9.6738646772114821E-3</v>
      </c>
      <c r="G561">
        <f t="shared" ca="1" si="72"/>
        <v>9.6355650331620968E-3</v>
      </c>
      <c r="H561">
        <f t="shared" ca="1" si="76"/>
        <v>9.1487825290891459E-2</v>
      </c>
      <c r="I561">
        <f t="shared" ca="1" si="77"/>
        <v>2.7127979151250718</v>
      </c>
      <c r="J561" s="57">
        <v>556</v>
      </c>
    </row>
    <row r="562" spans="2:10" x14ac:dyDescent="0.25">
      <c r="B562" s="53">
        <v>40988</v>
      </c>
      <c r="C562">
        <v>315.56273590000001</v>
      </c>
      <c r="D562" s="54">
        <f t="shared" si="73"/>
        <v>-7.7287787227498981E-4</v>
      </c>
      <c r="E562" s="54">
        <f t="shared" ca="1" si="74"/>
        <v>3.6122765286739113E-3</v>
      </c>
      <c r="F562" s="64">
        <f t="shared" ca="1" si="75"/>
        <v>-4.3851544009489013E-3</v>
      </c>
      <c r="G562">
        <f t="shared" ca="1" si="72"/>
        <v>2.858052517475946E-3</v>
      </c>
      <c r="H562">
        <f t="shared" ca="1" si="76"/>
        <v>0.27460625820411055</v>
      </c>
      <c r="I562">
        <f t="shared" ca="1" si="77"/>
        <v>2.7521817639925428</v>
      </c>
      <c r="J562" s="60">
        <v>557</v>
      </c>
    </row>
    <row r="563" spans="2:10" x14ac:dyDescent="0.25">
      <c r="B563" s="53">
        <v>40989</v>
      </c>
      <c r="C563">
        <v>318.79562120000003</v>
      </c>
      <c r="D563" s="54">
        <f t="shared" si="73"/>
        <v>1.0244825932249818E-2</v>
      </c>
      <c r="E563" s="54">
        <f t="shared" ca="1" si="74"/>
        <v>2.8896387791519469E-3</v>
      </c>
      <c r="F563" s="64">
        <f t="shared" ca="1" si="75"/>
        <v>7.3551871530978712E-3</v>
      </c>
      <c r="G563">
        <f t="shared" ca="1" si="72"/>
        <v>4.7382369273129494E-3</v>
      </c>
      <c r="H563">
        <f t="shared" ca="1" si="76"/>
        <v>-0.74587876521231666</v>
      </c>
      <c r="I563">
        <f t="shared" ca="1" si="77"/>
        <v>2.74128529902254</v>
      </c>
      <c r="J563" s="57">
        <v>558</v>
      </c>
    </row>
    <row r="564" spans="2:10" x14ac:dyDescent="0.25">
      <c r="B564" s="53">
        <v>40990</v>
      </c>
      <c r="C564">
        <v>321.81930770000002</v>
      </c>
      <c r="D564" s="54">
        <f t="shared" si="73"/>
        <v>9.4847177907222656E-3</v>
      </c>
      <c r="E564" s="54">
        <f t="shared" ca="1" si="74"/>
        <v>7.6071992003999825E-3</v>
      </c>
      <c r="F564" s="64">
        <f t="shared" ca="1" si="75"/>
        <v>1.8775185903222831E-3</v>
      </c>
      <c r="G564">
        <f t="shared" ca="1" si="72"/>
        <v>1.2537248352725407E-2</v>
      </c>
      <c r="H564">
        <f t="shared" ca="1" si="76"/>
        <v>0.63444045731665932</v>
      </c>
      <c r="I564">
        <f t="shared" ca="1" si="77"/>
        <v>2.7740832615641957</v>
      </c>
      <c r="J564" s="60">
        <v>559</v>
      </c>
    </row>
    <row r="565" spans="2:10" x14ac:dyDescent="0.25">
      <c r="B565" s="53">
        <v>40991</v>
      </c>
      <c r="C565">
        <v>320.09576349999998</v>
      </c>
      <c r="D565" s="54">
        <f t="shared" si="73"/>
        <v>-5.3556270825327141E-3</v>
      </c>
      <c r="E565" s="54">
        <f t="shared" ca="1" si="74"/>
        <v>-2.0481070930754982E-3</v>
      </c>
      <c r="F565" s="64">
        <f t="shared" ca="1" si="75"/>
        <v>-3.3075199894572159E-3</v>
      </c>
      <c r="G565">
        <f t="shared" ca="1" si="72"/>
        <v>1.1014542767813204E-2</v>
      </c>
      <c r="H565">
        <f t="shared" ca="1" si="76"/>
        <v>-0.60369524195201385</v>
      </c>
      <c r="I565">
        <f t="shared" ca="1" si="77"/>
        <v>2.7604644731714498</v>
      </c>
      <c r="J565" s="57">
        <v>560</v>
      </c>
    </row>
    <row r="566" spans="2:10" x14ac:dyDescent="0.25">
      <c r="B566" s="53">
        <v>40994</v>
      </c>
      <c r="C566">
        <v>323.45316059999999</v>
      </c>
      <c r="D566" s="54">
        <f t="shared" si="73"/>
        <v>1.0488727071203536E-2</v>
      </c>
      <c r="E566" s="54">
        <f t="shared" ca="1" si="74"/>
        <v>2.7854242551673868E-2</v>
      </c>
      <c r="F566" s="64">
        <f t="shared" ca="1" si="75"/>
        <v>-1.7365515480470332E-2</v>
      </c>
      <c r="G566">
        <f t="shared" ca="1" si="72"/>
        <v>1.0433262690055579E-2</v>
      </c>
      <c r="H566">
        <f t="shared" ca="1" si="76"/>
        <v>2.2614745574100628</v>
      </c>
      <c r="I566">
        <f t="shared" ca="1" si="77"/>
        <v>2.5049953205949844</v>
      </c>
      <c r="J566" s="60">
        <v>561</v>
      </c>
    </row>
    <row r="567" spans="2:10" x14ac:dyDescent="0.25">
      <c r="B567" s="53">
        <v>40995</v>
      </c>
      <c r="C567">
        <v>322.30249359999999</v>
      </c>
      <c r="D567" s="54">
        <f t="shared" si="73"/>
        <v>-3.5574455289462351E-3</v>
      </c>
      <c r="E567" s="54">
        <f t="shared" ca="1" si="74"/>
        <v>6.0383834207729636E-2</v>
      </c>
      <c r="F567" s="64">
        <f t="shared" ca="1" si="75"/>
        <v>-6.3941279736675877E-2</v>
      </c>
      <c r="G567">
        <f t="shared" ca="1" si="72"/>
        <v>3.7835794976731049E-2</v>
      </c>
      <c r="H567">
        <f t="shared" ca="1" si="76"/>
        <v>1.6595124504842695</v>
      </c>
      <c r="I567">
        <f t="shared" ca="1" si="77"/>
        <v>-0.62289328685129353</v>
      </c>
      <c r="J567" s="57">
        <v>562</v>
      </c>
    </row>
    <row r="568" spans="2:10" x14ac:dyDescent="0.25">
      <c r="B568" s="53">
        <v>40996</v>
      </c>
      <c r="C568">
        <v>326.65616949999998</v>
      </c>
      <c r="D568" s="54">
        <f t="shared" si="73"/>
        <v>1.3508042867962424E-2</v>
      </c>
      <c r="E568" s="54">
        <f t="shared" ca="1" si="74"/>
        <v>-7.3145658154146961E-4</v>
      </c>
      <c r="F568" s="64">
        <f t="shared" ca="1" si="75"/>
        <v>1.4239499449503893E-2</v>
      </c>
      <c r="G568">
        <f t="shared" ca="1" si="72"/>
        <v>2.9027673358352095E-2</v>
      </c>
      <c r="H568">
        <f t="shared" ca="1" si="76"/>
        <v>-0.1874794651007283</v>
      </c>
      <c r="I568">
        <f t="shared" ca="1" si="77"/>
        <v>2.6313117881638934</v>
      </c>
      <c r="J568" s="60">
        <v>563</v>
      </c>
    </row>
    <row r="569" spans="2:10" x14ac:dyDescent="0.25">
      <c r="B569" s="53">
        <v>40997</v>
      </c>
      <c r="C569">
        <v>322.99487740000001</v>
      </c>
      <c r="D569" s="54">
        <f t="shared" si="73"/>
        <v>-1.1208397213510976E-2</v>
      </c>
      <c r="E569" s="54">
        <f t="shared" ca="1" si="74"/>
        <v>6.1100694445522441E-4</v>
      </c>
      <c r="F569" s="64">
        <f t="shared" ca="1" si="75"/>
        <v>-1.1819404157966201E-2</v>
      </c>
      <c r="G569">
        <f t="shared" ca="1" si="72"/>
        <v>7.3855120558438013E-3</v>
      </c>
      <c r="H569">
        <f t="shared" ca="1" si="76"/>
        <v>0.29903061212189208</v>
      </c>
      <c r="I569">
        <f t="shared" ca="1" si="77"/>
        <v>2.6439201552136478</v>
      </c>
      <c r="J569" s="57">
        <v>564</v>
      </c>
    </row>
    <row r="570" spans="2:10" x14ac:dyDescent="0.25">
      <c r="B570" s="53">
        <v>40998</v>
      </c>
      <c r="C570">
        <v>319.42327710000001</v>
      </c>
      <c r="D570" s="54">
        <f t="shared" si="73"/>
        <v>-1.1057761438045642E-2</v>
      </c>
      <c r="E570" s="54">
        <f t="shared" ca="1" si="74"/>
        <v>7.8953914194604749E-3</v>
      </c>
      <c r="F570" s="64">
        <f t="shared" ca="1" si="75"/>
        <v>-1.8953152857506116E-2</v>
      </c>
      <c r="G570">
        <f t="shared" ca="1" si="72"/>
        <v>5.362986523058659E-3</v>
      </c>
      <c r="H570">
        <f t="shared" ca="1" si="76"/>
        <v>0.34101371967401145</v>
      </c>
      <c r="I570">
        <f t="shared" ca="1" si="77"/>
        <v>2.4560766755077426</v>
      </c>
      <c r="J570" s="60">
        <v>565</v>
      </c>
    </row>
    <row r="571" spans="2:10" x14ac:dyDescent="0.25">
      <c r="B571" s="53">
        <v>41001</v>
      </c>
      <c r="C571">
        <v>322.25265839999997</v>
      </c>
      <c r="D571" s="54">
        <f t="shared" si="73"/>
        <v>8.8577805778199056E-3</v>
      </c>
      <c r="E571" s="54">
        <f t="shared" ca="1" si="74"/>
        <v>-1.1107972676249852E-2</v>
      </c>
      <c r="F571" s="64">
        <f t="shared" ca="1" si="75"/>
        <v>1.9965753254069758E-2</v>
      </c>
      <c r="G571">
        <f t="shared" ca="1" si="72"/>
        <v>5.9084517210830174E-3</v>
      </c>
      <c r="H571">
        <f t="shared" ca="1" si="76"/>
        <v>-1.0279962881389955</v>
      </c>
      <c r="I571">
        <f t="shared" ca="1" si="77"/>
        <v>2.4815000054239822</v>
      </c>
      <c r="J571" s="57">
        <v>566</v>
      </c>
    </row>
    <row r="572" spans="2:10" x14ac:dyDescent="0.25">
      <c r="B572" s="53">
        <v>41002</v>
      </c>
      <c r="C572">
        <v>320.11068710000001</v>
      </c>
      <c r="D572" s="54">
        <f t="shared" si="73"/>
        <v>-6.6468692939104278E-3</v>
      </c>
      <c r="E572" s="54">
        <f t="shared" ca="1" si="74"/>
        <v>-2.5903849918931361E-2</v>
      </c>
      <c r="F572" s="64">
        <f t="shared" ca="1" si="75"/>
        <v>1.9256980625020934E-2</v>
      </c>
      <c r="G572">
        <f t="shared" ca="1" si="72"/>
        <v>1.7241131665825336E-2</v>
      </c>
      <c r="H572">
        <f t="shared" ca="1" si="76"/>
        <v>-1.214406388405981</v>
      </c>
      <c r="I572">
        <f t="shared" ca="1" si="77"/>
        <v>2.5029161116942031</v>
      </c>
      <c r="J572" s="60">
        <v>567</v>
      </c>
    </row>
    <row r="573" spans="2:10" x14ac:dyDescent="0.25">
      <c r="B573" s="53">
        <v>41003</v>
      </c>
      <c r="C573">
        <v>316.38964149999998</v>
      </c>
      <c r="D573" s="54">
        <f t="shared" si="73"/>
        <v>-1.162424670575775E-2</v>
      </c>
      <c r="E573" s="54">
        <f t="shared" ca="1" si="74"/>
        <v>2.7809188966288551E-2</v>
      </c>
      <c r="F573" s="64">
        <f t="shared" ca="1" si="75"/>
        <v>-3.9433435672046303E-2</v>
      </c>
      <c r="G573">
        <f t="shared" ca="1" si="72"/>
        <v>2.0672060978888587E-2</v>
      </c>
      <c r="H573">
        <f t="shared" ca="1" si="76"/>
        <v>1.1528166869637213</v>
      </c>
      <c r="I573">
        <f t="shared" ca="1" si="77"/>
        <v>1.4599086786342621</v>
      </c>
      <c r="J573" s="57">
        <v>568</v>
      </c>
    </row>
    <row r="574" spans="2:10" x14ac:dyDescent="0.25">
      <c r="B574" s="53">
        <v>41004</v>
      </c>
      <c r="C574">
        <v>314.97991000000002</v>
      </c>
      <c r="D574" s="54">
        <f t="shared" si="73"/>
        <v>-4.4556815871608238E-3</v>
      </c>
      <c r="E574" s="54">
        <f t="shared" ca="1" si="74"/>
        <v>3.2253902924765938E-2</v>
      </c>
      <c r="F574" s="64">
        <f t="shared" ca="1" si="75"/>
        <v>-3.6709584511926761E-2</v>
      </c>
      <c r="G574">
        <f t="shared" ca="1" si="72"/>
        <v>1.98359674612558E-2</v>
      </c>
      <c r="H574">
        <f t="shared" ca="1" si="76"/>
        <v>1.7765377688636521</v>
      </c>
      <c r="I574">
        <f t="shared" ca="1" si="77"/>
        <v>1.6314713065006496</v>
      </c>
      <c r="J574" s="60">
        <v>569</v>
      </c>
    </row>
    <row r="575" spans="2:10" x14ac:dyDescent="0.25">
      <c r="B575" s="53">
        <v>41008</v>
      </c>
      <c r="C575">
        <v>314.24269570000001</v>
      </c>
      <c r="D575" s="54">
        <f t="shared" si="73"/>
        <v>-2.3405121298053742E-3</v>
      </c>
      <c r="E575" s="54">
        <f t="shared" ca="1" si="74"/>
        <v>4.9955441847770635E-2</v>
      </c>
      <c r="F575" s="64">
        <f t="shared" ca="1" si="75"/>
        <v>-5.2295953977576012E-2</v>
      </c>
      <c r="G575">
        <f t="shared" ca="1" si="72"/>
        <v>3.0012561702666748E-2</v>
      </c>
      <c r="H575">
        <f t="shared" ca="1" si="76"/>
        <v>1.8384368915829021</v>
      </c>
      <c r="I575">
        <f t="shared" ca="1" si="77"/>
        <v>0.48779618932016766</v>
      </c>
      <c r="J575" s="57">
        <v>570</v>
      </c>
    </row>
    <row r="576" spans="2:10" x14ac:dyDescent="0.25">
      <c r="B576" s="53">
        <v>41009</v>
      </c>
      <c r="C576">
        <v>312.26011790000001</v>
      </c>
      <c r="D576" s="54">
        <f t="shared" si="73"/>
        <v>-6.3090656588967176E-3</v>
      </c>
      <c r="E576" s="54">
        <f t="shared" ca="1" si="74"/>
        <v>-6.3181174856626096E-2</v>
      </c>
      <c r="F576" s="64">
        <f t="shared" ca="1" si="75"/>
        <v>5.6872109197729379E-2</v>
      </c>
      <c r="G576">
        <f t="shared" ca="1" si="72"/>
        <v>3.1455164201279029E-2</v>
      </c>
      <c r="H576">
        <f t="shared" ca="1" si="76"/>
        <v>-1.944990599606605</v>
      </c>
      <c r="I576">
        <f t="shared" ca="1" si="77"/>
        <v>0.24482438685776853</v>
      </c>
      <c r="J576" s="60">
        <v>571</v>
      </c>
    </row>
    <row r="577" spans="2:10" x14ac:dyDescent="0.25">
      <c r="B577" s="53">
        <v>41010</v>
      </c>
      <c r="C577">
        <v>316.79311510000002</v>
      </c>
      <c r="D577" s="54">
        <f t="shared" si="73"/>
        <v>1.4516734415157316E-2</v>
      </c>
      <c r="E577" s="54">
        <f t="shared" ca="1" si="74"/>
        <v>-5.5787363641847528E-4</v>
      </c>
      <c r="F577" s="64">
        <f t="shared" ca="1" si="75"/>
        <v>1.5074608051575792E-2</v>
      </c>
      <c r="G577">
        <f t="shared" ca="1" si="72"/>
        <v>3.3261807570598829E-2</v>
      </c>
      <c r="H577">
        <f t="shared" ca="1" si="76"/>
        <v>1.4834009361223888E-2</v>
      </c>
      <c r="I577">
        <f t="shared" ca="1" si="77"/>
        <v>2.6127633291478114</v>
      </c>
      <c r="J577" s="57">
        <v>572</v>
      </c>
    </row>
    <row r="578" spans="2:10" x14ac:dyDescent="0.25">
      <c r="B578" s="53">
        <v>41011</v>
      </c>
      <c r="C578">
        <v>324.29004579999997</v>
      </c>
      <c r="D578" s="54">
        <f t="shared" si="73"/>
        <v>2.3665068281655814E-2</v>
      </c>
      <c r="E578" s="54">
        <f t="shared" ca="1" si="74"/>
        <v>-5.0809281453756145E-4</v>
      </c>
      <c r="F578" s="64">
        <f t="shared" ca="1" si="75"/>
        <v>2.4173161096193375E-2</v>
      </c>
      <c r="G578">
        <f t="shared" ca="1" si="72"/>
        <v>7.6487909342441585E-3</v>
      </c>
      <c r="H578">
        <f t="shared" ca="1" si="76"/>
        <v>0.30399376574663123</v>
      </c>
      <c r="I578">
        <f t="shared" ca="1" si="77"/>
        <v>2.3376595788936019</v>
      </c>
      <c r="J578" s="60">
        <v>573</v>
      </c>
    </row>
    <row r="579" spans="2:10" x14ac:dyDescent="0.25">
      <c r="B579" s="53">
        <v>41012</v>
      </c>
      <c r="C579">
        <v>311.13432269999998</v>
      </c>
      <c r="D579" s="54">
        <f t="shared" si="73"/>
        <v>-4.0567767251522557E-2</v>
      </c>
      <c r="E579" s="54">
        <f t="shared" ca="1" si="74"/>
        <v>3.7726590480212782E-3</v>
      </c>
      <c r="F579" s="64">
        <f t="shared" ca="1" si="75"/>
        <v>-4.4340426299543836E-2</v>
      </c>
      <c r="G579">
        <f t="shared" ca="1" si="72"/>
        <v>5.4590224155582241E-3</v>
      </c>
      <c r="H579">
        <f t="shared" ca="1" si="76"/>
        <v>-0.50329614842390591</v>
      </c>
      <c r="I579">
        <f t="shared" ca="1" si="77"/>
        <v>1.1205898787486186</v>
      </c>
      <c r="J579" s="57">
        <v>574</v>
      </c>
    </row>
    <row r="580" spans="2:10" x14ac:dyDescent="0.25">
      <c r="B580" s="53">
        <v>41015</v>
      </c>
      <c r="C580">
        <v>301.90389909999999</v>
      </c>
      <c r="D580" s="54">
        <f t="shared" si="73"/>
        <v>-2.9667005298223227E-2</v>
      </c>
      <c r="E580" s="54">
        <f t="shared" ca="1" si="74"/>
        <v>1.7925085760431246E-2</v>
      </c>
      <c r="F580" s="64">
        <f t="shared" ca="1" si="75"/>
        <v>-4.7592091058654473E-2</v>
      </c>
      <c r="G580">
        <f t="shared" ca="1" si="72"/>
        <v>8.5520638222050804E-3</v>
      </c>
      <c r="H580">
        <f t="shared" ca="1" si="76"/>
        <v>0.85328277446173995</v>
      </c>
      <c r="I580">
        <f t="shared" ca="1" si="77"/>
        <v>0.87430471610010796</v>
      </c>
      <c r="J580" s="60">
        <v>575</v>
      </c>
    </row>
    <row r="581" spans="2:10" x14ac:dyDescent="0.25">
      <c r="B581" s="53">
        <v>41016</v>
      </c>
      <c r="C581">
        <v>303.64737109999999</v>
      </c>
      <c r="D581" s="54">
        <f t="shared" si="73"/>
        <v>5.7749237595056853E-3</v>
      </c>
      <c r="E581" s="54">
        <f t="shared" ca="1" si="74"/>
        <v>-1.1017235193442514E-2</v>
      </c>
      <c r="F581" s="64">
        <f t="shared" ca="1" si="75"/>
        <v>1.6792158952948201E-2</v>
      </c>
      <c r="G581">
        <f t="shared" ref="G581:G644" ca="1" si="78">SQRT(A_0+A_1*POWER(H580,2)+B_1*POWER(G580,2))</f>
        <v>1.4410633262092539E-2</v>
      </c>
      <c r="H581">
        <f t="shared" ca="1" si="76"/>
        <v>0.49984429696071819</v>
      </c>
      <c r="I581">
        <f t="shared" ca="1" si="77"/>
        <v>2.5710731066229555</v>
      </c>
      <c r="J581" s="57">
        <v>576</v>
      </c>
    </row>
    <row r="582" spans="2:10" x14ac:dyDescent="0.25">
      <c r="B582" s="53">
        <v>41017</v>
      </c>
      <c r="C582">
        <v>302.59133939999998</v>
      </c>
      <c r="D582" s="54">
        <f t="shared" si="73"/>
        <v>-3.4778226341114055E-3</v>
      </c>
      <c r="E582" s="54">
        <f t="shared" ca="1" si="74"/>
        <v>-1.7478977286352997E-2</v>
      </c>
      <c r="F582" s="64">
        <f t="shared" ca="1" si="75"/>
        <v>1.4001154652241591E-2</v>
      </c>
      <c r="G582">
        <f t="shared" ca="1" si="78"/>
        <v>9.022483780542696E-3</v>
      </c>
      <c r="H582">
        <f t="shared" ca="1" si="76"/>
        <v>-0.46051959169645856</v>
      </c>
      <c r="I582">
        <f t="shared" ca="1" si="77"/>
        <v>2.6363989286301734</v>
      </c>
      <c r="J582" s="60">
        <v>577</v>
      </c>
    </row>
    <row r="583" spans="2:10" x14ac:dyDescent="0.25">
      <c r="B583" s="53">
        <v>41018</v>
      </c>
      <c r="C583">
        <v>298.53154849999999</v>
      </c>
      <c r="D583" s="54">
        <f t="shared" ref="D583:D646" si="79">(C583-C582)/C582</f>
        <v>-1.3416745198491283E-2</v>
      </c>
      <c r="E583" s="54">
        <f t="shared" ca="1" si="74"/>
        <v>9.0160517273662373E-3</v>
      </c>
      <c r="F583" s="64">
        <f t="shared" ca="1" si="75"/>
        <v>-2.243279692585752E-2</v>
      </c>
      <c r="G583">
        <f t="shared" ca="1" si="78"/>
        <v>8.0205764098026221E-3</v>
      </c>
      <c r="H583">
        <f t="shared" ca="1" si="76"/>
        <v>0.80075014704546876</v>
      </c>
      <c r="I583">
        <f t="shared" ca="1" si="77"/>
        <v>2.3346163695859414</v>
      </c>
      <c r="J583" s="57">
        <v>578</v>
      </c>
    </row>
    <row r="584" spans="2:10" x14ac:dyDescent="0.25">
      <c r="B584" s="53">
        <v>41019</v>
      </c>
      <c r="C584">
        <v>296.91759300000001</v>
      </c>
      <c r="D584" s="54">
        <f t="shared" si="79"/>
        <v>-5.406314703117465E-3</v>
      </c>
      <c r="E584" s="54">
        <f t="shared" ref="E584:E647" ca="1" si="80">((E_1*D583)+(E_2*D582)+(G584*H584))</f>
        <v>6.935919277174591E-3</v>
      </c>
      <c r="F584" s="64">
        <f t="shared" ca="1" si="75"/>
        <v>-1.2342233980292057E-2</v>
      </c>
      <c r="G584">
        <f t="shared" ca="1" si="78"/>
        <v>1.3527773195125055E-2</v>
      </c>
      <c r="H584">
        <f t="shared" ca="1" si="76"/>
        <v>0.62819727769495226</v>
      </c>
      <c r="I584">
        <f t="shared" ca="1" si="77"/>
        <v>2.6329455021959758</v>
      </c>
      <c r="J584" s="60">
        <v>579</v>
      </c>
    </row>
    <row r="585" spans="2:10" x14ac:dyDescent="0.25">
      <c r="B585" s="53">
        <v>41022</v>
      </c>
      <c r="C585">
        <v>297.68471460000001</v>
      </c>
      <c r="D585" s="54">
        <f t="shared" si="79"/>
        <v>2.5836178727206504E-3</v>
      </c>
      <c r="E585" s="54">
        <f t="shared" ca="1" si="80"/>
        <v>-8.4305831008699567E-3</v>
      </c>
      <c r="F585" s="64">
        <f t="shared" ref="F585:F648" ca="1" si="81">D585-E585</f>
        <v>1.1014200973590607E-2</v>
      </c>
      <c r="G585">
        <f t="shared" ca="1" si="78"/>
        <v>1.0975609653575764E-2</v>
      </c>
      <c r="H585">
        <f t="shared" ref="H585:H648" ca="1" si="82">_xlfn.NORM.INV(RAND(),0,1)</f>
        <v>-0.21910044387542255</v>
      </c>
      <c r="I585">
        <f t="shared" ref="I585:I648" ca="1" si="83">LN(_xlfn.NORM.DIST(F585,AVERAGE($F$8:$F$1413),_xlfn.STDEV.S($F$8:$F$1413),FALSE))</f>
        <v>2.6923684112791197</v>
      </c>
      <c r="J585" s="57">
        <v>580</v>
      </c>
    </row>
    <row r="586" spans="2:10" x14ac:dyDescent="0.25">
      <c r="B586" s="53">
        <v>41023</v>
      </c>
      <c r="C586">
        <v>299.5128732</v>
      </c>
      <c r="D586" s="54">
        <f t="shared" si="79"/>
        <v>6.1412578823756463E-3</v>
      </c>
      <c r="E586" s="54">
        <f t="shared" ca="1" si="80"/>
        <v>-1.502773076857366E-3</v>
      </c>
      <c r="F586" s="64">
        <f t="shared" ca="1" si="81"/>
        <v>7.644030959233012E-3</v>
      </c>
      <c r="G586">
        <f t="shared" ca="1" si="78"/>
        <v>4.5436481014790005E-3</v>
      </c>
      <c r="H586">
        <f t="shared" ca="1" si="82"/>
        <v>0.20363958446846597</v>
      </c>
      <c r="I586">
        <f t="shared" ca="1" si="83"/>
        <v>2.738210211013874</v>
      </c>
      <c r="J586" s="60">
        <v>581</v>
      </c>
    </row>
    <row r="587" spans="2:10" x14ac:dyDescent="0.25">
      <c r="B587" s="53">
        <v>41024</v>
      </c>
      <c r="C587">
        <v>303.72210899999999</v>
      </c>
      <c r="D587" s="54">
        <f t="shared" si="79"/>
        <v>1.4053605626457553E-2</v>
      </c>
      <c r="E587" s="54">
        <f t="shared" ca="1" si="80"/>
        <v>-4.2506282703721615E-3</v>
      </c>
      <c r="F587" s="64">
        <f t="shared" ca="1" si="81"/>
        <v>1.8304233896829714E-2</v>
      </c>
      <c r="G587">
        <f t="shared" ca="1" si="78"/>
        <v>3.6935924251765974E-3</v>
      </c>
      <c r="H587">
        <f t="shared" ca="1" si="82"/>
        <v>-1.4649934305226577</v>
      </c>
      <c r="I587">
        <f t="shared" ca="1" si="83"/>
        <v>2.5304252101916687</v>
      </c>
      <c r="J587" s="57">
        <v>582</v>
      </c>
    </row>
    <row r="588" spans="2:10" x14ac:dyDescent="0.25">
      <c r="B588" s="53">
        <v>41025</v>
      </c>
      <c r="C588">
        <v>306.58637149999998</v>
      </c>
      <c r="D588" s="54">
        <f t="shared" si="79"/>
        <v>9.4305367147308836E-3</v>
      </c>
      <c r="E588" s="54">
        <f t="shared" ca="1" si="80"/>
        <v>-5.8826742247707776E-3</v>
      </c>
      <c r="F588" s="64">
        <f t="shared" ca="1" si="81"/>
        <v>1.5313210939501661E-2</v>
      </c>
      <c r="G588">
        <f t="shared" ca="1" si="78"/>
        <v>2.4488311001653967E-2</v>
      </c>
      <c r="H588">
        <f t="shared" ca="1" si="82"/>
        <v>-0.35286542755379674</v>
      </c>
      <c r="I588">
        <f t="shared" ca="1" si="83"/>
        <v>2.6072567899053545</v>
      </c>
      <c r="J588" s="60">
        <v>583</v>
      </c>
    </row>
    <row r="589" spans="2:10" x14ac:dyDescent="0.25">
      <c r="B589" s="53">
        <v>41026</v>
      </c>
      <c r="C589">
        <v>306.34229190000002</v>
      </c>
      <c r="D589" s="54">
        <f t="shared" si="79"/>
        <v>-7.9612018892354335E-4</v>
      </c>
      <c r="E589" s="54">
        <f t="shared" ca="1" si="80"/>
        <v>1.3247526108744249E-2</v>
      </c>
      <c r="F589" s="64">
        <f t="shared" ca="1" si="81"/>
        <v>-1.4043646297667791E-2</v>
      </c>
      <c r="G589">
        <f t="shared" ca="1" si="78"/>
        <v>8.1752385297413736E-3</v>
      </c>
      <c r="H589">
        <f t="shared" ca="1" si="82"/>
        <v>0.84836764147422994</v>
      </c>
      <c r="I589">
        <f t="shared" ca="1" si="83"/>
        <v>2.5941740935901594</v>
      </c>
      <c r="J589" s="57">
        <v>584</v>
      </c>
    </row>
    <row r="590" spans="2:10" x14ac:dyDescent="0.25">
      <c r="B590" s="53">
        <v>41029</v>
      </c>
      <c r="C590">
        <v>301.29620139999997</v>
      </c>
      <c r="D590" s="54">
        <f t="shared" si="79"/>
        <v>-1.6472066160709061E-2</v>
      </c>
      <c r="E590" s="54">
        <f t="shared" ca="1" si="80"/>
        <v>1.0669408191155808E-2</v>
      </c>
      <c r="F590" s="64">
        <f t="shared" ca="1" si="81"/>
        <v>-2.7141474351864869E-2</v>
      </c>
      <c r="G590">
        <f t="shared" ca="1" si="78"/>
        <v>1.4318133221517995E-2</v>
      </c>
      <c r="H590">
        <f t="shared" ca="1" si="82"/>
        <v>0.44935878822483516</v>
      </c>
      <c r="I590">
        <f t="shared" ca="1" si="83"/>
        <v>2.1391069262068259</v>
      </c>
      <c r="J590" s="60">
        <v>585</v>
      </c>
    </row>
    <row r="591" spans="2:10" x14ac:dyDescent="0.25">
      <c r="B591" s="53">
        <v>41030</v>
      </c>
      <c r="C591">
        <v>301.08697260000002</v>
      </c>
      <c r="D591" s="54">
        <f t="shared" si="79"/>
        <v>-6.9442893414436687E-4</v>
      </c>
      <c r="E591" s="54">
        <f t="shared" ca="1" si="80"/>
        <v>-6.7529580978022954E-4</v>
      </c>
      <c r="F591" s="64">
        <f t="shared" ca="1" si="81"/>
        <v>-1.9133124364137323E-5</v>
      </c>
      <c r="G591">
        <f t="shared" ca="1" si="78"/>
        <v>8.2411204627384025E-3</v>
      </c>
      <c r="H591">
        <f t="shared" ca="1" si="82"/>
        <v>-3.852126885513972E-2</v>
      </c>
      <c r="I591">
        <f t="shared" ca="1" si="83"/>
        <v>2.7741402556694941</v>
      </c>
      <c r="J591" s="57">
        <v>586</v>
      </c>
    </row>
    <row r="592" spans="2:10" x14ac:dyDescent="0.25">
      <c r="B592" s="53">
        <v>41031</v>
      </c>
      <c r="C592">
        <v>302.49670409999999</v>
      </c>
      <c r="D592" s="54">
        <f t="shared" si="79"/>
        <v>4.6821404719918584E-3</v>
      </c>
      <c r="E592" s="54">
        <f t="shared" ca="1" si="80"/>
        <v>-9.8691750017794282E-3</v>
      </c>
      <c r="F592" s="64">
        <f t="shared" ca="1" si="81"/>
        <v>1.4551315473771287E-2</v>
      </c>
      <c r="G592">
        <f t="shared" ca="1" si="78"/>
        <v>2.2262141195217465E-3</v>
      </c>
      <c r="H592">
        <f t="shared" ca="1" si="82"/>
        <v>-1.1100586376769177</v>
      </c>
      <c r="I592">
        <f t="shared" ca="1" si="83"/>
        <v>2.6245179157705505</v>
      </c>
      <c r="J592" s="60">
        <v>587</v>
      </c>
    </row>
    <row r="593" spans="2:10" x14ac:dyDescent="0.25">
      <c r="B593" s="53">
        <v>41032</v>
      </c>
      <c r="C593">
        <v>304.36966230000002</v>
      </c>
      <c r="D593" s="54">
        <f t="shared" si="79"/>
        <v>6.1916648168862734E-3</v>
      </c>
      <c r="E593" s="54">
        <f t="shared" ca="1" si="80"/>
        <v>-2.9527864948296536E-2</v>
      </c>
      <c r="F593" s="64">
        <f t="shared" ca="1" si="81"/>
        <v>3.5719529765182806E-2</v>
      </c>
      <c r="G593">
        <f t="shared" ca="1" si="78"/>
        <v>1.8562996555489798E-2</v>
      </c>
      <c r="H593">
        <f t="shared" ca="1" si="82"/>
        <v>-1.5738872551041148</v>
      </c>
      <c r="I593">
        <f t="shared" ca="1" si="83"/>
        <v>1.7959674644207717</v>
      </c>
      <c r="J593" s="57">
        <v>588</v>
      </c>
    </row>
    <row r="594" spans="2:10" x14ac:dyDescent="0.25">
      <c r="B594" s="53">
        <v>41033</v>
      </c>
      <c r="C594">
        <v>297.37090189999998</v>
      </c>
      <c r="D594" s="54">
        <f t="shared" si="79"/>
        <v>-2.2994277245350931E-2</v>
      </c>
      <c r="E594" s="54">
        <f t="shared" ca="1" si="80"/>
        <v>7.5815255864429276E-3</v>
      </c>
      <c r="F594" s="64">
        <f t="shared" ca="1" si="81"/>
        <v>-3.0575802831793859E-2</v>
      </c>
      <c r="G594">
        <f t="shared" ca="1" si="78"/>
        <v>2.6628010733101996E-2</v>
      </c>
      <c r="H594">
        <f t="shared" ca="1" si="82"/>
        <v>0.20574484049061803</v>
      </c>
      <c r="I594">
        <f t="shared" ca="1" si="83"/>
        <v>1.9739170174815681</v>
      </c>
      <c r="J594" s="60">
        <v>589</v>
      </c>
    </row>
    <row r="595" spans="2:10" x14ac:dyDescent="0.25">
      <c r="B595" s="53">
        <v>41036</v>
      </c>
      <c r="C595">
        <v>302.64114369999999</v>
      </c>
      <c r="D595" s="54">
        <f t="shared" si="79"/>
        <v>1.7722789171121682E-2</v>
      </c>
      <c r="E595" s="54">
        <f t="shared" ca="1" si="80"/>
        <v>1.5927489595208785E-3</v>
      </c>
      <c r="F595" s="64">
        <f t="shared" ca="1" si="81"/>
        <v>1.6130040211600805E-2</v>
      </c>
      <c r="G595">
        <f t="shared" ca="1" si="78"/>
        <v>7.0437676664304788E-3</v>
      </c>
      <c r="H595">
        <f t="shared" ca="1" si="82"/>
        <v>-0.16861082076547124</v>
      </c>
      <c r="I595">
        <f t="shared" ca="1" si="83"/>
        <v>2.5877093172209711</v>
      </c>
      <c r="J595" s="57">
        <v>590</v>
      </c>
    </row>
    <row r="596" spans="2:10" x14ac:dyDescent="0.25">
      <c r="B596" s="53">
        <v>41037</v>
      </c>
      <c r="C596">
        <v>305.25137790000002</v>
      </c>
      <c r="D596" s="54">
        <f t="shared" si="79"/>
        <v>8.62484911366675E-3</v>
      </c>
      <c r="E596" s="54">
        <f t="shared" ca="1" si="80"/>
        <v>-9.6930194923735002E-3</v>
      </c>
      <c r="F596" s="64">
        <f t="shared" ca="1" si="81"/>
        <v>1.831786860604025E-2</v>
      </c>
      <c r="G596">
        <f t="shared" ca="1" si="78"/>
        <v>3.393140915977296E-3</v>
      </c>
      <c r="H596">
        <f t="shared" ca="1" si="82"/>
        <v>0.18680790077196285</v>
      </c>
      <c r="I596">
        <f t="shared" ca="1" si="83"/>
        <v>2.5300418733520198</v>
      </c>
      <c r="J596" s="60">
        <v>591</v>
      </c>
    </row>
    <row r="597" spans="2:10" x14ac:dyDescent="0.25">
      <c r="B597" s="53">
        <v>41038</v>
      </c>
      <c r="C597">
        <v>303.4381727</v>
      </c>
      <c r="D597" s="54">
        <f t="shared" si="79"/>
        <v>-5.9400393618993944E-3</v>
      </c>
      <c r="E597" s="54">
        <f t="shared" ca="1" si="80"/>
        <v>6.9456909808084345E-3</v>
      </c>
      <c r="F597" s="64">
        <f t="shared" ca="1" si="81"/>
        <v>-1.2885730342707829E-2</v>
      </c>
      <c r="G597">
        <f t="shared" ca="1" si="78"/>
        <v>3.3671463468718118E-3</v>
      </c>
      <c r="H597">
        <f t="shared" ca="1" si="82"/>
        <v>-0.30118002796241344</v>
      </c>
      <c r="I597">
        <f t="shared" ca="1" si="83"/>
        <v>2.6210688412220997</v>
      </c>
      <c r="J597" s="57">
        <v>592</v>
      </c>
    </row>
    <row r="598" spans="2:10" x14ac:dyDescent="0.25">
      <c r="B598" s="53">
        <v>41039</v>
      </c>
      <c r="C598">
        <v>305.68475899999999</v>
      </c>
      <c r="D598" s="54">
        <f t="shared" si="79"/>
        <v>7.4037695389799251E-3</v>
      </c>
      <c r="E598" s="54">
        <f t="shared" ca="1" si="80"/>
        <v>1.2324342106873403E-2</v>
      </c>
      <c r="F598" s="64">
        <f t="shared" ca="1" si="81"/>
        <v>-4.9205725678934777E-3</v>
      </c>
      <c r="G598">
        <f t="shared" ca="1" si="78"/>
        <v>5.1844314185587968E-3</v>
      </c>
      <c r="H598">
        <f t="shared" ca="1" si="82"/>
        <v>1.6300441289250693</v>
      </c>
      <c r="I598">
        <f t="shared" ca="1" si="83"/>
        <v>2.7473688072336593</v>
      </c>
      <c r="J598" s="60">
        <v>593</v>
      </c>
    </row>
    <row r="599" spans="2:10" x14ac:dyDescent="0.25">
      <c r="B599" s="53">
        <v>41040</v>
      </c>
      <c r="C599">
        <v>301.48547189999999</v>
      </c>
      <c r="D599" s="54">
        <f t="shared" si="79"/>
        <v>-1.3737312628007052E-2</v>
      </c>
      <c r="E599" s="54">
        <f t="shared" ca="1" si="80"/>
        <v>1.5520891294297231E-2</v>
      </c>
      <c r="F599" s="64">
        <f t="shared" ca="1" si="81"/>
        <v>-2.9258203922304285E-2</v>
      </c>
      <c r="G599">
        <f t="shared" ca="1" si="78"/>
        <v>2.7252309647876824E-2</v>
      </c>
      <c r="H599">
        <f t="shared" ca="1" si="82"/>
        <v>0.66741331591587094</v>
      </c>
      <c r="I599">
        <f t="shared" ca="1" si="83"/>
        <v>2.0395461928242118</v>
      </c>
      <c r="J599" s="57">
        <v>594</v>
      </c>
    </row>
    <row r="600" spans="2:10" x14ac:dyDescent="0.25">
      <c r="B600" s="53">
        <v>41043</v>
      </c>
      <c r="C600">
        <v>300.8727695</v>
      </c>
      <c r="D600" s="54">
        <f t="shared" si="79"/>
        <v>-2.0322783586839538E-3</v>
      </c>
      <c r="E600" s="54">
        <f t="shared" ca="1" si="80"/>
        <v>2.0583103572510163E-2</v>
      </c>
      <c r="F600" s="64">
        <f t="shared" ca="1" si="81"/>
        <v>-2.2615381931194115E-2</v>
      </c>
      <c r="G600">
        <f t="shared" ca="1" si="78"/>
        <v>1.2793377617331018E-2</v>
      </c>
      <c r="H600">
        <f t="shared" ca="1" si="82"/>
        <v>1.348991614633666</v>
      </c>
      <c r="I600">
        <f t="shared" ca="1" si="83"/>
        <v>2.3277028651668568</v>
      </c>
      <c r="J600" s="60">
        <v>595</v>
      </c>
    </row>
    <row r="601" spans="2:10" x14ac:dyDescent="0.25">
      <c r="B601" s="53">
        <v>41044</v>
      </c>
      <c r="C601">
        <v>304.41449269999998</v>
      </c>
      <c r="D601" s="54">
        <f t="shared" si="79"/>
        <v>1.1771497985296999E-2</v>
      </c>
      <c r="E601" s="54">
        <f t="shared" ca="1" si="80"/>
        <v>-1.4828718278196637E-2</v>
      </c>
      <c r="F601" s="64">
        <f t="shared" ca="1" si="81"/>
        <v>2.6600216263493636E-2</v>
      </c>
      <c r="G601">
        <f t="shared" ca="1" si="78"/>
        <v>2.2727055893212538E-2</v>
      </c>
      <c r="H601">
        <f t="shared" ca="1" si="82"/>
        <v>-0.38099879976701201</v>
      </c>
      <c r="I601">
        <f t="shared" ca="1" si="83"/>
        <v>2.2416762530556311</v>
      </c>
      <c r="J601" s="57">
        <v>596</v>
      </c>
    </row>
    <row r="602" spans="2:10" x14ac:dyDescent="0.25">
      <c r="B602" s="53">
        <v>41045</v>
      </c>
      <c r="C602">
        <v>313.2912475</v>
      </c>
      <c r="D602" s="54">
        <f t="shared" si="79"/>
        <v>2.9160092613422461E-2</v>
      </c>
      <c r="E602" s="54">
        <f t="shared" ca="1" si="80"/>
        <v>-2.1987822400606834E-3</v>
      </c>
      <c r="F602" s="64">
        <f t="shared" ca="1" si="81"/>
        <v>3.1358874853483147E-2</v>
      </c>
      <c r="G602">
        <f t="shared" ca="1" si="78"/>
        <v>8.2625872869543961E-3</v>
      </c>
      <c r="H602">
        <f t="shared" ca="1" si="82"/>
        <v>-0.15567135874668359</v>
      </c>
      <c r="I602">
        <f t="shared" ca="1" si="83"/>
        <v>2.0258596951335743</v>
      </c>
      <c r="J602" s="60">
        <v>597</v>
      </c>
    </row>
    <row r="603" spans="2:10" x14ac:dyDescent="0.25">
      <c r="B603" s="53">
        <v>41046</v>
      </c>
      <c r="C603">
        <v>310.36222670000001</v>
      </c>
      <c r="D603" s="54">
        <f t="shared" si="79"/>
        <v>-9.3491944743843806E-3</v>
      </c>
      <c r="E603" s="54">
        <f t="shared" ca="1" si="80"/>
        <v>-2.5116438251996968E-3</v>
      </c>
      <c r="F603" s="64">
        <f t="shared" ca="1" si="81"/>
        <v>-6.8375506491846838E-3</v>
      </c>
      <c r="G603">
        <f t="shared" ca="1" si="78"/>
        <v>3.3634329103727906E-3</v>
      </c>
      <c r="H603">
        <f t="shared" ca="1" si="82"/>
        <v>-2.3187505361363199</v>
      </c>
      <c r="I603">
        <f t="shared" ca="1" si="83"/>
        <v>2.7263388220034317</v>
      </c>
      <c r="J603" s="57">
        <v>598</v>
      </c>
    </row>
    <row r="604" spans="2:10" x14ac:dyDescent="0.25">
      <c r="B604" s="53">
        <v>41047</v>
      </c>
      <c r="C604">
        <v>299.07949209999998</v>
      </c>
      <c r="D604" s="54">
        <f t="shared" si="79"/>
        <v>-3.6353440043159817E-2</v>
      </c>
      <c r="E604" s="54">
        <f t="shared" ca="1" si="80"/>
        <v>-3.2392544085691803E-2</v>
      </c>
      <c r="F604" s="64">
        <f t="shared" ca="1" si="81"/>
        <v>-3.9608959574680136E-3</v>
      </c>
      <c r="G604">
        <f t="shared" ca="1" si="78"/>
        <v>3.872433204659579E-2</v>
      </c>
      <c r="H604">
        <f t="shared" ca="1" si="82"/>
        <v>-1.1746817100452225</v>
      </c>
      <c r="I604">
        <f t="shared" ca="1" si="83"/>
        <v>2.755666561857379</v>
      </c>
      <c r="J604" s="60">
        <v>599</v>
      </c>
    </row>
    <row r="605" spans="2:10" x14ac:dyDescent="0.25">
      <c r="B605" s="53">
        <v>41050</v>
      </c>
      <c r="C605">
        <v>305.9089108</v>
      </c>
      <c r="D605" s="54">
        <f t="shared" si="79"/>
        <v>2.2834794362017106E-2</v>
      </c>
      <c r="E605" s="54">
        <f t="shared" ca="1" si="80"/>
        <v>-3.3057867049787339E-2</v>
      </c>
      <c r="F605" s="64">
        <f t="shared" ca="1" si="81"/>
        <v>5.5892661411804448E-2</v>
      </c>
      <c r="G605">
        <f t="shared" ca="1" si="78"/>
        <v>2.1524384712203956E-2</v>
      </c>
      <c r="H605">
        <f t="shared" ca="1" si="82"/>
        <v>-1.3407272938052555</v>
      </c>
      <c r="I605">
        <f t="shared" ca="1" si="83"/>
        <v>0.33261084098873139</v>
      </c>
      <c r="J605" s="57">
        <v>600</v>
      </c>
    </row>
    <row r="606" spans="2:10" x14ac:dyDescent="0.25">
      <c r="B606" s="53">
        <v>41051</v>
      </c>
      <c r="C606">
        <v>299.27874179999998</v>
      </c>
      <c r="D606" s="54">
        <f t="shared" si="79"/>
        <v>-2.1673670710215951E-2</v>
      </c>
      <c r="E606" s="54">
        <f t="shared" ca="1" si="80"/>
        <v>-1.4479597684895148E-2</v>
      </c>
      <c r="F606" s="64">
        <f t="shared" ca="1" si="81"/>
        <v>-7.1940730253208032E-3</v>
      </c>
      <c r="G606">
        <f t="shared" ca="1" si="78"/>
        <v>2.2932035779962532E-2</v>
      </c>
      <c r="H606">
        <f t="shared" ca="1" si="82"/>
        <v>8.0545261401462287E-2</v>
      </c>
      <c r="I606">
        <f t="shared" ca="1" si="83"/>
        <v>2.7217728087736131</v>
      </c>
      <c r="J606" s="60">
        <v>601</v>
      </c>
    </row>
    <row r="607" spans="2:10" x14ac:dyDescent="0.25">
      <c r="B607" s="53">
        <v>41052</v>
      </c>
      <c r="C607">
        <v>303.5925919</v>
      </c>
      <c r="D607" s="54">
        <f t="shared" si="79"/>
        <v>1.4414154757716992E-2</v>
      </c>
      <c r="E607" s="54">
        <f t="shared" ca="1" si="80"/>
        <v>8.7023542650826943E-3</v>
      </c>
      <c r="F607" s="64">
        <f t="shared" ca="1" si="81"/>
        <v>5.7118004926342975E-3</v>
      </c>
      <c r="G607">
        <f t="shared" ca="1" si="78"/>
        <v>5.4882370603090841E-3</v>
      </c>
      <c r="H607">
        <f t="shared" ca="1" si="82"/>
        <v>-0.28293889226376107</v>
      </c>
      <c r="I607">
        <f t="shared" ca="1" si="83"/>
        <v>2.7562157899200512</v>
      </c>
      <c r="J607" s="57">
        <v>602</v>
      </c>
    </row>
    <row r="608" spans="2:10" x14ac:dyDescent="0.25">
      <c r="B608" s="53">
        <v>41053</v>
      </c>
      <c r="C608">
        <v>300.70339630000001</v>
      </c>
      <c r="D608" s="54">
        <f t="shared" si="79"/>
        <v>-9.5166867607614815E-3</v>
      </c>
      <c r="E608" s="54">
        <f t="shared" ca="1" si="80"/>
        <v>-9.9751298490144118E-3</v>
      </c>
      <c r="F608" s="64">
        <f t="shared" ca="1" si="81"/>
        <v>4.5844308825293036E-4</v>
      </c>
      <c r="G608">
        <f t="shared" ca="1" si="78"/>
        <v>4.9884561561345129E-3</v>
      </c>
      <c r="H608">
        <f t="shared" ca="1" si="82"/>
        <v>-4.8371408474416691E-2</v>
      </c>
      <c r="I608">
        <f t="shared" ca="1" si="83"/>
        <v>2.7746734147907781</v>
      </c>
      <c r="J608" s="60">
        <v>603</v>
      </c>
    </row>
    <row r="609" spans="2:10" x14ac:dyDescent="0.25">
      <c r="B609" s="53">
        <v>41054</v>
      </c>
      <c r="C609">
        <v>294.66105800000003</v>
      </c>
      <c r="D609" s="54">
        <f t="shared" si="79"/>
        <v>-2.009401414931735E-2</v>
      </c>
      <c r="E609" s="54">
        <f t="shared" ca="1" si="80"/>
        <v>6.2957738952222802E-3</v>
      </c>
      <c r="F609" s="64">
        <f t="shared" ca="1" si="81"/>
        <v>-2.638978804453963E-2</v>
      </c>
      <c r="G609">
        <f t="shared" ca="1" si="78"/>
        <v>1.7207372430361506E-3</v>
      </c>
      <c r="H609">
        <f t="shared" ca="1" si="82"/>
        <v>-0.10329740572670215</v>
      </c>
      <c r="I609">
        <f t="shared" ca="1" si="83"/>
        <v>2.1727207205199157</v>
      </c>
      <c r="J609" s="57">
        <v>604</v>
      </c>
    </row>
    <row r="610" spans="2:10" x14ac:dyDescent="0.25">
      <c r="B610" s="53">
        <v>41058</v>
      </c>
      <c r="C610">
        <v>296.06081039999998</v>
      </c>
      <c r="D610" s="54">
        <f t="shared" si="79"/>
        <v>4.7503813686841315E-3</v>
      </c>
      <c r="E610" s="54">
        <f t="shared" ca="1" si="80"/>
        <v>-5.099144198422504E-3</v>
      </c>
      <c r="F610" s="64">
        <f t="shared" ca="1" si="81"/>
        <v>9.8495255671066356E-3</v>
      </c>
      <c r="G610">
        <f t="shared" ca="1" si="78"/>
        <v>2.0356683447959709E-3</v>
      </c>
      <c r="H610">
        <f t="shared" ca="1" si="82"/>
        <v>-0.40510689412511441</v>
      </c>
      <c r="I610">
        <f t="shared" ca="1" si="83"/>
        <v>2.7102857604100108</v>
      </c>
      <c r="J610" s="60">
        <v>605</v>
      </c>
    </row>
    <row r="611" spans="2:10" x14ac:dyDescent="0.25">
      <c r="B611" s="53">
        <v>41059</v>
      </c>
      <c r="C611">
        <v>293.01719559999998</v>
      </c>
      <c r="D611" s="54">
        <f t="shared" si="79"/>
        <v>-1.0280370427574835E-2</v>
      </c>
      <c r="E611" s="54">
        <f t="shared" ca="1" si="80"/>
        <v>-8.1513413797632498E-3</v>
      </c>
      <c r="F611" s="64">
        <f t="shared" ca="1" si="81"/>
        <v>-2.1290290478115856E-3</v>
      </c>
      <c r="G611">
        <f t="shared" ca="1" si="78"/>
        <v>6.8524034521893753E-3</v>
      </c>
      <c r="H611">
        <f t="shared" ca="1" si="82"/>
        <v>0.12742988148228698</v>
      </c>
      <c r="I611">
        <f t="shared" ca="1" si="83"/>
        <v>2.7673743704624201</v>
      </c>
      <c r="J611" s="57">
        <v>606</v>
      </c>
    </row>
    <row r="612" spans="2:10" x14ac:dyDescent="0.25">
      <c r="B612" s="53">
        <v>41060</v>
      </c>
      <c r="C612">
        <v>289.34595530000001</v>
      </c>
      <c r="D612" s="54">
        <f t="shared" si="79"/>
        <v>-1.2529095067211017E-2</v>
      </c>
      <c r="E612" s="54">
        <f t="shared" ca="1" si="80"/>
        <v>5.883383960164924E-3</v>
      </c>
      <c r="F612" s="64">
        <f t="shared" ca="1" si="81"/>
        <v>-1.8412479027375941E-2</v>
      </c>
      <c r="G612">
        <f t="shared" ca="1" si="78"/>
        <v>2.8246755310784672E-3</v>
      </c>
      <c r="H612">
        <f t="shared" ca="1" si="82"/>
        <v>1.3276107893647051</v>
      </c>
      <c r="I612">
        <f t="shared" ca="1" si="83"/>
        <v>2.4731933511811017</v>
      </c>
      <c r="J612" s="60">
        <v>607</v>
      </c>
    </row>
    <row r="613" spans="2:10" x14ac:dyDescent="0.25">
      <c r="B613" s="53">
        <v>41061</v>
      </c>
      <c r="C613">
        <v>284.42440749999997</v>
      </c>
      <c r="D613" s="54">
        <f t="shared" si="79"/>
        <v>-1.7009215818818951E-2</v>
      </c>
      <c r="E613" s="54">
        <f t="shared" ca="1" si="80"/>
        <v>-4.2153310229467771E-2</v>
      </c>
      <c r="F613" s="64">
        <f t="shared" ca="1" si="81"/>
        <v>2.5144094410648819E-2</v>
      </c>
      <c r="G613">
        <f t="shared" ca="1" si="78"/>
        <v>2.2192197523097111E-2</v>
      </c>
      <c r="H613">
        <f t="shared" ca="1" si="82"/>
        <v>-1.6914041077872388</v>
      </c>
      <c r="I613">
        <f t="shared" ca="1" si="83"/>
        <v>2.3004040201066327</v>
      </c>
      <c r="J613" s="57">
        <v>608</v>
      </c>
    </row>
    <row r="614" spans="2:10" x14ac:dyDescent="0.25">
      <c r="B614" s="53">
        <v>41064</v>
      </c>
      <c r="C614">
        <v>288.21518520000001</v>
      </c>
      <c r="D614" s="54">
        <f t="shared" si="79"/>
        <v>1.332789170001184E-2</v>
      </c>
      <c r="E614" s="54">
        <f t="shared" ca="1" si="80"/>
        <v>-8.71640746621603E-3</v>
      </c>
      <c r="F614" s="64">
        <f t="shared" ca="1" si="81"/>
        <v>2.2044299166227868E-2</v>
      </c>
      <c r="G614">
        <f t="shared" ca="1" si="78"/>
        <v>2.8699091673957098E-2</v>
      </c>
      <c r="H614">
        <f t="shared" ca="1" si="82"/>
        <v>-0.10763569945720475</v>
      </c>
      <c r="I614">
        <f t="shared" ca="1" si="83"/>
        <v>2.4140146747291729</v>
      </c>
      <c r="J614" s="60">
        <v>609</v>
      </c>
    </row>
    <row r="615" spans="2:10" x14ac:dyDescent="0.25">
      <c r="B615" s="53">
        <v>41065</v>
      </c>
      <c r="C615">
        <v>284.1404713</v>
      </c>
      <c r="D615" s="54">
        <f t="shared" si="79"/>
        <v>-1.4137748839196159E-2</v>
      </c>
      <c r="E615" s="54">
        <f t="shared" ca="1" si="80"/>
        <v>-1.9253656727177158E-3</v>
      </c>
      <c r="F615" s="64">
        <f t="shared" ca="1" si="81"/>
        <v>-1.2212383166478442E-2</v>
      </c>
      <c r="G615">
        <f t="shared" ca="1" si="78"/>
        <v>6.8553892717130175E-3</v>
      </c>
      <c r="H615">
        <f t="shared" ca="1" si="82"/>
        <v>0.83344415704395802</v>
      </c>
      <c r="I615">
        <f t="shared" ca="1" si="83"/>
        <v>2.6357124085474535</v>
      </c>
      <c r="J615" s="57">
        <v>610</v>
      </c>
    </row>
    <row r="616" spans="2:10" x14ac:dyDescent="0.25">
      <c r="B616" s="53">
        <v>41066</v>
      </c>
      <c r="C616">
        <v>289.2014848</v>
      </c>
      <c r="D616" s="54">
        <f t="shared" si="79"/>
        <v>1.7811660116015305E-2</v>
      </c>
      <c r="E616" s="54">
        <f t="shared" ca="1" si="80"/>
        <v>3.2198582264831813E-2</v>
      </c>
      <c r="F616" s="64">
        <f t="shared" ca="1" si="81"/>
        <v>-1.4386922148816508E-2</v>
      </c>
      <c r="G616">
        <f t="shared" ca="1" si="78"/>
        <v>1.4035190498181343E-2</v>
      </c>
      <c r="H616">
        <f t="shared" ca="1" si="82"/>
        <v>1.8676627732360174</v>
      </c>
      <c r="I616">
        <f t="shared" ca="1" si="83"/>
        <v>2.5857845583253964</v>
      </c>
      <c r="J616" s="60">
        <v>611</v>
      </c>
    </row>
    <row r="617" spans="2:10" x14ac:dyDescent="0.25">
      <c r="B617" s="53">
        <v>41067</v>
      </c>
      <c r="C617">
        <v>288.03586389999998</v>
      </c>
      <c r="D617" s="54">
        <f t="shared" si="79"/>
        <v>-4.0304803442005764E-3</v>
      </c>
      <c r="E617" s="54">
        <f t="shared" ca="1" si="80"/>
        <v>6.642510314040174E-3</v>
      </c>
      <c r="F617" s="64">
        <f t="shared" ca="1" si="81"/>
        <v>-1.067299065824075E-2</v>
      </c>
      <c r="G617">
        <f t="shared" ca="1" si="78"/>
        <v>3.135403262558395E-2</v>
      </c>
      <c r="H617">
        <f t="shared" ca="1" si="82"/>
        <v>0.41435657327940956</v>
      </c>
      <c r="I617">
        <f t="shared" ca="1" si="83"/>
        <v>2.666438388424194</v>
      </c>
      <c r="J617" s="57">
        <v>612</v>
      </c>
    </row>
    <row r="618" spans="2:10" x14ac:dyDescent="0.25">
      <c r="B618" s="53">
        <v>41068</v>
      </c>
      <c r="C618">
        <v>289.1417313</v>
      </c>
      <c r="D618" s="54">
        <f t="shared" si="79"/>
        <v>3.8393392580583518E-3</v>
      </c>
      <c r="E618" s="54">
        <f t="shared" ca="1" si="80"/>
        <v>2.1374555591823184E-2</v>
      </c>
      <c r="F618" s="64">
        <f t="shared" ca="1" si="81"/>
        <v>-1.7535216333764831E-2</v>
      </c>
      <c r="G618">
        <f t="shared" ca="1" si="78"/>
        <v>9.993944803834998E-3</v>
      </c>
      <c r="H618">
        <f t="shared" ca="1" si="82"/>
        <v>1.3383155517301668</v>
      </c>
      <c r="I618">
        <f t="shared" ca="1" si="83"/>
        <v>2.499960854079061</v>
      </c>
      <c r="J618" s="60">
        <v>613</v>
      </c>
    </row>
    <row r="619" spans="2:10" x14ac:dyDescent="0.25">
      <c r="B619" s="53">
        <v>41071</v>
      </c>
      <c r="C619">
        <v>283.18902300000002</v>
      </c>
      <c r="D619" s="54">
        <f t="shared" si="79"/>
        <v>-2.0587510053412975E-2</v>
      </c>
      <c r="E619" s="54">
        <f t="shared" ca="1" si="80"/>
        <v>-1.5201480549542578E-2</v>
      </c>
      <c r="F619" s="64">
        <f t="shared" ca="1" si="81"/>
        <v>-5.3860295038703973E-3</v>
      </c>
      <c r="G619">
        <f t="shared" ca="1" si="78"/>
        <v>2.2476981600099484E-2</v>
      </c>
      <c r="H619">
        <f t="shared" ca="1" si="82"/>
        <v>-0.59578183166914533</v>
      </c>
      <c r="I619">
        <f t="shared" ca="1" si="83"/>
        <v>2.7428083828323881</v>
      </c>
      <c r="J619" s="57">
        <v>614</v>
      </c>
    </row>
    <row r="620" spans="2:10" x14ac:dyDescent="0.25">
      <c r="B620" s="53">
        <v>41072</v>
      </c>
      <c r="C620">
        <v>281.49535580000003</v>
      </c>
      <c r="D620" s="54">
        <f t="shared" si="79"/>
        <v>-5.9806950921257743E-3</v>
      </c>
      <c r="E620" s="54">
        <f t="shared" ca="1" si="80"/>
        <v>5.7258166655469356E-4</v>
      </c>
      <c r="F620" s="64">
        <f t="shared" ca="1" si="81"/>
        <v>-6.5532767586804676E-3</v>
      </c>
      <c r="G620">
        <f t="shared" ca="1" si="78"/>
        <v>1.123096530574077E-2</v>
      </c>
      <c r="H620">
        <f t="shared" ca="1" si="82"/>
        <v>-0.10251903236693531</v>
      </c>
      <c r="I620">
        <f t="shared" ca="1" si="83"/>
        <v>2.7298323787669045</v>
      </c>
      <c r="J620" s="60">
        <v>615</v>
      </c>
    </row>
    <row r="621" spans="2:10" x14ac:dyDescent="0.25">
      <c r="B621" s="53">
        <v>41073</v>
      </c>
      <c r="C621">
        <v>279.49785489999999</v>
      </c>
      <c r="D621" s="54">
        <f t="shared" si="79"/>
        <v>-7.0960350103226599E-3</v>
      </c>
      <c r="E621" s="54">
        <f t="shared" ca="1" si="80"/>
        <v>-1.2356632854843848E-2</v>
      </c>
      <c r="F621" s="64">
        <f t="shared" ca="1" si="81"/>
        <v>5.2605978445211879E-3</v>
      </c>
      <c r="G621">
        <f t="shared" ca="1" si="78"/>
        <v>3.2392397649674545E-3</v>
      </c>
      <c r="H621">
        <f t="shared" ca="1" si="82"/>
        <v>-0.96018415208311247</v>
      </c>
      <c r="I621">
        <f t="shared" ca="1" si="83"/>
        <v>2.7595515449823607</v>
      </c>
      <c r="J621" s="57">
        <v>616</v>
      </c>
    </row>
    <row r="622" spans="2:10" x14ac:dyDescent="0.25">
      <c r="B622" s="53">
        <v>41074</v>
      </c>
      <c r="C622">
        <v>278.48164789999998</v>
      </c>
      <c r="D622" s="54">
        <f t="shared" si="79"/>
        <v>-3.6358311242266658E-3</v>
      </c>
      <c r="E622" s="54">
        <f t="shared" ca="1" si="80"/>
        <v>7.3624273941897116E-4</v>
      </c>
      <c r="F622" s="64">
        <f t="shared" ca="1" si="81"/>
        <v>-4.3720738636456365E-3</v>
      </c>
      <c r="G622">
        <f t="shared" ca="1" si="78"/>
        <v>1.6075647194942651E-2</v>
      </c>
      <c r="H622">
        <f t="shared" ca="1" si="82"/>
        <v>0.21289438221613433</v>
      </c>
      <c r="I622">
        <f t="shared" ca="1" si="83"/>
        <v>2.7522935507416961</v>
      </c>
      <c r="J622" s="60">
        <v>617</v>
      </c>
    </row>
    <row r="623" spans="2:10" x14ac:dyDescent="0.25">
      <c r="B623" s="53">
        <v>41075</v>
      </c>
      <c r="C623">
        <v>281.2014709</v>
      </c>
      <c r="D623" s="54">
        <f t="shared" si="79"/>
        <v>9.7666148577829487E-3</v>
      </c>
      <c r="E623" s="54">
        <f t="shared" ca="1" si="80"/>
        <v>-8.8398810587467253E-3</v>
      </c>
      <c r="F623" s="64">
        <f t="shared" ca="1" si="81"/>
        <v>1.8606495916529672E-2</v>
      </c>
      <c r="G623">
        <f t="shared" ca="1" si="78"/>
        <v>5.2018044649170111E-3</v>
      </c>
      <c r="H623">
        <f t="shared" ca="1" si="82"/>
        <v>-1.0867088514402676</v>
      </c>
      <c r="I623">
        <f t="shared" ca="1" si="83"/>
        <v>2.5218567003697197</v>
      </c>
      <c r="J623" s="57">
        <v>618</v>
      </c>
    </row>
    <row r="624" spans="2:10" x14ac:dyDescent="0.25">
      <c r="B624" s="53">
        <v>41078</v>
      </c>
      <c r="C624">
        <v>284.35964869999998</v>
      </c>
      <c r="D624" s="54">
        <f t="shared" si="79"/>
        <v>1.1231014510315549E-2</v>
      </c>
      <c r="E624" s="54">
        <f t="shared" ca="1" si="80"/>
        <v>-3.3048481415749419E-2</v>
      </c>
      <c r="F624" s="64">
        <f t="shared" ca="1" si="81"/>
        <v>4.427949592606497E-2</v>
      </c>
      <c r="G624">
        <f t="shared" ca="1" si="78"/>
        <v>1.8205524298573243E-2</v>
      </c>
      <c r="H624">
        <f t="shared" ca="1" si="82"/>
        <v>-1.7256149636511864</v>
      </c>
      <c r="I624">
        <f t="shared" ca="1" si="83"/>
        <v>1.2553379736150709</v>
      </c>
      <c r="J624" s="60">
        <v>619</v>
      </c>
    </row>
    <row r="625" spans="2:10" x14ac:dyDescent="0.25">
      <c r="B625" s="53">
        <v>41079</v>
      </c>
      <c r="C625">
        <v>289.67969590000001</v>
      </c>
      <c r="D625" s="54">
        <f t="shared" si="79"/>
        <v>1.8708868238941644E-2</v>
      </c>
      <c r="E625" s="54">
        <f t="shared" ca="1" si="80"/>
        <v>-1.3501241239500125E-2</v>
      </c>
      <c r="F625" s="64">
        <f t="shared" ca="1" si="81"/>
        <v>3.2210109478441773E-2</v>
      </c>
      <c r="G625">
        <f t="shared" ca="1" si="78"/>
        <v>2.9117821354727035E-2</v>
      </c>
      <c r="H625">
        <f t="shared" ca="1" si="82"/>
        <v>-0.61432539588496482</v>
      </c>
      <c r="I625">
        <f t="shared" ca="1" si="83"/>
        <v>1.9833962944040131</v>
      </c>
      <c r="J625" s="57">
        <v>620</v>
      </c>
    </row>
    <row r="626" spans="2:10" x14ac:dyDescent="0.25">
      <c r="B626" s="53">
        <v>41080</v>
      </c>
      <c r="C626">
        <v>287.67722070000002</v>
      </c>
      <c r="D626" s="54">
        <f t="shared" si="79"/>
        <v>-6.9127219765214897E-3</v>
      </c>
      <c r="E626" s="54">
        <f t="shared" ca="1" si="80"/>
        <v>7.5249442764778966E-3</v>
      </c>
      <c r="F626" s="64">
        <f t="shared" ca="1" si="81"/>
        <v>-1.4437666252999387E-2</v>
      </c>
      <c r="G626">
        <f t="shared" ca="1" si="78"/>
        <v>1.2254425003355746E-2</v>
      </c>
      <c r="H626">
        <f t="shared" ca="1" si="82"/>
        <v>0.20242061959980973</v>
      </c>
      <c r="I626">
        <f t="shared" ca="1" si="83"/>
        <v>2.5845282383232204</v>
      </c>
      <c r="J626" s="60">
        <v>621</v>
      </c>
    </row>
    <row r="627" spans="2:10" x14ac:dyDescent="0.25">
      <c r="B627" s="53">
        <v>41081</v>
      </c>
      <c r="C627">
        <v>281.55016540000003</v>
      </c>
      <c r="D627" s="54">
        <f t="shared" si="79"/>
        <v>-2.12983679593787E-2</v>
      </c>
      <c r="E627" s="54">
        <f t="shared" ca="1" si="80"/>
        <v>1.2453597434174594E-2</v>
      </c>
      <c r="F627" s="64">
        <f t="shared" ca="1" si="81"/>
        <v>-3.3751965393553296E-2</v>
      </c>
      <c r="G627">
        <f t="shared" ca="1" si="78"/>
        <v>4.4975342464126933E-3</v>
      </c>
      <c r="H627">
        <f t="shared" ca="1" si="82"/>
        <v>0.9007578170388062</v>
      </c>
      <c r="I627">
        <f t="shared" ca="1" si="83"/>
        <v>1.8041826587115719</v>
      </c>
      <c r="J627" s="57">
        <v>622</v>
      </c>
    </row>
    <row r="628" spans="2:10" x14ac:dyDescent="0.25">
      <c r="B628" s="53">
        <v>41082</v>
      </c>
      <c r="C628">
        <v>284.67346199999997</v>
      </c>
      <c r="D628" s="54">
        <f t="shared" si="79"/>
        <v>1.1093215291003862E-2</v>
      </c>
      <c r="E628" s="54">
        <f t="shared" ca="1" si="80"/>
        <v>-2.7580776489449926E-2</v>
      </c>
      <c r="F628" s="64">
        <f t="shared" ca="1" si="81"/>
        <v>3.867399178045379E-2</v>
      </c>
      <c r="G628">
        <f t="shared" ca="1" si="78"/>
        <v>1.510366439419359E-2</v>
      </c>
      <c r="H628">
        <f t="shared" ca="1" si="82"/>
        <v>-1.6205184990523547</v>
      </c>
      <c r="I628">
        <f t="shared" ca="1" si="83"/>
        <v>1.6227492615680821</v>
      </c>
      <c r="J628" s="60">
        <v>623</v>
      </c>
    </row>
    <row r="629" spans="2:10" x14ac:dyDescent="0.25">
      <c r="B629" s="53">
        <v>41085</v>
      </c>
      <c r="C629">
        <v>279.30357959999998</v>
      </c>
      <c r="D629" s="54">
        <f t="shared" si="79"/>
        <v>-1.8863305213887464E-2</v>
      </c>
      <c r="E629" s="54">
        <f t="shared" ca="1" si="80"/>
        <v>-1.1392175504956902E-2</v>
      </c>
      <c r="F629" s="64">
        <f t="shared" ca="1" si="81"/>
        <v>-7.4711297089305618E-3</v>
      </c>
      <c r="G629">
        <f t="shared" ca="1" si="78"/>
        <v>2.7285658752482293E-2</v>
      </c>
      <c r="H629">
        <f t="shared" ca="1" si="82"/>
        <v>-6.6952499614742048E-2</v>
      </c>
      <c r="I629">
        <f t="shared" ca="1" si="83"/>
        <v>2.718082707449069</v>
      </c>
      <c r="J629" s="57">
        <v>624</v>
      </c>
    </row>
    <row r="630" spans="2:10" x14ac:dyDescent="0.25">
      <c r="B630" s="53">
        <v>41086</v>
      </c>
      <c r="C630">
        <v>281.28615739999998</v>
      </c>
      <c r="D630" s="54">
        <f t="shared" si="79"/>
        <v>7.0982899783787858E-3</v>
      </c>
      <c r="E630" s="54">
        <f t="shared" ca="1" si="80"/>
        <v>1.8045927442332833E-3</v>
      </c>
      <c r="F630" s="64">
        <f t="shared" ca="1" si="81"/>
        <v>5.2936972341455025E-3</v>
      </c>
      <c r="G630">
        <f t="shared" ca="1" si="78"/>
        <v>6.3961048340530884E-3</v>
      </c>
      <c r="H630">
        <f t="shared" ca="1" si="82"/>
        <v>-0.49675035420869357</v>
      </c>
      <c r="I630">
        <f t="shared" ca="1" si="83"/>
        <v>2.7593180203248759</v>
      </c>
      <c r="J630" s="60">
        <v>625</v>
      </c>
    </row>
    <row r="631" spans="2:10" x14ac:dyDescent="0.25">
      <c r="B631" s="53">
        <v>41087</v>
      </c>
      <c r="C631">
        <v>283.58752229999999</v>
      </c>
      <c r="D631" s="54">
        <f t="shared" si="79"/>
        <v>8.1815789346767562E-3</v>
      </c>
      <c r="E631" s="54">
        <f t="shared" ca="1" si="80"/>
        <v>-3.0051506075696399E-2</v>
      </c>
      <c r="F631" s="64">
        <f t="shared" ca="1" si="81"/>
        <v>3.8233085010373154E-2</v>
      </c>
      <c r="G631">
        <f t="shared" ca="1" si="78"/>
        <v>8.4788337973666326E-3</v>
      </c>
      <c r="H631">
        <f t="shared" ca="1" si="82"/>
        <v>-2.5451307038816964</v>
      </c>
      <c r="I631">
        <f t="shared" ca="1" si="83"/>
        <v>1.6494946631578835</v>
      </c>
      <c r="J631" s="57">
        <v>626</v>
      </c>
    </row>
    <row r="632" spans="2:10" x14ac:dyDescent="0.25">
      <c r="B632" s="53">
        <v>41088</v>
      </c>
      <c r="C632">
        <v>281.10183080000002</v>
      </c>
      <c r="D632" s="54">
        <f t="shared" si="79"/>
        <v>-8.7651652648187521E-3</v>
      </c>
      <c r="E632" s="54">
        <f t="shared" ca="1" si="80"/>
        <v>1.5401948053650655E-2</v>
      </c>
      <c r="F632" s="64">
        <f t="shared" ca="1" si="81"/>
        <v>-2.4167113318469408E-2</v>
      </c>
      <c r="G632">
        <f t="shared" ca="1" si="78"/>
        <v>4.2538106997372767E-2</v>
      </c>
      <c r="H632">
        <f t="shared" ca="1" si="82"/>
        <v>0.28712661945210921</v>
      </c>
      <c r="I632">
        <f t="shared" ca="1" si="83"/>
        <v>2.2667730619203197</v>
      </c>
      <c r="J632" s="60">
        <v>627</v>
      </c>
    </row>
    <row r="633" spans="2:10" x14ac:dyDescent="0.25">
      <c r="B633" s="53">
        <v>41089</v>
      </c>
      <c r="C633">
        <v>288.95243040000003</v>
      </c>
      <c r="D633" s="54">
        <f t="shared" si="79"/>
        <v>2.7927956134820055E-2</v>
      </c>
      <c r="E633" s="54">
        <f t="shared" ca="1" si="80"/>
        <v>1.4896494844132105E-3</v>
      </c>
      <c r="F633" s="64">
        <f t="shared" ca="1" si="81"/>
        <v>2.6438306650406845E-2</v>
      </c>
      <c r="G633">
        <f t="shared" ca="1" si="78"/>
        <v>1.0858567895768887E-2</v>
      </c>
      <c r="H633">
        <f t="shared" ca="1" si="82"/>
        <v>-0.20119692078101314</v>
      </c>
      <c r="I633">
        <f t="shared" ca="1" si="83"/>
        <v>2.2483756180215853</v>
      </c>
      <c r="J633" s="57">
        <v>628</v>
      </c>
    </row>
    <row r="634" spans="2:10" x14ac:dyDescent="0.25">
      <c r="B634" s="53">
        <v>41092</v>
      </c>
      <c r="C634">
        <v>289.15168</v>
      </c>
      <c r="D634" s="54">
        <f t="shared" si="79"/>
        <v>6.8955848450262167E-4</v>
      </c>
      <c r="E634" s="54">
        <f t="shared" ca="1" si="80"/>
        <v>-2.0822694731312355E-3</v>
      </c>
      <c r="F634" s="64">
        <f t="shared" ca="1" si="81"/>
        <v>2.7718279576338569E-3</v>
      </c>
      <c r="G634">
        <f t="shared" ca="1" si="78"/>
        <v>4.2913420920507941E-3</v>
      </c>
      <c r="H634">
        <f t="shared" ca="1" si="82"/>
        <v>0.43200016776600275</v>
      </c>
      <c r="I634">
        <f t="shared" ca="1" si="83"/>
        <v>2.7720399463345959</v>
      </c>
      <c r="J634" s="60">
        <v>629</v>
      </c>
    </row>
    <row r="635" spans="2:10" x14ac:dyDescent="0.25">
      <c r="B635" s="53">
        <v>41093</v>
      </c>
      <c r="C635">
        <v>292.81794600000001</v>
      </c>
      <c r="D635" s="54">
        <f t="shared" si="79"/>
        <v>1.2679386818710538E-2</v>
      </c>
      <c r="E635" s="54">
        <f t="shared" ca="1" si="80"/>
        <v>1.5117222004147633E-2</v>
      </c>
      <c r="F635" s="64">
        <f t="shared" ca="1" si="81"/>
        <v>-2.4378351854370955E-3</v>
      </c>
      <c r="G635">
        <f t="shared" ca="1" si="78"/>
        <v>7.3463190037614786E-3</v>
      </c>
      <c r="H635">
        <f t="shared" ca="1" si="82"/>
        <v>0.3504075534054622</v>
      </c>
      <c r="I635">
        <f t="shared" ca="1" si="83"/>
        <v>2.7657807000595325</v>
      </c>
      <c r="J635" s="57">
        <v>630</v>
      </c>
    </row>
    <row r="636" spans="2:10" x14ac:dyDescent="0.25">
      <c r="B636" s="53">
        <v>41095</v>
      </c>
      <c r="C636">
        <v>296.84785979999998</v>
      </c>
      <c r="D636" s="54">
        <f t="shared" si="79"/>
        <v>1.3762523284689574E-2</v>
      </c>
      <c r="E636" s="54">
        <f t="shared" ca="1" si="80"/>
        <v>9.7337121297160767E-3</v>
      </c>
      <c r="F636" s="64">
        <f t="shared" ca="1" si="81"/>
        <v>4.0288111549734978E-3</v>
      </c>
      <c r="G636">
        <f t="shared" ca="1" si="78"/>
        <v>6.1666650429002831E-3</v>
      </c>
      <c r="H636">
        <f t="shared" ca="1" si="82"/>
        <v>1.5281840392081139</v>
      </c>
      <c r="I636">
        <f t="shared" ca="1" si="83"/>
        <v>2.7669833897634533</v>
      </c>
      <c r="J636" s="60">
        <v>631</v>
      </c>
    </row>
    <row r="637" spans="2:10" x14ac:dyDescent="0.25">
      <c r="B637" s="53">
        <v>41096</v>
      </c>
      <c r="C637">
        <v>291.89640509999998</v>
      </c>
      <c r="D637" s="54">
        <f t="shared" si="79"/>
        <v>-1.6680109141888447E-2</v>
      </c>
      <c r="E637" s="54">
        <f t="shared" ca="1" si="80"/>
        <v>6.5627100347031408E-3</v>
      </c>
      <c r="F637" s="64">
        <f t="shared" ca="1" si="81"/>
        <v>-2.3242819176591586E-2</v>
      </c>
      <c r="G637">
        <f t="shared" ca="1" si="78"/>
        <v>2.5566371692545536E-2</v>
      </c>
      <c r="H637">
        <f t="shared" ca="1" si="82"/>
        <v>3.3947182694837888E-2</v>
      </c>
      <c r="I637">
        <f t="shared" ca="1" si="83"/>
        <v>2.3035346250589699</v>
      </c>
      <c r="J637" s="57">
        <v>632</v>
      </c>
    </row>
    <row r="638" spans="2:10" x14ac:dyDescent="0.25">
      <c r="B638" s="53">
        <v>41099</v>
      </c>
      <c r="C638">
        <v>291.91135860000003</v>
      </c>
      <c r="D638" s="54">
        <f t="shared" si="79"/>
        <v>5.1228791238193005E-5</v>
      </c>
      <c r="E638" s="54">
        <f t="shared" ca="1" si="80"/>
        <v>-6.5787573897298311E-4</v>
      </c>
      <c r="F638" s="64">
        <f t="shared" ca="1" si="81"/>
        <v>7.0910453021117608E-4</v>
      </c>
      <c r="G638">
        <f t="shared" ca="1" si="78"/>
        <v>5.938502137145172E-3</v>
      </c>
      <c r="H638">
        <f t="shared" ca="1" si="82"/>
        <v>-1.1515720585917371</v>
      </c>
      <c r="I638">
        <f t="shared" ca="1" si="83"/>
        <v>2.7748057792232395</v>
      </c>
      <c r="J638" s="60">
        <v>633</v>
      </c>
    </row>
    <row r="639" spans="2:10" x14ac:dyDescent="0.25">
      <c r="B639" s="53">
        <v>41100</v>
      </c>
      <c r="C639">
        <v>289.76438250000001</v>
      </c>
      <c r="D639" s="54">
        <f t="shared" si="79"/>
        <v>-7.3548905746486336E-3</v>
      </c>
      <c r="E639" s="54">
        <f t="shared" ca="1" si="80"/>
        <v>-1.8078898920279987E-2</v>
      </c>
      <c r="F639" s="64">
        <f t="shared" ca="1" si="81"/>
        <v>1.0724008345631354E-2</v>
      </c>
      <c r="G639">
        <f t="shared" ca="1" si="78"/>
        <v>1.929549457507539E-2</v>
      </c>
      <c r="H639">
        <f t="shared" ca="1" si="82"/>
        <v>-0.54870470775755209</v>
      </c>
      <c r="I639">
        <f t="shared" ca="1" si="83"/>
        <v>2.697037743480573</v>
      </c>
      <c r="J639" s="57">
        <v>634</v>
      </c>
    </row>
    <row r="640" spans="2:10" x14ac:dyDescent="0.25">
      <c r="B640" s="53">
        <v>41101</v>
      </c>
      <c r="C640">
        <v>284.52899150000002</v>
      </c>
      <c r="D640" s="54">
        <f t="shared" si="79"/>
        <v>-1.8067751995019584E-2</v>
      </c>
      <c r="E640" s="54">
        <f t="shared" ca="1" si="80"/>
        <v>2.1478984569092259E-2</v>
      </c>
      <c r="F640" s="64">
        <f t="shared" ca="1" si="81"/>
        <v>-3.954673656411184E-2</v>
      </c>
      <c r="G640">
        <f t="shared" ca="1" si="78"/>
        <v>1.0209076416789092E-2</v>
      </c>
      <c r="H640">
        <f t="shared" ca="1" si="82"/>
        <v>2.101669393711838</v>
      </c>
      <c r="I640">
        <f t="shared" ca="1" si="83"/>
        <v>1.4525126932276362</v>
      </c>
      <c r="J640" s="60">
        <v>635</v>
      </c>
    </row>
    <row r="641" spans="2:10" x14ac:dyDescent="0.25">
      <c r="B641" s="53">
        <v>41102</v>
      </c>
      <c r="C641">
        <v>284.17532260000002</v>
      </c>
      <c r="D641" s="54">
        <f t="shared" si="79"/>
        <v>-1.2429977631998263E-3</v>
      </c>
      <c r="E641" s="54">
        <f t="shared" ca="1" si="80"/>
        <v>-8.8806143556963077E-3</v>
      </c>
      <c r="F641" s="64">
        <f t="shared" ca="1" si="81"/>
        <v>7.6376165924964814E-3</v>
      </c>
      <c r="G641">
        <f t="shared" ca="1" si="78"/>
        <v>3.5171669877197879E-2</v>
      </c>
      <c r="H641">
        <f t="shared" ca="1" si="82"/>
        <v>-0.15856723156396443</v>
      </c>
      <c r="I641">
        <f t="shared" ca="1" si="83"/>
        <v>2.7382799631753447</v>
      </c>
      <c r="J641" s="57">
        <v>636</v>
      </c>
    </row>
    <row r="642" spans="2:10" x14ac:dyDescent="0.25">
      <c r="B642" s="53">
        <v>41103</v>
      </c>
      <c r="C642">
        <v>287.18405569999999</v>
      </c>
      <c r="D642" s="54">
        <f t="shared" si="79"/>
        <v>1.0587594561245594E-2</v>
      </c>
      <c r="E642" s="54">
        <f t="shared" ca="1" si="80"/>
        <v>-3.7485729342446646E-3</v>
      </c>
      <c r="F642" s="64">
        <f t="shared" ca="1" si="81"/>
        <v>1.4336167495490259E-2</v>
      </c>
      <c r="G642">
        <f t="shared" ca="1" si="78"/>
        <v>8.498932756019633E-3</v>
      </c>
      <c r="H642">
        <f t="shared" ca="1" si="82"/>
        <v>0.51371600424713704</v>
      </c>
      <c r="I642">
        <f t="shared" ca="1" si="83"/>
        <v>2.6292223791983673</v>
      </c>
      <c r="J642" s="60">
        <v>637</v>
      </c>
    </row>
    <row r="643" spans="2:10" x14ac:dyDescent="0.25">
      <c r="B643" s="53">
        <v>41106</v>
      </c>
      <c r="C643">
        <v>286.38705700000003</v>
      </c>
      <c r="D643" s="54">
        <f t="shared" si="79"/>
        <v>-2.77521918150124E-3</v>
      </c>
      <c r="E643" s="54">
        <f t="shared" ca="1" si="80"/>
        <v>-3.9636195558974295E-3</v>
      </c>
      <c r="F643" s="64">
        <f t="shared" ca="1" si="81"/>
        <v>1.1884003743961894E-3</v>
      </c>
      <c r="G643">
        <f t="shared" ca="1" si="78"/>
        <v>8.8483126107053722E-3</v>
      </c>
      <c r="H643">
        <f t="shared" ca="1" si="82"/>
        <v>-0.38488093448675931</v>
      </c>
      <c r="I643">
        <f t="shared" ca="1" si="83"/>
        <v>2.7747762289760933</v>
      </c>
      <c r="J643" s="57">
        <v>638</v>
      </c>
    </row>
    <row r="644" spans="2:10" x14ac:dyDescent="0.25">
      <c r="B644" s="53">
        <v>41107</v>
      </c>
      <c r="C644">
        <v>287.28867000000002</v>
      </c>
      <c r="D644" s="54">
        <f t="shared" si="79"/>
        <v>3.1482323588387499E-3</v>
      </c>
      <c r="E644" s="54">
        <f t="shared" ca="1" si="80"/>
        <v>8.5659002488332782E-3</v>
      </c>
      <c r="F644" s="64">
        <f t="shared" ca="1" si="81"/>
        <v>-5.4176678899945287E-3</v>
      </c>
      <c r="G644">
        <f t="shared" ca="1" si="78"/>
        <v>6.808263862052512E-3</v>
      </c>
      <c r="H644">
        <f t="shared" ca="1" si="82"/>
        <v>0.55973848588060626</v>
      </c>
      <c r="I644">
        <f t="shared" ca="1" si="83"/>
        <v>2.7424856925789207</v>
      </c>
      <c r="J644" s="60">
        <v>639</v>
      </c>
    </row>
    <row r="645" spans="2:10" x14ac:dyDescent="0.25">
      <c r="B645" s="53">
        <v>41108</v>
      </c>
      <c r="C645">
        <v>289.29615050000001</v>
      </c>
      <c r="D645" s="54">
        <f t="shared" si="79"/>
        <v>6.9876772376717307E-3</v>
      </c>
      <c r="E645" s="54">
        <f t="shared" ca="1" si="80"/>
        <v>2.8909298350176193E-4</v>
      </c>
      <c r="F645" s="64">
        <f t="shared" ca="1" si="81"/>
        <v>6.6985842541699685E-3</v>
      </c>
      <c r="G645">
        <f t="shared" ref="G645:G708" ca="1" si="84">SQRT(A_0+A_1*POWER(H644,2)+B_1*POWER(G644,2))</f>
        <v>9.5243624992455596E-3</v>
      </c>
      <c r="H645">
        <f t="shared" ca="1" si="82"/>
        <v>0.16121239045816096</v>
      </c>
      <c r="I645">
        <f t="shared" ca="1" si="83"/>
        <v>2.7477741077607036</v>
      </c>
      <c r="J645" s="57">
        <v>640</v>
      </c>
    </row>
    <row r="646" spans="2:10" x14ac:dyDescent="0.25">
      <c r="B646" s="53">
        <v>41109</v>
      </c>
      <c r="C646">
        <v>295.42317489999999</v>
      </c>
      <c r="D646" s="54">
        <f t="shared" si="79"/>
        <v>2.1179073380030965E-2</v>
      </c>
      <c r="E646" s="54">
        <f t="shared" ca="1" si="80"/>
        <v>-6.964373757039964E-4</v>
      </c>
      <c r="F646" s="64">
        <f t="shared" ca="1" si="81"/>
        <v>2.1875510755734962E-2</v>
      </c>
      <c r="G646">
        <f t="shared" ca="1" si="84"/>
        <v>3.6009438853196189E-3</v>
      </c>
      <c r="H646">
        <f t="shared" ca="1" si="82"/>
        <v>-0.58609411066520201</v>
      </c>
      <c r="I646">
        <f t="shared" ca="1" si="83"/>
        <v>2.4197552382544973</v>
      </c>
      <c r="J646" s="60">
        <v>641</v>
      </c>
    </row>
    <row r="647" spans="2:10" x14ac:dyDescent="0.25">
      <c r="B647" s="53">
        <v>41110</v>
      </c>
      <c r="C647">
        <v>304.27005309999998</v>
      </c>
      <c r="D647" s="54">
        <f t="shared" ref="D647:D710" si="85">(C647-C646)/C646</f>
        <v>2.9946459694621581E-2</v>
      </c>
      <c r="E647" s="54">
        <f t="shared" ca="1" si="80"/>
        <v>-1.9884941795384442E-2</v>
      </c>
      <c r="F647" s="64">
        <f t="shared" ca="1" si="81"/>
        <v>4.9831401490006019E-2</v>
      </c>
      <c r="G647">
        <f t="shared" ca="1" si="84"/>
        <v>9.8688567768056654E-3</v>
      </c>
      <c r="H647">
        <f t="shared" ca="1" si="82"/>
        <v>-2.3329564005662822</v>
      </c>
      <c r="I647">
        <f t="shared" ca="1" si="83"/>
        <v>0.84139608167397362</v>
      </c>
      <c r="J647" s="57">
        <v>642</v>
      </c>
    </row>
    <row r="648" spans="2:10" x14ac:dyDescent="0.25">
      <c r="B648" s="53">
        <v>41113</v>
      </c>
      <c r="C648">
        <v>306.60629979999999</v>
      </c>
      <c r="D648" s="54">
        <f t="shared" si="85"/>
        <v>7.6782012432626218E-3</v>
      </c>
      <c r="E648" s="54">
        <f t="shared" ref="E648:E711" ca="1" si="86">((E_1*D647)+(E_2*D646)+(G648*H648))</f>
        <v>-1.4377853659321038E-2</v>
      </c>
      <c r="F648" s="64">
        <f t="shared" ca="1" si="81"/>
        <v>2.2056054902583659E-2</v>
      </c>
      <c r="G648">
        <f t="shared" ca="1" si="84"/>
        <v>3.9018622199163328E-2</v>
      </c>
      <c r="H648">
        <f t="shared" ca="1" si="82"/>
        <v>-0.61227984054690343</v>
      </c>
      <c r="I648">
        <f t="shared" ca="1" si="83"/>
        <v>2.4136131426252199</v>
      </c>
      <c r="J648" s="60">
        <v>643</v>
      </c>
    </row>
    <row r="649" spans="2:10" x14ac:dyDescent="0.25">
      <c r="B649" s="53">
        <v>41114</v>
      </c>
      <c r="C649">
        <v>302.65112329999999</v>
      </c>
      <c r="D649" s="54">
        <f t="shared" si="85"/>
        <v>-1.2899853990540847E-2</v>
      </c>
      <c r="E649" s="54">
        <f t="shared" ca="1" si="86"/>
        <v>1.9626865910366081E-2</v>
      </c>
      <c r="F649" s="64">
        <f t="shared" ref="F649:F712" ca="1" si="87">D649-E649</f>
        <v>-3.2526719900906928E-2</v>
      </c>
      <c r="G649">
        <f t="shared" ca="1" si="84"/>
        <v>1.3582615978474943E-2</v>
      </c>
      <c r="H649">
        <f t="shared" ref="H649:H712" ca="1" si="88">_xlfn.NORM.INV(RAND(),0,1)</f>
        <v>0.45478564438442626</v>
      </c>
      <c r="I649">
        <f t="shared" ref="I649:I712" ca="1" si="89">LN(_xlfn.NORM.DIST(F649,AVERAGE($F$8:$F$1413),_xlfn.STDEV.S($F$8:$F$1413),FALSE))</f>
        <v>1.8715909724475739</v>
      </c>
      <c r="J649" s="57">
        <v>644</v>
      </c>
    </row>
    <row r="650" spans="2:10" x14ac:dyDescent="0.25">
      <c r="B650" s="53">
        <v>41115</v>
      </c>
      <c r="C650">
        <v>302.86032169999999</v>
      </c>
      <c r="D650" s="54">
        <f t="shared" si="85"/>
        <v>6.9121963837096099E-4</v>
      </c>
      <c r="E650" s="54">
        <f t="shared" ca="1" si="86"/>
        <v>1.1729574562426704E-2</v>
      </c>
      <c r="F650" s="64">
        <f t="shared" ca="1" si="87"/>
        <v>-1.1038354924055742E-2</v>
      </c>
      <c r="G650">
        <f t="shared" ca="1" si="84"/>
        <v>8.259414778279333E-3</v>
      </c>
      <c r="H650">
        <f t="shared" ca="1" si="88"/>
        <v>1.0026573472466545</v>
      </c>
      <c r="I650">
        <f t="shared" ca="1" si="89"/>
        <v>2.6594923238307229</v>
      </c>
      <c r="J650" s="60">
        <v>645</v>
      </c>
    </row>
    <row r="651" spans="2:10" x14ac:dyDescent="0.25">
      <c r="B651" s="53">
        <v>41116</v>
      </c>
      <c r="C651">
        <v>305.53531409999999</v>
      </c>
      <c r="D651" s="54">
        <f t="shared" si="85"/>
        <v>8.8324293687098987E-3</v>
      </c>
      <c r="E651" s="54">
        <f t="shared" ca="1" si="86"/>
        <v>-9.3791045186047105E-3</v>
      </c>
      <c r="F651" s="64">
        <f t="shared" ca="1" si="87"/>
        <v>1.8211533887314609E-2</v>
      </c>
      <c r="G651">
        <f t="shared" ca="1" si="84"/>
        <v>1.6871567210466606E-2</v>
      </c>
      <c r="H651">
        <f t="shared" ca="1" si="88"/>
        <v>-0.21251929922059357</v>
      </c>
      <c r="I651">
        <f t="shared" ca="1" si="89"/>
        <v>2.5330234870892214</v>
      </c>
      <c r="J651" s="57">
        <v>646</v>
      </c>
    </row>
    <row r="652" spans="2:10" x14ac:dyDescent="0.25">
      <c r="B652" s="53">
        <v>41117</v>
      </c>
      <c r="C652">
        <v>316.29500669999999</v>
      </c>
      <c r="D652" s="54">
        <f t="shared" si="85"/>
        <v>3.5215872285317591E-2</v>
      </c>
      <c r="E652" s="54">
        <f t="shared" ca="1" si="86"/>
        <v>1.0556975627565743E-4</v>
      </c>
      <c r="F652" s="64">
        <f t="shared" ca="1" si="87"/>
        <v>3.5110302529041931E-2</v>
      </c>
      <c r="G652">
        <f t="shared" ca="1" si="84"/>
        <v>5.3268605671550522E-3</v>
      </c>
      <c r="H652">
        <f t="shared" ca="1" si="88"/>
        <v>-3.8488531506524301E-2</v>
      </c>
      <c r="I652">
        <f t="shared" ca="1" si="89"/>
        <v>1.8299320903354921</v>
      </c>
      <c r="J652" s="60">
        <v>647</v>
      </c>
    </row>
    <row r="653" spans="2:10" x14ac:dyDescent="0.25">
      <c r="B653" s="53">
        <v>41120</v>
      </c>
      <c r="C653">
        <v>314.96996130000002</v>
      </c>
      <c r="D653" s="54">
        <f t="shared" si="85"/>
        <v>-4.1892706869594886E-3</v>
      </c>
      <c r="E653" s="54">
        <f t="shared" ca="1" si="86"/>
        <v>2.905881503507117E-3</v>
      </c>
      <c r="F653" s="64">
        <f t="shared" ca="1" si="87"/>
        <v>-7.0951521904666056E-3</v>
      </c>
      <c r="G653">
        <f t="shared" ca="1" si="84"/>
        <v>1.7038074598397935E-3</v>
      </c>
      <c r="H653">
        <f t="shared" ca="1" si="88"/>
        <v>-0.62304359037752943</v>
      </c>
      <c r="I653">
        <f t="shared" ca="1" si="89"/>
        <v>2.7230602829442745</v>
      </c>
      <c r="J653" s="57">
        <v>648</v>
      </c>
    </row>
    <row r="654" spans="2:10" x14ac:dyDescent="0.25">
      <c r="B654" s="53">
        <v>41121</v>
      </c>
      <c r="C654">
        <v>315.3037023</v>
      </c>
      <c r="D654" s="54">
        <f t="shared" si="85"/>
        <v>1.0595962822057691E-3</v>
      </c>
      <c r="E654" s="54">
        <f t="shared" ca="1" si="86"/>
        <v>2.8806090371891909E-2</v>
      </c>
      <c r="F654" s="64">
        <f t="shared" ca="1" si="87"/>
        <v>-2.774649408968614E-2</v>
      </c>
      <c r="G654">
        <f t="shared" ca="1" si="84"/>
        <v>1.0455590681590968E-2</v>
      </c>
      <c r="H654">
        <f t="shared" ca="1" si="88"/>
        <v>1.2423983878837832</v>
      </c>
      <c r="I654">
        <f t="shared" ca="1" si="89"/>
        <v>2.1113886142946945</v>
      </c>
      <c r="J654" s="60">
        <v>649</v>
      </c>
    </row>
    <row r="655" spans="2:10" x14ac:dyDescent="0.25">
      <c r="B655" s="53">
        <v>41122</v>
      </c>
      <c r="C655">
        <v>315.1592622</v>
      </c>
      <c r="D655" s="54">
        <f t="shared" si="85"/>
        <v>-4.5809833169217778E-4</v>
      </c>
      <c r="E655" s="54">
        <f t="shared" ca="1" si="86"/>
        <v>-2.7741160122283955E-3</v>
      </c>
      <c r="F655" s="64">
        <f t="shared" ca="1" si="87"/>
        <v>2.3160176805362177E-3</v>
      </c>
      <c r="G655">
        <f t="shared" ca="1" si="84"/>
        <v>2.0898309577019398E-2</v>
      </c>
      <c r="H655">
        <f t="shared" ca="1" si="88"/>
        <v>-4.2713928589397161E-2</v>
      </c>
      <c r="I655">
        <f t="shared" ca="1" si="89"/>
        <v>2.773242852081736</v>
      </c>
      <c r="J655" s="57">
        <v>650</v>
      </c>
    </row>
    <row r="656" spans="2:10" x14ac:dyDescent="0.25">
      <c r="B656" s="53">
        <v>41123</v>
      </c>
      <c r="C656">
        <v>313.20158709999998</v>
      </c>
      <c r="D656" s="54">
        <f t="shared" si="85"/>
        <v>-6.2117009867781615E-3</v>
      </c>
      <c r="E656" s="54">
        <f t="shared" ca="1" si="86"/>
        <v>-6.9202211743288615E-4</v>
      </c>
      <c r="F656" s="64">
        <f t="shared" ca="1" si="87"/>
        <v>-5.5196788693452755E-3</v>
      </c>
      <c r="G656">
        <f t="shared" ca="1" si="84"/>
        <v>4.9188205893304542E-3</v>
      </c>
      <c r="H656">
        <f t="shared" ca="1" si="88"/>
        <v>-0.23743499360027623</v>
      </c>
      <c r="I656">
        <f t="shared" ca="1" si="89"/>
        <v>2.7414342348941103</v>
      </c>
      <c r="J656" s="60">
        <v>651</v>
      </c>
    </row>
    <row r="657" spans="2:10" x14ac:dyDescent="0.25">
      <c r="B657" s="53">
        <v>41124</v>
      </c>
      <c r="C657">
        <v>319.4681076</v>
      </c>
      <c r="D657" s="54">
        <f t="shared" si="85"/>
        <v>2.0007946185787426E-2</v>
      </c>
      <c r="E657" s="54">
        <f t="shared" ca="1" si="86"/>
        <v>3.8570982778345481E-3</v>
      </c>
      <c r="F657" s="64">
        <f t="shared" ca="1" si="87"/>
        <v>1.6150847907952879E-2</v>
      </c>
      <c r="G657">
        <f t="shared" ca="1" si="84"/>
        <v>4.2402732478948385E-3</v>
      </c>
      <c r="H657">
        <f t="shared" ca="1" si="88"/>
        <v>0.9581803400925929</v>
      </c>
      <c r="I657">
        <f t="shared" ca="1" si="89"/>
        <v>2.5871972892997399</v>
      </c>
      <c r="J657" s="57">
        <v>652</v>
      </c>
    </row>
    <row r="658" spans="2:10" x14ac:dyDescent="0.25">
      <c r="B658" s="53">
        <v>41127</v>
      </c>
      <c r="C658">
        <v>320.21032709999997</v>
      </c>
      <c r="D658" s="54">
        <f t="shared" si="85"/>
        <v>2.3232976386152919E-3</v>
      </c>
      <c r="E658" s="54">
        <f t="shared" ca="1" si="86"/>
        <v>-3.6744859300380718E-2</v>
      </c>
      <c r="F658" s="64">
        <f t="shared" ca="1" si="87"/>
        <v>3.9068156938996013E-2</v>
      </c>
      <c r="G658">
        <f t="shared" ca="1" si="84"/>
        <v>1.6054409868647732E-2</v>
      </c>
      <c r="H658">
        <f t="shared" ca="1" si="88"/>
        <v>-2.1150204249863993</v>
      </c>
      <c r="I658">
        <f t="shared" ca="1" si="89"/>
        <v>1.5985732887749635</v>
      </c>
      <c r="J658" s="60">
        <v>653</v>
      </c>
    </row>
    <row r="659" spans="2:10" x14ac:dyDescent="0.25">
      <c r="B659" s="53">
        <v>41128</v>
      </c>
      <c r="C659">
        <v>319.07458259999999</v>
      </c>
      <c r="D659" s="54">
        <f t="shared" si="85"/>
        <v>-3.5468703032969333E-3</v>
      </c>
      <c r="E659" s="54">
        <f t="shared" ca="1" si="86"/>
        <v>-1.4848911381610975E-2</v>
      </c>
      <c r="F659" s="64">
        <f t="shared" ca="1" si="87"/>
        <v>1.1302041078314042E-2</v>
      </c>
      <c r="G659">
        <f t="shared" ca="1" si="84"/>
        <v>3.5506333018302264E-2</v>
      </c>
      <c r="H659">
        <f t="shared" ca="1" si="88"/>
        <v>-0.67128646505701994</v>
      </c>
      <c r="I659">
        <f t="shared" ca="1" si="89"/>
        <v>2.6876025172416931</v>
      </c>
      <c r="J659" s="57">
        <v>654</v>
      </c>
    </row>
    <row r="660" spans="2:10" x14ac:dyDescent="0.25">
      <c r="B660" s="53">
        <v>41129</v>
      </c>
      <c r="C660">
        <v>319.91641170000003</v>
      </c>
      <c r="D660" s="54">
        <f t="shared" si="85"/>
        <v>2.6383458473575104E-3</v>
      </c>
      <c r="E660" s="54">
        <f t="shared" ca="1" si="86"/>
        <v>-2.5620050641566934E-3</v>
      </c>
      <c r="F660" s="64">
        <f t="shared" ca="1" si="87"/>
        <v>5.2003509115142038E-3</v>
      </c>
      <c r="G660">
        <f t="shared" ca="1" si="84"/>
        <v>1.3856500786212237E-2</v>
      </c>
      <c r="H660">
        <f t="shared" ca="1" si="88"/>
        <v>-0.26019436626095543</v>
      </c>
      <c r="I660">
        <f t="shared" ca="1" si="89"/>
        <v>2.7599720591501771</v>
      </c>
      <c r="J660" s="60">
        <v>655</v>
      </c>
    </row>
    <row r="661" spans="2:10" x14ac:dyDescent="0.25">
      <c r="B661" s="53">
        <v>41130</v>
      </c>
      <c r="C661">
        <v>319.97619570000001</v>
      </c>
      <c r="D661" s="54">
        <f t="shared" si="85"/>
        <v>1.8687381395125589E-4</v>
      </c>
      <c r="E661" s="54">
        <f t="shared" ca="1" si="86"/>
        <v>5.560133842816525E-3</v>
      </c>
      <c r="F661" s="64">
        <f t="shared" ca="1" si="87"/>
        <v>-5.373260028865269E-3</v>
      </c>
      <c r="G661">
        <f t="shared" ca="1" si="84"/>
        <v>5.4631014602195957E-3</v>
      </c>
      <c r="H661">
        <f t="shared" ca="1" si="88"/>
        <v>1.3093402929333426</v>
      </c>
      <c r="I661">
        <f t="shared" ca="1" si="89"/>
        <v>2.7429381647691087</v>
      </c>
      <c r="J661" s="57">
        <v>656</v>
      </c>
    </row>
    <row r="662" spans="2:10" x14ac:dyDescent="0.25">
      <c r="B662" s="53">
        <v>41131</v>
      </c>
      <c r="C662">
        <v>319.80184819999999</v>
      </c>
      <c r="D662" s="54">
        <f t="shared" si="85"/>
        <v>-5.4487647000926677E-4</v>
      </c>
      <c r="E662" s="54">
        <f t="shared" ca="1" si="86"/>
        <v>3.7261651861190577E-3</v>
      </c>
      <c r="F662" s="64">
        <f t="shared" ca="1" si="87"/>
        <v>-4.2710416561283241E-3</v>
      </c>
      <c r="G662">
        <f t="shared" ca="1" si="84"/>
        <v>2.1913596206983365E-2</v>
      </c>
      <c r="H662">
        <f t="shared" ca="1" si="88"/>
        <v>0.11596581317714773</v>
      </c>
      <c r="I662">
        <f t="shared" ca="1" si="89"/>
        <v>2.7531476616356381</v>
      </c>
      <c r="J662" s="60">
        <v>657</v>
      </c>
    </row>
    <row r="663" spans="2:10" x14ac:dyDescent="0.25">
      <c r="B663" s="53">
        <v>41134</v>
      </c>
      <c r="C663">
        <v>328.77323819999998</v>
      </c>
      <c r="D663" s="54">
        <f t="shared" si="85"/>
        <v>2.8052964829613468E-2</v>
      </c>
      <c r="E663" s="54">
        <f t="shared" ca="1" si="86"/>
        <v>-7.1432734321101015E-3</v>
      </c>
      <c r="F663" s="64">
        <f t="shared" ca="1" si="87"/>
        <v>3.5196238261723571E-2</v>
      </c>
      <c r="G663">
        <f t="shared" ca="1" si="84"/>
        <v>5.4487947283538103E-3</v>
      </c>
      <c r="H663">
        <f t="shared" ca="1" si="88"/>
        <v>-1.3263837554778835</v>
      </c>
      <c r="I663">
        <f t="shared" ca="1" si="89"/>
        <v>1.8251774736435329</v>
      </c>
      <c r="J663" s="57">
        <v>658</v>
      </c>
    </row>
    <row r="664" spans="2:10" x14ac:dyDescent="0.25">
      <c r="B664" s="53">
        <v>41135</v>
      </c>
      <c r="C664">
        <v>333.08211399999999</v>
      </c>
      <c r="D664" s="54">
        <f t="shared" si="85"/>
        <v>1.3105920127777632E-2</v>
      </c>
      <c r="E664" s="54">
        <f t="shared" ca="1" si="86"/>
        <v>-4.3174514803375431E-3</v>
      </c>
      <c r="F664" s="64">
        <f t="shared" ca="1" si="87"/>
        <v>1.7423371608115176E-2</v>
      </c>
      <c r="G664">
        <f t="shared" ca="1" si="84"/>
        <v>2.2197144480500499E-2</v>
      </c>
      <c r="H664">
        <f t="shared" ca="1" si="88"/>
        <v>-0.18350198144955118</v>
      </c>
      <c r="I664">
        <f t="shared" ca="1" si="89"/>
        <v>2.5545539113082656</v>
      </c>
      <c r="J664" s="60">
        <v>659</v>
      </c>
    </row>
    <row r="665" spans="2:10" x14ac:dyDescent="0.25">
      <c r="B665" s="53">
        <v>41136</v>
      </c>
      <c r="C665">
        <v>332.52419070000002</v>
      </c>
      <c r="D665" s="54">
        <f t="shared" si="85"/>
        <v>-1.6750323014941906E-3</v>
      </c>
      <c r="E665" s="54">
        <f t="shared" ca="1" si="86"/>
        <v>1.4115532122696386E-2</v>
      </c>
      <c r="F665" s="64">
        <f t="shared" ca="1" si="87"/>
        <v>-1.5790564424190578E-2</v>
      </c>
      <c r="G665">
        <f t="shared" ca="1" si="84"/>
        <v>5.9977835968592023E-3</v>
      </c>
      <c r="H665">
        <f t="shared" ca="1" si="88"/>
        <v>0.25278636301419377</v>
      </c>
      <c r="I665">
        <f t="shared" ca="1" si="89"/>
        <v>2.5494991107349403</v>
      </c>
      <c r="J665" s="57">
        <v>660</v>
      </c>
    </row>
    <row r="666" spans="2:10" x14ac:dyDescent="0.25">
      <c r="B666" s="53">
        <v>41137</v>
      </c>
      <c r="C666">
        <v>335.17925539999999</v>
      </c>
      <c r="D666" s="54">
        <f t="shared" si="85"/>
        <v>7.9845760827528516E-3</v>
      </c>
      <c r="E666" s="54">
        <f t="shared" ca="1" si="86"/>
        <v>-2.3087170348242217E-5</v>
      </c>
      <c r="F666" s="64">
        <f t="shared" ca="1" si="87"/>
        <v>8.0076632531010938E-3</v>
      </c>
      <c r="G666">
        <f t="shared" ca="1" si="84"/>
        <v>4.5484040370249021E-3</v>
      </c>
      <c r="H666">
        <f t="shared" ca="1" si="88"/>
        <v>-1.2991786735357749</v>
      </c>
      <c r="I666">
        <f t="shared" ca="1" si="89"/>
        <v>2.7341472325652574</v>
      </c>
      <c r="J666" s="60">
        <v>661</v>
      </c>
    </row>
    <row r="667" spans="2:10" x14ac:dyDescent="0.25">
      <c r="B667" s="53">
        <v>41138</v>
      </c>
      <c r="C667">
        <v>337.30627279999999</v>
      </c>
      <c r="D667" s="54">
        <f t="shared" si="85"/>
        <v>6.3459100339059941E-3</v>
      </c>
      <c r="E667" s="54">
        <f t="shared" ca="1" si="86"/>
        <v>1.8507818055532539E-2</v>
      </c>
      <c r="F667" s="64">
        <f t="shared" ca="1" si="87"/>
        <v>-1.2161908021626545E-2</v>
      </c>
      <c r="G667">
        <f t="shared" ca="1" si="84"/>
        <v>2.1733507641896011E-2</v>
      </c>
      <c r="H667">
        <f t="shared" ca="1" si="88"/>
        <v>0.88618787752492567</v>
      </c>
      <c r="I667">
        <f t="shared" ca="1" si="89"/>
        <v>2.6367805972491487</v>
      </c>
      <c r="J667" s="57">
        <v>662</v>
      </c>
    </row>
    <row r="668" spans="2:10" x14ac:dyDescent="0.25">
      <c r="B668" s="53">
        <v>41141</v>
      </c>
      <c r="C668">
        <v>336.50927460000003</v>
      </c>
      <c r="D668" s="54">
        <f t="shared" si="85"/>
        <v>-2.3628324293646571E-3</v>
      </c>
      <c r="E668" s="54">
        <f t="shared" ca="1" si="86"/>
        <v>-1.3829659138238307E-3</v>
      </c>
      <c r="F668" s="64">
        <f t="shared" ca="1" si="87"/>
        <v>-9.7986651554082642E-4</v>
      </c>
      <c r="G668">
        <f t="shared" ca="1" si="84"/>
        <v>1.5631192914301647E-2</v>
      </c>
      <c r="H668">
        <f t="shared" ca="1" si="88"/>
        <v>-0.31789693467876501</v>
      </c>
      <c r="I668">
        <f t="shared" ca="1" si="89"/>
        <v>2.7719513596777139</v>
      </c>
      <c r="J668" s="60">
        <v>663</v>
      </c>
    </row>
    <row r="669" spans="2:10" x14ac:dyDescent="0.25">
      <c r="B669" s="53">
        <v>41142</v>
      </c>
      <c r="C669">
        <v>333.505516</v>
      </c>
      <c r="D669" s="54">
        <f t="shared" si="85"/>
        <v>-8.9262282698464018E-3</v>
      </c>
      <c r="E669" s="54">
        <f t="shared" ca="1" si="86"/>
        <v>3.8387132847910281E-3</v>
      </c>
      <c r="F669" s="64">
        <f t="shared" ca="1" si="87"/>
        <v>-1.276494155463743E-2</v>
      </c>
      <c r="G669">
        <f t="shared" ca="1" si="84"/>
        <v>6.4695761339737092E-3</v>
      </c>
      <c r="H669">
        <f t="shared" ca="1" si="88"/>
        <v>0.1528197040376495</v>
      </c>
      <c r="I669">
        <f t="shared" ca="1" si="89"/>
        <v>2.6237496062215979</v>
      </c>
      <c r="J669" s="57">
        <v>664</v>
      </c>
    </row>
    <row r="670" spans="2:10" x14ac:dyDescent="0.25">
      <c r="B670" s="53">
        <v>41143</v>
      </c>
      <c r="C670">
        <v>337.32620109999999</v>
      </c>
      <c r="D670" s="54">
        <f t="shared" si="85"/>
        <v>1.1456137655006556E-2</v>
      </c>
      <c r="E670" s="54">
        <f t="shared" ca="1" si="86"/>
        <v>1.1895619833107432E-3</v>
      </c>
      <c r="F670" s="64">
        <f t="shared" ca="1" si="87"/>
        <v>1.0266575671695814E-2</v>
      </c>
      <c r="G670">
        <f t="shared" ca="1" si="84"/>
        <v>3.1139222070691117E-3</v>
      </c>
      <c r="H670">
        <f t="shared" ca="1" si="88"/>
        <v>0.72285401859673803</v>
      </c>
      <c r="I670">
        <f t="shared" ca="1" si="89"/>
        <v>2.7041217608989565</v>
      </c>
      <c r="J670" s="60">
        <v>665</v>
      </c>
    </row>
    <row r="671" spans="2:10" x14ac:dyDescent="0.25">
      <c r="B671" s="53">
        <v>41144</v>
      </c>
      <c r="C671">
        <v>337.13690009999999</v>
      </c>
      <c r="D671" s="54">
        <f t="shared" si="85"/>
        <v>-5.6118083736958902E-4</v>
      </c>
      <c r="E671" s="54">
        <f t="shared" ca="1" si="86"/>
        <v>4.1596991897716326E-3</v>
      </c>
      <c r="F671" s="64">
        <f t="shared" ca="1" si="87"/>
        <v>-4.7208800271412218E-3</v>
      </c>
      <c r="G671">
        <f t="shared" ca="1" si="84"/>
        <v>1.212842968155434E-2</v>
      </c>
      <c r="H671">
        <f t="shared" ca="1" si="88"/>
        <v>0.67349606413389507</v>
      </c>
      <c r="I671">
        <f t="shared" ca="1" si="89"/>
        <v>2.7492180358462259</v>
      </c>
      <c r="J671" s="57">
        <v>666</v>
      </c>
    </row>
    <row r="672" spans="2:10" x14ac:dyDescent="0.25">
      <c r="B672" s="53">
        <v>41145</v>
      </c>
      <c r="C672">
        <v>338.04849230000002</v>
      </c>
      <c r="D672" s="54">
        <f t="shared" si="85"/>
        <v>2.7039229456331756E-3</v>
      </c>
      <c r="E672" s="54">
        <f t="shared" ca="1" si="86"/>
        <v>-8.418208728237838E-3</v>
      </c>
      <c r="F672" s="64">
        <f t="shared" ca="1" si="87"/>
        <v>1.1122131673871013E-2</v>
      </c>
      <c r="G672">
        <f t="shared" ca="1" si="84"/>
        <v>1.1620185758134366E-2</v>
      </c>
      <c r="H672">
        <f t="shared" ca="1" si="88"/>
        <v>-1.1672257404707231</v>
      </c>
      <c r="I672">
        <f t="shared" ca="1" si="89"/>
        <v>2.6905970427532511</v>
      </c>
      <c r="J672" s="60">
        <v>667</v>
      </c>
    </row>
    <row r="673" spans="2:10" x14ac:dyDescent="0.25">
      <c r="B673" s="53">
        <v>41148</v>
      </c>
      <c r="C673">
        <v>333.36104549999999</v>
      </c>
      <c r="D673" s="54">
        <f t="shared" si="85"/>
        <v>-1.3866196438587197E-2</v>
      </c>
      <c r="E673" s="54">
        <f t="shared" ca="1" si="86"/>
        <v>-8.3513852495094507E-3</v>
      </c>
      <c r="F673" s="64">
        <f t="shared" ca="1" si="87"/>
        <v>-5.5148111890777462E-3</v>
      </c>
      <c r="G673">
        <f t="shared" ca="1" si="84"/>
        <v>1.968774233466046E-2</v>
      </c>
      <c r="H673">
        <f t="shared" ca="1" si="88"/>
        <v>-0.41139274154491429</v>
      </c>
      <c r="I673">
        <f t="shared" ca="1" si="89"/>
        <v>2.7414847895446806</v>
      </c>
      <c r="J673" s="57">
        <v>668</v>
      </c>
    </row>
    <row r="674" spans="2:10" x14ac:dyDescent="0.25">
      <c r="B674" s="53">
        <v>41149</v>
      </c>
      <c r="C674">
        <v>337.36108280000002</v>
      </c>
      <c r="D674" s="54">
        <f t="shared" si="85"/>
        <v>1.1999114335631129E-2</v>
      </c>
      <c r="E674" s="54">
        <f t="shared" ca="1" si="86"/>
        <v>4.1744014737602779E-3</v>
      </c>
      <c r="F674" s="64">
        <f t="shared" ca="1" si="87"/>
        <v>7.82471286187085E-3</v>
      </c>
      <c r="G674">
        <f t="shared" ca="1" si="84"/>
        <v>8.2637237177423904E-3</v>
      </c>
      <c r="H674">
        <f t="shared" ca="1" si="88"/>
        <v>0.35822282877662726</v>
      </c>
      <c r="I674">
        <f t="shared" ca="1" si="89"/>
        <v>2.7362181000256216</v>
      </c>
      <c r="J674" s="60">
        <v>669</v>
      </c>
    </row>
    <row r="675" spans="2:10" x14ac:dyDescent="0.25">
      <c r="B675" s="53">
        <v>41150</v>
      </c>
      <c r="C675">
        <v>342.72098560000001</v>
      </c>
      <c r="D675" s="54">
        <f t="shared" si="85"/>
        <v>1.5887732975938818E-2</v>
      </c>
      <c r="E675" s="54">
        <f t="shared" ca="1" si="86"/>
        <v>2.32989749591725E-3</v>
      </c>
      <c r="F675" s="64">
        <f t="shared" ca="1" si="87"/>
        <v>1.3557835480021568E-2</v>
      </c>
      <c r="G675">
        <f t="shared" ca="1" si="84"/>
        <v>6.3493349370756548E-3</v>
      </c>
      <c r="H675">
        <f t="shared" ca="1" si="88"/>
        <v>1.3477438711922332</v>
      </c>
      <c r="I675">
        <f t="shared" ca="1" si="89"/>
        <v>2.6456168285192203</v>
      </c>
      <c r="J675" s="57">
        <v>670</v>
      </c>
    </row>
    <row r="676" spans="2:10" x14ac:dyDescent="0.25">
      <c r="B676" s="53">
        <v>41151</v>
      </c>
      <c r="C676">
        <v>339.5678125</v>
      </c>
      <c r="D676" s="54">
        <f t="shared" si="85"/>
        <v>-9.2004085903282466E-3</v>
      </c>
      <c r="E676" s="54">
        <f t="shared" ca="1" si="86"/>
        <v>8.3927243048478196E-3</v>
      </c>
      <c r="F676" s="64">
        <f t="shared" ca="1" si="87"/>
        <v>-1.7593132895176066E-2</v>
      </c>
      <c r="G676">
        <f t="shared" ca="1" si="84"/>
        <v>2.2564989384186846E-2</v>
      </c>
      <c r="H676">
        <f t="shared" ca="1" si="88"/>
        <v>0.13310034770525264</v>
      </c>
      <c r="I676">
        <f t="shared" ca="1" si="89"/>
        <v>2.4982320100060407</v>
      </c>
      <c r="J676" s="60">
        <v>671</v>
      </c>
    </row>
    <row r="677" spans="2:10" x14ac:dyDescent="0.25">
      <c r="B677" s="53">
        <v>41152</v>
      </c>
      <c r="C677">
        <v>341.26642370000002</v>
      </c>
      <c r="D677" s="54">
        <f t="shared" si="85"/>
        <v>5.0022738830701637E-3</v>
      </c>
      <c r="E677" s="54">
        <f t="shared" ca="1" si="86"/>
        <v>6.3576537630277031E-3</v>
      </c>
      <c r="F677" s="64">
        <f t="shared" ca="1" si="87"/>
        <v>-1.3553798799575394E-3</v>
      </c>
      <c r="G677">
        <f t="shared" ca="1" si="84"/>
        <v>5.6905376009227107E-3</v>
      </c>
      <c r="H677">
        <f t="shared" ca="1" si="88"/>
        <v>-0.13666314532019169</v>
      </c>
      <c r="I677">
        <f t="shared" ca="1" si="89"/>
        <v>2.7706904310637657</v>
      </c>
      <c r="J677" s="57">
        <v>672</v>
      </c>
    </row>
    <row r="678" spans="2:10" x14ac:dyDescent="0.25">
      <c r="B678" s="53">
        <v>41156</v>
      </c>
      <c r="C678">
        <v>339.24899499999998</v>
      </c>
      <c r="D678" s="54">
        <f t="shared" si="85"/>
        <v>-5.9115944607944122E-3</v>
      </c>
      <c r="E678" s="54">
        <f t="shared" ca="1" si="86"/>
        <v>-6.5631796423567361E-3</v>
      </c>
      <c r="F678" s="64">
        <f t="shared" ca="1" si="87"/>
        <v>6.5158518156232387E-4</v>
      </c>
      <c r="G678">
        <f t="shared" ca="1" si="84"/>
        <v>2.811002691648841E-3</v>
      </c>
      <c r="H678">
        <f t="shared" ca="1" si="88"/>
        <v>-0.8648793147335162</v>
      </c>
      <c r="I678">
        <f t="shared" ca="1" si="89"/>
        <v>2.7747843805310355</v>
      </c>
      <c r="J678" s="60">
        <v>673</v>
      </c>
    </row>
    <row r="679" spans="2:10" x14ac:dyDescent="0.25">
      <c r="B679" s="53">
        <v>41157</v>
      </c>
      <c r="C679">
        <v>339.08960139999999</v>
      </c>
      <c r="D679" s="54">
        <f t="shared" si="85"/>
        <v>-4.6984251198735946E-4</v>
      </c>
      <c r="E679" s="54">
        <f t="shared" ca="1" si="86"/>
        <v>-1.596900313258616E-2</v>
      </c>
      <c r="F679" s="64">
        <f t="shared" ca="1" si="87"/>
        <v>1.5499160620598799E-2</v>
      </c>
      <c r="G679">
        <f t="shared" ca="1" si="84"/>
        <v>1.4485560475871727E-2</v>
      </c>
      <c r="H679">
        <f t="shared" ca="1" si="88"/>
        <v>-1.2574951914339201</v>
      </c>
      <c r="I679">
        <f t="shared" ca="1" si="89"/>
        <v>2.6029016169988615</v>
      </c>
      <c r="J679" s="57">
        <v>674</v>
      </c>
    </row>
    <row r="680" spans="2:10" x14ac:dyDescent="0.25">
      <c r="B680" s="53">
        <v>41158</v>
      </c>
      <c r="C680">
        <v>348.39473199999998</v>
      </c>
      <c r="D680" s="54">
        <f t="shared" si="85"/>
        <v>2.7441509741324626E-2</v>
      </c>
      <c r="E680" s="54">
        <f t="shared" ca="1" si="86"/>
        <v>-3.7920071227630935E-2</v>
      </c>
      <c r="F680" s="64">
        <f t="shared" ca="1" si="87"/>
        <v>6.5361580968955557E-2</v>
      </c>
      <c r="G680">
        <f t="shared" ca="1" si="84"/>
        <v>2.127137183787672E-2</v>
      </c>
      <c r="H680">
        <f t="shared" ca="1" si="88"/>
        <v>-1.6578642847934777</v>
      </c>
      <c r="I680">
        <f t="shared" ca="1" si="89"/>
        <v>-0.58101631328403913</v>
      </c>
      <c r="J680" s="60">
        <v>675</v>
      </c>
    </row>
    <row r="681" spans="2:10" x14ac:dyDescent="0.25">
      <c r="B681" s="53">
        <v>41159</v>
      </c>
      <c r="C681">
        <v>351.75713389999999</v>
      </c>
      <c r="D681" s="54">
        <f t="shared" si="85"/>
        <v>9.6511272736466321E-3</v>
      </c>
      <c r="E681" s="54">
        <f t="shared" ca="1" si="86"/>
        <v>3.4245705848976182E-2</v>
      </c>
      <c r="F681" s="64">
        <f t="shared" ca="1" si="87"/>
        <v>-2.459457857532955E-2</v>
      </c>
      <c r="G681">
        <f t="shared" ca="1" si="84"/>
        <v>2.811162186813192E-2</v>
      </c>
      <c r="H681">
        <f t="shared" ca="1" si="88"/>
        <v>1.2256940841189596</v>
      </c>
      <c r="I681">
        <f t="shared" ca="1" si="89"/>
        <v>2.2493048511781488</v>
      </c>
      <c r="J681" s="57">
        <v>676</v>
      </c>
    </row>
    <row r="682" spans="2:10" x14ac:dyDescent="0.25">
      <c r="B682" s="53">
        <v>41162</v>
      </c>
      <c r="C682">
        <v>349.0771671</v>
      </c>
      <c r="D682" s="54">
        <f t="shared" si="85"/>
        <v>-7.6187987157123821E-3</v>
      </c>
      <c r="E682" s="54">
        <f t="shared" ca="1" si="86"/>
        <v>-2.5016781747787771E-2</v>
      </c>
      <c r="F682" s="64">
        <f t="shared" ca="1" si="87"/>
        <v>1.739798303207539E-2</v>
      </c>
      <c r="G682">
        <f t="shared" ca="1" si="84"/>
        <v>2.1461535523556025E-2</v>
      </c>
      <c r="H682">
        <f t="shared" ca="1" si="88"/>
        <v>-1.7399258158024868</v>
      </c>
      <c r="I682">
        <f t="shared" ca="1" si="89"/>
        <v>2.5552307707585586</v>
      </c>
      <c r="J682" s="60">
        <v>677</v>
      </c>
    </row>
    <row r="683" spans="2:10" x14ac:dyDescent="0.25">
      <c r="B683" s="53">
        <v>41163</v>
      </c>
      <c r="C683">
        <v>344.80317309999998</v>
      </c>
      <c r="D683" s="54">
        <f t="shared" si="85"/>
        <v>-1.2243693953135716E-2</v>
      </c>
      <c r="E683" s="54">
        <f t="shared" ca="1" si="86"/>
        <v>-3.9027739822157577E-2</v>
      </c>
      <c r="F683" s="64">
        <f t="shared" ca="1" si="87"/>
        <v>2.6784045869021861E-2</v>
      </c>
      <c r="G683">
        <f t="shared" ca="1" si="84"/>
        <v>2.9468101044983732E-2</v>
      </c>
      <c r="H683">
        <f t="shared" ca="1" si="88"/>
        <v>-1.4714936334949928</v>
      </c>
      <c r="I683">
        <f t="shared" ca="1" si="89"/>
        <v>2.2340185541983519</v>
      </c>
      <c r="J683" s="57">
        <v>678</v>
      </c>
    </row>
    <row r="684" spans="2:10" x14ac:dyDescent="0.25">
      <c r="B684" s="53">
        <v>41164</v>
      </c>
      <c r="C684">
        <v>344.15064489999997</v>
      </c>
      <c r="D684" s="54">
        <f t="shared" si="85"/>
        <v>-1.8924657628100179E-3</v>
      </c>
      <c r="E684" s="54">
        <f t="shared" ca="1" si="86"/>
        <v>-2.7376923916563212E-2</v>
      </c>
      <c r="F684" s="64">
        <f t="shared" ca="1" si="87"/>
        <v>2.5484458153753192E-2</v>
      </c>
      <c r="G684">
        <f t="shared" ca="1" si="84"/>
        <v>2.5482547045648361E-2</v>
      </c>
      <c r="H684">
        <f t="shared" ca="1" si="88"/>
        <v>-0.94005351100930856</v>
      </c>
      <c r="I684">
        <f t="shared" ca="1" si="89"/>
        <v>2.2869833971611584</v>
      </c>
      <c r="J684" s="60">
        <v>679</v>
      </c>
    </row>
    <row r="685" spans="2:10" x14ac:dyDescent="0.25">
      <c r="B685" s="53">
        <v>41165</v>
      </c>
      <c r="C685">
        <v>351.70232429999999</v>
      </c>
      <c r="D685" s="54">
        <f t="shared" si="85"/>
        <v>2.1942947113158272E-2</v>
      </c>
      <c r="E685" s="54">
        <f t="shared" ca="1" si="86"/>
        <v>-1.1560992942098496E-2</v>
      </c>
      <c r="F685" s="64">
        <f t="shared" ca="1" si="87"/>
        <v>3.3503940055256767E-2</v>
      </c>
      <c r="G685">
        <f t="shared" ca="1" si="84"/>
        <v>1.676094883852532E-2</v>
      </c>
      <c r="H685">
        <f t="shared" ca="1" si="88"/>
        <v>-0.36167833998942112</v>
      </c>
      <c r="I685">
        <f t="shared" ca="1" si="89"/>
        <v>1.9166120866633896</v>
      </c>
      <c r="J685" s="57">
        <v>680</v>
      </c>
    </row>
    <row r="686" spans="2:10" x14ac:dyDescent="0.25">
      <c r="B686" s="53">
        <v>41166</v>
      </c>
      <c r="C686">
        <v>353.51555990000003</v>
      </c>
      <c r="D686" s="54">
        <f t="shared" si="85"/>
        <v>5.1555974320299409E-3</v>
      </c>
      <c r="E686" s="54">
        <f t="shared" ca="1" si="86"/>
        <v>6.8086684054463409E-3</v>
      </c>
      <c r="F686" s="64">
        <f t="shared" ca="1" si="87"/>
        <v>-1.6530709734164E-3</v>
      </c>
      <c r="G686">
        <f t="shared" ca="1" si="84"/>
        <v>7.2141722734728126E-3</v>
      </c>
      <c r="H686">
        <f t="shared" ca="1" si="88"/>
        <v>1.0615541518899685</v>
      </c>
      <c r="I686">
        <f t="shared" ca="1" si="89"/>
        <v>2.7695289165222801</v>
      </c>
      <c r="J686" s="60">
        <v>681</v>
      </c>
    </row>
    <row r="687" spans="2:10" x14ac:dyDescent="0.25">
      <c r="B687" s="53">
        <v>41169</v>
      </c>
      <c r="C687">
        <v>353.66497390000001</v>
      </c>
      <c r="D687" s="54">
        <f t="shared" si="85"/>
        <v>4.2265183473746959E-4</v>
      </c>
      <c r="E687" s="54">
        <f t="shared" ca="1" si="86"/>
        <v>1.0885671344961337E-2</v>
      </c>
      <c r="F687" s="64">
        <f t="shared" ca="1" si="87"/>
        <v>-1.0463019510223867E-2</v>
      </c>
      <c r="G687">
        <f t="shared" ca="1" si="84"/>
        <v>1.782364379003434E-2</v>
      </c>
      <c r="H687">
        <f t="shared" ca="1" si="88"/>
        <v>5.7820133634200119E-2</v>
      </c>
      <c r="I687">
        <f t="shared" ca="1" si="89"/>
        <v>2.6703326271182073</v>
      </c>
      <c r="J687" s="57">
        <v>682</v>
      </c>
    </row>
    <row r="688" spans="2:10" x14ac:dyDescent="0.25">
      <c r="B688" s="53">
        <v>41170</v>
      </c>
      <c r="C688">
        <v>357.79950259999998</v>
      </c>
      <c r="D688" s="54">
        <f t="shared" si="85"/>
        <v>1.1690523532502904E-2</v>
      </c>
      <c r="E688" s="54">
        <f t="shared" ca="1" si="86"/>
        <v>7.6071626350005042E-3</v>
      </c>
      <c r="F688" s="64">
        <f t="shared" ca="1" si="87"/>
        <v>4.0833608975023999E-3</v>
      </c>
      <c r="G688">
        <f t="shared" ca="1" si="84"/>
        <v>4.2939755217275086E-3</v>
      </c>
      <c r="H688">
        <f t="shared" ca="1" si="88"/>
        <v>1.2323482654823172</v>
      </c>
      <c r="I688">
        <f t="shared" ca="1" si="89"/>
        <v>2.7667061501798402</v>
      </c>
      <c r="J688" s="60">
        <v>683</v>
      </c>
    </row>
    <row r="689" spans="2:10" x14ac:dyDescent="0.25">
      <c r="B689" s="53">
        <v>41171</v>
      </c>
      <c r="C689">
        <v>362.39228379999997</v>
      </c>
      <c r="D689" s="54">
        <f t="shared" si="85"/>
        <v>1.2836186653770912E-2</v>
      </c>
      <c r="E689" s="54">
        <f t="shared" ca="1" si="86"/>
        <v>-1.0466236164496731E-2</v>
      </c>
      <c r="F689" s="64">
        <f t="shared" ca="1" si="87"/>
        <v>2.3302422818267644E-2</v>
      </c>
      <c r="G689">
        <f t="shared" ca="1" si="84"/>
        <v>2.061777656836206E-2</v>
      </c>
      <c r="H689">
        <f t="shared" ca="1" si="88"/>
        <v>-0.51684811897679217</v>
      </c>
      <c r="I689">
        <f t="shared" ca="1" si="89"/>
        <v>2.3697750474419217</v>
      </c>
      <c r="J689" s="57">
        <v>684</v>
      </c>
    </row>
    <row r="690" spans="2:10" x14ac:dyDescent="0.25">
      <c r="B690" s="53">
        <v>41172</v>
      </c>
      <c r="C690">
        <v>362.70112260000002</v>
      </c>
      <c r="D690" s="54">
        <f t="shared" si="85"/>
        <v>8.5222233972975781E-4</v>
      </c>
      <c r="E690" s="54">
        <f t="shared" ca="1" si="86"/>
        <v>1.7006943602282061E-2</v>
      </c>
      <c r="F690" s="64">
        <f t="shared" ca="1" si="87"/>
        <v>-1.6154721262552303E-2</v>
      </c>
      <c r="G690">
        <f t="shared" ca="1" si="84"/>
        <v>9.8745776096793875E-3</v>
      </c>
      <c r="H690">
        <f t="shared" ca="1" si="88"/>
        <v>1.1905596972487049</v>
      </c>
      <c r="I690">
        <f t="shared" ca="1" si="89"/>
        <v>2.5395652462203668</v>
      </c>
      <c r="J690" s="60">
        <v>685</v>
      </c>
    </row>
    <row r="691" spans="2:10" x14ac:dyDescent="0.25">
      <c r="B691" s="53">
        <v>41173</v>
      </c>
      <c r="C691">
        <v>365.62516909999999</v>
      </c>
      <c r="D691" s="54">
        <f t="shared" si="85"/>
        <v>8.0618622821984464E-3</v>
      </c>
      <c r="E691" s="54">
        <f t="shared" ca="1" si="86"/>
        <v>9.4889217602500339E-3</v>
      </c>
      <c r="F691" s="64">
        <f t="shared" ca="1" si="87"/>
        <v>-1.4270594780515875E-3</v>
      </c>
      <c r="G691">
        <f t="shared" ca="1" si="84"/>
        <v>2.0024677516710072E-2</v>
      </c>
      <c r="H691">
        <f t="shared" ca="1" si="88"/>
        <v>0.18596646842825892</v>
      </c>
      <c r="I691">
        <f t="shared" ca="1" si="89"/>
        <v>2.7704238435018178</v>
      </c>
      <c r="J691" s="57">
        <v>686</v>
      </c>
    </row>
    <row r="692" spans="2:10" x14ac:dyDescent="0.25">
      <c r="B692" s="53">
        <v>41176</v>
      </c>
      <c r="C692">
        <v>373.29144200000002</v>
      </c>
      <c r="D692" s="54">
        <f t="shared" si="85"/>
        <v>2.0967574302586556E-2</v>
      </c>
      <c r="E692" s="54">
        <f t="shared" ca="1" si="86"/>
        <v>8.4908928966754456E-3</v>
      </c>
      <c r="F692" s="64">
        <f t="shared" ca="1" si="87"/>
        <v>1.247668140591111E-2</v>
      </c>
      <c r="G692">
        <f t="shared" ca="1" si="84"/>
        <v>5.6094613885188018E-3</v>
      </c>
      <c r="H692">
        <f t="shared" ca="1" si="88"/>
        <v>1.4454157502480307</v>
      </c>
      <c r="I692">
        <f t="shared" ca="1" si="89"/>
        <v>2.6667656467524434</v>
      </c>
      <c r="J692" s="60">
        <v>687</v>
      </c>
    </row>
    <row r="693" spans="2:10" x14ac:dyDescent="0.25">
      <c r="B693" s="53">
        <v>41177</v>
      </c>
      <c r="C693">
        <v>373.1818533</v>
      </c>
      <c r="D693" s="54">
        <f t="shared" si="85"/>
        <v>-2.9357410234981363E-4</v>
      </c>
      <c r="E693" s="54">
        <f t="shared" ca="1" si="86"/>
        <v>-1.8310879975484001E-2</v>
      </c>
      <c r="F693" s="64">
        <f t="shared" ca="1" si="87"/>
        <v>1.8017305873134187E-2</v>
      </c>
      <c r="G693">
        <f t="shared" ca="1" si="84"/>
        <v>2.4181142181754316E-2</v>
      </c>
      <c r="H693">
        <f t="shared" ca="1" si="88"/>
        <v>-0.90698714609080933</v>
      </c>
      <c r="I693">
        <f t="shared" ca="1" si="89"/>
        <v>2.5384224572250402</v>
      </c>
      <c r="J693" s="57">
        <v>688</v>
      </c>
    </row>
    <row r="694" spans="2:10" x14ac:dyDescent="0.25">
      <c r="B694" s="53">
        <v>41178</v>
      </c>
      <c r="C694">
        <v>375.32385499999998</v>
      </c>
      <c r="D694" s="54">
        <f t="shared" si="85"/>
        <v>5.739833491523046E-3</v>
      </c>
      <c r="E694" s="54">
        <f t="shared" ca="1" si="86"/>
        <v>1.207623022600747E-2</v>
      </c>
      <c r="F694" s="64">
        <f t="shared" ca="1" si="87"/>
        <v>-6.336396734484424E-3</v>
      </c>
      <c r="G694">
        <f t="shared" ca="1" si="84"/>
        <v>1.6141828371707204E-2</v>
      </c>
      <c r="H694">
        <f t="shared" ca="1" si="88"/>
        <v>0.16474451704741969</v>
      </c>
      <c r="I694">
        <f t="shared" ca="1" si="89"/>
        <v>2.7324098969342363</v>
      </c>
      <c r="J694" s="60">
        <v>689</v>
      </c>
    </row>
    <row r="695" spans="2:10" x14ac:dyDescent="0.25">
      <c r="B695" s="53">
        <v>41179</v>
      </c>
      <c r="C695">
        <v>376.83817049999999</v>
      </c>
      <c r="D695" s="54">
        <f t="shared" si="85"/>
        <v>4.0346902543671502E-3</v>
      </c>
      <c r="E695" s="54">
        <f t="shared" ca="1" si="86"/>
        <v>-7.388764408210966E-4</v>
      </c>
      <c r="F695" s="64">
        <f t="shared" ca="1" si="87"/>
        <v>4.7735666951882472E-3</v>
      </c>
      <c r="G695">
        <f t="shared" ca="1" si="84"/>
        <v>4.7014279175166037E-3</v>
      </c>
      <c r="H695">
        <f t="shared" ca="1" si="88"/>
        <v>-0.12913637294073715</v>
      </c>
      <c r="I695">
        <f t="shared" ca="1" si="89"/>
        <v>2.7627830236266511</v>
      </c>
      <c r="J695" s="57">
        <v>690</v>
      </c>
    </row>
    <row r="696" spans="2:10" x14ac:dyDescent="0.25">
      <c r="B696" s="53">
        <v>41180</v>
      </c>
      <c r="C696">
        <v>375.84189179999998</v>
      </c>
      <c r="D696" s="54">
        <f t="shared" si="85"/>
        <v>-2.6437839316492619E-3</v>
      </c>
      <c r="E696" s="54">
        <f t="shared" ca="1" si="86"/>
        <v>1.3170422562033847E-3</v>
      </c>
      <c r="F696" s="64">
        <f t="shared" ca="1" si="87"/>
        <v>-3.9608261878526464E-3</v>
      </c>
      <c r="G696">
        <f t="shared" ca="1" si="84"/>
        <v>2.6097555833189106E-3</v>
      </c>
      <c r="H696">
        <f t="shared" ca="1" si="88"/>
        <v>-0.48314925130337072</v>
      </c>
      <c r="I696">
        <f t="shared" ca="1" si="89"/>
        <v>2.7556671110176629</v>
      </c>
      <c r="J696" s="60">
        <v>691</v>
      </c>
    </row>
    <row r="697" spans="2:10" x14ac:dyDescent="0.25">
      <c r="B697" s="53">
        <v>41183</v>
      </c>
      <c r="C697">
        <v>379.46830210000002</v>
      </c>
      <c r="D697" s="54">
        <f t="shared" si="85"/>
        <v>9.6487655557294418E-3</v>
      </c>
      <c r="E697" s="54">
        <f t="shared" ca="1" si="86"/>
        <v>-1.6057236204029067E-3</v>
      </c>
      <c r="F697" s="64">
        <f t="shared" ca="1" si="87"/>
        <v>1.1254489176132348E-2</v>
      </c>
      <c r="G697">
        <f t="shared" ca="1" si="84"/>
        <v>8.1490777492401242E-3</v>
      </c>
      <c r="H697">
        <f t="shared" ca="1" si="88"/>
        <v>-0.41940184712412282</v>
      </c>
      <c r="I697">
        <f t="shared" ca="1" si="89"/>
        <v>2.6883990857135003</v>
      </c>
      <c r="J697" s="57">
        <v>692</v>
      </c>
    </row>
    <row r="698" spans="2:10" x14ac:dyDescent="0.25">
      <c r="B698" s="53">
        <v>41184</v>
      </c>
      <c r="C698">
        <v>377.08225069999997</v>
      </c>
      <c r="D698" s="54">
        <f t="shared" si="85"/>
        <v>-6.2878806656458328E-3</v>
      </c>
      <c r="E698" s="54">
        <f t="shared" ca="1" si="86"/>
        <v>6.0235244812214869E-3</v>
      </c>
      <c r="F698" s="64">
        <f t="shared" ca="1" si="87"/>
        <v>-1.231140514686732E-2</v>
      </c>
      <c r="G698">
        <f t="shared" ca="1" si="84"/>
        <v>7.3123873997085302E-3</v>
      </c>
      <c r="H698">
        <f t="shared" ca="1" si="88"/>
        <v>0.98609853659940627</v>
      </c>
      <c r="I698">
        <f t="shared" ca="1" si="89"/>
        <v>2.633604879937633</v>
      </c>
      <c r="J698" s="60">
        <v>693</v>
      </c>
    </row>
    <row r="699" spans="2:10" x14ac:dyDescent="0.25">
      <c r="B699" s="53">
        <v>41185</v>
      </c>
      <c r="C699">
        <v>379.82697569999999</v>
      </c>
      <c r="D699" s="54">
        <f t="shared" si="85"/>
        <v>7.278849627381883E-3</v>
      </c>
      <c r="E699" s="54">
        <f t="shared" ca="1" si="86"/>
        <v>-1.1568123366979526E-2</v>
      </c>
      <c r="F699" s="64">
        <f t="shared" ca="1" si="87"/>
        <v>1.8846972994361409E-2</v>
      </c>
      <c r="G699">
        <f t="shared" ca="1" si="84"/>
        <v>1.6574358195733351E-2</v>
      </c>
      <c r="H699">
        <f t="shared" ca="1" si="88"/>
        <v>-0.95940178662962494</v>
      </c>
      <c r="I699">
        <f t="shared" ca="1" si="89"/>
        <v>2.5149342264022105</v>
      </c>
      <c r="J699" s="57">
        <v>694</v>
      </c>
    </row>
    <row r="700" spans="2:10" x14ac:dyDescent="0.25">
      <c r="B700" s="53">
        <v>41186</v>
      </c>
      <c r="C700">
        <v>382.59159829999999</v>
      </c>
      <c r="D700" s="54">
        <f t="shared" si="85"/>
        <v>7.2786367921997899E-3</v>
      </c>
      <c r="E700" s="54">
        <f t="shared" ca="1" si="86"/>
        <v>4.1605275962385332E-3</v>
      </c>
      <c r="F700" s="64">
        <f t="shared" ca="1" si="87"/>
        <v>3.1181091959612568E-3</v>
      </c>
      <c r="G700">
        <f t="shared" ca="1" si="84"/>
        <v>1.6483999914479831E-2</v>
      </c>
      <c r="H700">
        <f t="shared" ca="1" si="88"/>
        <v>0.42370876823882059</v>
      </c>
      <c r="I700">
        <f t="shared" ca="1" si="89"/>
        <v>2.7709017065076536</v>
      </c>
      <c r="J700" s="60">
        <v>695</v>
      </c>
    </row>
    <row r="701" spans="2:10" x14ac:dyDescent="0.25">
      <c r="B701" s="53">
        <v>41187</v>
      </c>
      <c r="C701">
        <v>382.39234859999999</v>
      </c>
      <c r="D701" s="54">
        <f t="shared" si="85"/>
        <v>-5.2078953350083478E-4</v>
      </c>
      <c r="E701" s="54">
        <f t="shared" ca="1" si="86"/>
        <v>-1.7746831465499514E-3</v>
      </c>
      <c r="F701" s="64">
        <f t="shared" ca="1" si="87"/>
        <v>1.2538936130491165E-3</v>
      </c>
      <c r="G701">
        <f t="shared" ca="1" si="84"/>
        <v>8.0709118414467908E-3</v>
      </c>
      <c r="H701">
        <f t="shared" ca="1" si="88"/>
        <v>-0.62494620596729089</v>
      </c>
      <c r="I701">
        <f t="shared" ca="1" si="89"/>
        <v>2.774743366118904</v>
      </c>
      <c r="J701" s="57">
        <v>696</v>
      </c>
    </row>
    <row r="702" spans="2:10" x14ac:dyDescent="0.25">
      <c r="B702" s="53">
        <v>41190</v>
      </c>
      <c r="C702">
        <v>377.50565210000002</v>
      </c>
      <c r="D702" s="54">
        <f t="shared" si="85"/>
        <v>-1.2779273743031089E-2</v>
      </c>
      <c r="E702" s="54">
        <f t="shared" ca="1" si="86"/>
        <v>4.3634755019233331E-3</v>
      </c>
      <c r="F702" s="64">
        <f t="shared" ca="1" si="87"/>
        <v>-1.7142749244954424E-2</v>
      </c>
      <c r="G702">
        <f t="shared" ca="1" si="84"/>
        <v>1.0640081242245147E-2</v>
      </c>
      <c r="H702">
        <f t="shared" ca="1" si="88"/>
        <v>0.10286602980727329</v>
      </c>
      <c r="I702">
        <f t="shared" ca="1" si="89"/>
        <v>2.5115334313670399</v>
      </c>
      <c r="J702" s="60">
        <v>697</v>
      </c>
    </row>
    <row r="703" spans="2:10" x14ac:dyDescent="0.25">
      <c r="B703" s="53">
        <v>41191</v>
      </c>
      <c r="C703">
        <v>370.65633609999998</v>
      </c>
      <c r="D703" s="54">
        <f t="shared" si="85"/>
        <v>-1.8143611789382383E-2</v>
      </c>
      <c r="E703" s="54">
        <f t="shared" ca="1" si="86"/>
        <v>9.0682142503171852E-4</v>
      </c>
      <c r="F703" s="64">
        <f t="shared" ca="1" si="87"/>
        <v>-1.9050433214414103E-2</v>
      </c>
      <c r="G703">
        <f t="shared" ca="1" si="84"/>
        <v>3.1371555803724207E-3</v>
      </c>
      <c r="H703">
        <f t="shared" ca="1" si="88"/>
        <v>0.36368571374573605</v>
      </c>
      <c r="I703">
        <f t="shared" ca="1" si="89"/>
        <v>2.4529468326905279</v>
      </c>
      <c r="J703" s="57">
        <v>698</v>
      </c>
    </row>
    <row r="704" spans="2:10" x14ac:dyDescent="0.25">
      <c r="B704" s="53">
        <v>41192</v>
      </c>
      <c r="C704">
        <v>370.89043709999999</v>
      </c>
      <c r="D704" s="54">
        <f t="shared" si="85"/>
        <v>6.3158504846616505E-4</v>
      </c>
      <c r="E704" s="54">
        <f t="shared" ca="1" si="86"/>
        <v>1.2422347407075821E-3</v>
      </c>
      <c r="F704" s="64">
        <f t="shared" ca="1" si="87"/>
        <v>-6.1064969224141708E-4</v>
      </c>
      <c r="G704">
        <f t="shared" ca="1" si="84"/>
        <v>6.1950848983509717E-3</v>
      </c>
      <c r="H704">
        <f t="shared" ca="1" si="88"/>
        <v>1.1270184862580657</v>
      </c>
      <c r="I704">
        <f t="shared" ca="1" si="89"/>
        <v>2.7729690064370498</v>
      </c>
      <c r="J704" s="60">
        <v>699</v>
      </c>
    </row>
    <row r="705" spans="2:10" x14ac:dyDescent="0.25">
      <c r="B705" s="53">
        <v>41193</v>
      </c>
      <c r="C705">
        <v>374.33752559999999</v>
      </c>
      <c r="D705" s="54">
        <f t="shared" si="85"/>
        <v>9.2940883754050463E-3</v>
      </c>
      <c r="E705" s="54">
        <f t="shared" ca="1" si="86"/>
        <v>1.3053721138486143E-2</v>
      </c>
      <c r="F705" s="64">
        <f t="shared" ca="1" si="87"/>
        <v>-3.7596327630810972E-3</v>
      </c>
      <c r="G705">
        <f t="shared" ca="1" si="84"/>
        <v>1.889153854526314E-2</v>
      </c>
      <c r="H705">
        <f t="shared" ca="1" si="88"/>
        <v>1.1223209610557858</v>
      </c>
      <c r="I705">
        <f t="shared" ca="1" si="89"/>
        <v>2.7572180018285102</v>
      </c>
      <c r="J705" s="57">
        <v>700</v>
      </c>
    </row>
    <row r="706" spans="2:10" x14ac:dyDescent="0.25">
      <c r="B706" s="53">
        <v>41194</v>
      </c>
      <c r="C706">
        <v>370.98510279999999</v>
      </c>
      <c r="D706" s="54">
        <f t="shared" si="85"/>
        <v>-8.9556151086552984E-3</v>
      </c>
      <c r="E706" s="54">
        <f t="shared" ca="1" si="86"/>
        <v>-1.1729247339080342E-2</v>
      </c>
      <c r="F706" s="64">
        <f t="shared" ca="1" si="87"/>
        <v>2.7736322304250435E-3</v>
      </c>
      <c r="G706">
        <f t="shared" ca="1" si="84"/>
        <v>1.9247824974780333E-2</v>
      </c>
      <c r="H706">
        <f t="shared" ca="1" si="88"/>
        <v>-0.62412584378461677</v>
      </c>
      <c r="I706">
        <f t="shared" ca="1" si="89"/>
        <v>2.7720345177388621</v>
      </c>
      <c r="J706" s="60">
        <v>701</v>
      </c>
    </row>
    <row r="707" spans="2:10" x14ac:dyDescent="0.25">
      <c r="B707" s="53">
        <v>41197</v>
      </c>
      <c r="C707">
        <v>369.10713929999997</v>
      </c>
      <c r="D707" s="54">
        <f t="shared" si="85"/>
        <v>-5.0620994908586424E-3</v>
      </c>
      <c r="E707" s="54">
        <f t="shared" ca="1" si="86"/>
        <v>-2.5095840638664501E-2</v>
      </c>
      <c r="F707" s="64">
        <f t="shared" ca="1" si="87"/>
        <v>2.0033741147805859E-2</v>
      </c>
      <c r="G707">
        <f t="shared" ca="1" si="84"/>
        <v>1.1347887657031371E-2</v>
      </c>
      <c r="H707">
        <f t="shared" ca="1" si="88"/>
        <v>-2.5793212289291829</v>
      </c>
      <c r="I707">
        <f t="shared" ca="1" si="89"/>
        <v>2.4794030351751819</v>
      </c>
      <c r="J707" s="57">
        <v>702</v>
      </c>
    </row>
    <row r="708" spans="2:10" x14ac:dyDescent="0.25">
      <c r="B708" s="53">
        <v>41198</v>
      </c>
      <c r="C708">
        <v>370.96020010000001</v>
      </c>
      <c r="D708" s="54">
        <f t="shared" si="85"/>
        <v>5.0203873149522607E-3</v>
      </c>
      <c r="E708" s="54">
        <f t="shared" ca="1" si="86"/>
        <v>1.6209514780207081E-2</v>
      </c>
      <c r="F708" s="64">
        <f t="shared" ca="1" si="87"/>
        <v>-1.1189127465254821E-2</v>
      </c>
      <c r="G708">
        <f t="shared" ca="1" si="84"/>
        <v>4.3142294029630816E-2</v>
      </c>
      <c r="H708">
        <f t="shared" ca="1" si="88"/>
        <v>0.46895392525205026</v>
      </c>
      <c r="I708">
        <f t="shared" ca="1" si="89"/>
        <v>2.656563067444456</v>
      </c>
      <c r="J708" s="60">
        <v>703</v>
      </c>
    </row>
    <row r="709" spans="2:10" x14ac:dyDescent="0.25">
      <c r="B709" s="53">
        <v>41199</v>
      </c>
      <c r="C709">
        <v>376.33505680000002</v>
      </c>
      <c r="D709" s="54">
        <f t="shared" si="85"/>
        <v>1.4489038712376976E-2</v>
      </c>
      <c r="E709" s="54">
        <f t="shared" ca="1" si="86"/>
        <v>1.8955564917293988E-2</v>
      </c>
      <c r="F709" s="64">
        <f t="shared" ca="1" si="87"/>
        <v>-4.4665262049170124E-3</v>
      </c>
      <c r="G709">
        <f t="shared" ref="G709:G772" ca="1" si="90">SQRT(A_0+A_1*POWER(H708,2)+B_1*POWER(G708,2))</f>
        <v>1.260545624748304E-2</v>
      </c>
      <c r="H709">
        <f t="shared" ca="1" si="88"/>
        <v>1.6841095037590335</v>
      </c>
      <c r="I709">
        <f t="shared" ca="1" si="89"/>
        <v>2.7514801484568778</v>
      </c>
      <c r="J709" s="57">
        <v>704</v>
      </c>
    </row>
    <row r="710" spans="2:10" x14ac:dyDescent="0.25">
      <c r="B710" s="53">
        <v>41200</v>
      </c>
      <c r="C710">
        <v>346.20295579999998</v>
      </c>
      <c r="D710" s="54">
        <f t="shared" si="85"/>
        <v>-8.006721791005901E-2</v>
      </c>
      <c r="E710" s="54">
        <f t="shared" ca="1" si="86"/>
        <v>-2.0425458795089698E-3</v>
      </c>
      <c r="F710" s="64">
        <f t="shared" ca="1" si="87"/>
        <v>-7.8024672030550038E-2</v>
      </c>
      <c r="G710">
        <f t="shared" ca="1" si="90"/>
        <v>2.8274763827720397E-2</v>
      </c>
      <c r="H710">
        <f t="shared" ca="1" si="88"/>
        <v>-0.15199250100052217</v>
      </c>
      <c r="I710">
        <f t="shared" ca="1" si="89"/>
        <v>-2.2588483225283023</v>
      </c>
      <c r="J710" s="60">
        <v>705</v>
      </c>
    </row>
    <row r="711" spans="2:10" x14ac:dyDescent="0.25">
      <c r="B711" s="53">
        <v>41201</v>
      </c>
      <c r="C711">
        <v>339.62259160000002</v>
      </c>
      <c r="D711" s="54">
        <f t="shared" ref="D711:D774" si="91">(C711-C710)/C710</f>
        <v>-1.900724442052832E-2</v>
      </c>
      <c r="E711" s="54">
        <f t="shared" ca="1" si="86"/>
        <v>-3.7872340791740618E-3</v>
      </c>
      <c r="F711" s="64">
        <f t="shared" ca="1" si="87"/>
        <v>-1.5220010341354258E-2</v>
      </c>
      <c r="G711">
        <f t="shared" ca="1" si="90"/>
        <v>6.9964317596286759E-3</v>
      </c>
      <c r="H711">
        <f t="shared" ca="1" si="88"/>
        <v>-1.4712030466799859</v>
      </c>
      <c r="I711">
        <f t="shared" ca="1" si="89"/>
        <v>2.5646324606158397</v>
      </c>
      <c r="J711" s="57">
        <v>706</v>
      </c>
    </row>
    <row r="712" spans="2:10" x14ac:dyDescent="0.25">
      <c r="B712" s="53">
        <v>41204</v>
      </c>
      <c r="C712">
        <v>338.06842010000003</v>
      </c>
      <c r="D712" s="54">
        <f t="shared" si="91"/>
        <v>-4.5761723113828196E-3</v>
      </c>
      <c r="E712" s="54">
        <f t="shared" ref="E712:E775" ca="1" si="92">((E_1*D711)+(E_2*D710)+(G712*H712))</f>
        <v>-4.6179343944301239E-2</v>
      </c>
      <c r="F712" s="64">
        <f t="shared" ca="1" si="87"/>
        <v>4.160317163291842E-2</v>
      </c>
      <c r="G712">
        <f t="shared" ca="1" si="90"/>
        <v>2.4629043744281272E-2</v>
      </c>
      <c r="H712">
        <f t="shared" ca="1" si="88"/>
        <v>-0.41492578067808922</v>
      </c>
      <c r="I712">
        <f t="shared" ca="1" si="89"/>
        <v>1.4370902239766192</v>
      </c>
      <c r="J712" s="60">
        <v>707</v>
      </c>
    </row>
    <row r="713" spans="2:10" x14ac:dyDescent="0.25">
      <c r="B713" s="53">
        <v>41205</v>
      </c>
      <c r="C713">
        <v>338.90527479999997</v>
      </c>
      <c r="D713" s="54">
        <f t="shared" si="91"/>
        <v>2.4754003930695643E-3</v>
      </c>
      <c r="E713" s="54">
        <f t="shared" ca="1" si="92"/>
        <v>-1.5421962778592825E-2</v>
      </c>
      <c r="F713" s="64">
        <f t="shared" ref="F713:F776" ca="1" si="93">D713-E713</f>
        <v>1.7897363171662389E-2</v>
      </c>
      <c r="G713">
        <f t="shared" ca="1" si="90"/>
        <v>8.970443541784048E-3</v>
      </c>
      <c r="H713">
        <f t="shared" ref="H713:H776" ca="1" si="94">_xlfn.NORM.INV(RAND(),0,1)</f>
        <v>-0.76755956709391959</v>
      </c>
      <c r="I713">
        <f t="shared" ref="I713:I776" ca="1" si="95">LN(_xlfn.NORM.DIST(F713,AVERAGE($F$8:$F$1413),_xlfn.STDEV.S($F$8:$F$1413),FALSE))</f>
        <v>2.5417260704313489</v>
      </c>
      <c r="J713" s="57">
        <v>708</v>
      </c>
    </row>
    <row r="714" spans="2:10" x14ac:dyDescent="0.25">
      <c r="B714" s="53">
        <v>41206</v>
      </c>
      <c r="C714">
        <v>337.38598500000001</v>
      </c>
      <c r="D714" s="54">
        <f t="shared" si="91"/>
        <v>-4.4829334712968225E-3</v>
      </c>
      <c r="E714" s="54">
        <f t="shared" ca="1" si="92"/>
        <v>-1.7863252974927551E-2</v>
      </c>
      <c r="F714" s="64">
        <f t="shared" ca="1" si="93"/>
        <v>1.3380319503630729E-2</v>
      </c>
      <c r="G714">
        <f t="shared" ca="1" si="90"/>
        <v>1.3012912921053325E-2</v>
      </c>
      <c r="H714">
        <f t="shared" ca="1" si="94"/>
        <v>-1.2147968016227335</v>
      </c>
      <c r="I714">
        <f t="shared" ca="1" si="95"/>
        <v>2.6492188695492387</v>
      </c>
      <c r="J714" s="60">
        <v>709</v>
      </c>
    </row>
    <row r="715" spans="2:10" x14ac:dyDescent="0.25">
      <c r="B715" s="53">
        <v>41207</v>
      </c>
      <c r="C715">
        <v>337.6151112</v>
      </c>
      <c r="D715" s="54">
        <f t="shared" si="91"/>
        <v>6.7912186690266953E-4</v>
      </c>
      <c r="E715" s="54">
        <f t="shared" ca="1" si="92"/>
        <v>-2.8878362599811976E-2</v>
      </c>
      <c r="F715" s="64">
        <f t="shared" ca="1" si="93"/>
        <v>2.9557484466714645E-2</v>
      </c>
      <c r="G715">
        <f t="shared" ca="1" si="90"/>
        <v>2.0517275044873048E-2</v>
      </c>
      <c r="H715">
        <f t="shared" ca="1" si="94"/>
        <v>-1.4616968955431635</v>
      </c>
      <c r="I715">
        <f t="shared" ca="1" si="95"/>
        <v>2.111860767150421</v>
      </c>
      <c r="J715" s="57">
        <v>710</v>
      </c>
    </row>
    <row r="716" spans="2:10" x14ac:dyDescent="0.25">
      <c r="B716" s="53">
        <v>41208</v>
      </c>
      <c r="C716">
        <v>336.31499930000001</v>
      </c>
      <c r="D716" s="54">
        <f t="shared" si="91"/>
        <v>-3.8508699903240301E-3</v>
      </c>
      <c r="E716" s="54">
        <f t="shared" ca="1" si="92"/>
        <v>6.3312914957170787E-3</v>
      </c>
      <c r="F716" s="64">
        <f t="shared" ca="1" si="93"/>
        <v>-1.0182161486041109E-2</v>
      </c>
      <c r="G716">
        <f t="shared" ca="1" si="90"/>
        <v>2.4862244934682427E-2</v>
      </c>
      <c r="H716">
        <f t="shared" ca="1" si="94"/>
        <v>0.33563562027039867</v>
      </c>
      <c r="I716">
        <f t="shared" ca="1" si="95"/>
        <v>2.6754302040206981</v>
      </c>
      <c r="J716" s="60">
        <v>711</v>
      </c>
    </row>
    <row r="717" spans="2:10" x14ac:dyDescent="0.25">
      <c r="B717" s="53">
        <v>41213</v>
      </c>
      <c r="C717">
        <v>338.88037220000001</v>
      </c>
      <c r="D717" s="54">
        <f t="shared" si="91"/>
        <v>7.6278872644381631E-3</v>
      </c>
      <c r="E717" s="54">
        <f t="shared" ca="1" si="92"/>
        <v>-1.0326403172554489E-2</v>
      </c>
      <c r="F717" s="64">
        <f t="shared" ca="1" si="93"/>
        <v>1.7954290436992652E-2</v>
      </c>
      <c r="G717">
        <f t="shared" ca="1" si="90"/>
        <v>8.0303993070725537E-3</v>
      </c>
      <c r="H717">
        <f t="shared" ca="1" si="94"/>
        <v>-1.3238873478513988</v>
      </c>
      <c r="I717">
        <f t="shared" ca="1" si="95"/>
        <v>2.5401610059551674</v>
      </c>
      <c r="J717" s="57">
        <v>712</v>
      </c>
    </row>
    <row r="718" spans="2:10" x14ac:dyDescent="0.25">
      <c r="B718" s="53">
        <v>41214</v>
      </c>
      <c r="C718">
        <v>342.5117568</v>
      </c>
      <c r="D718" s="54">
        <f t="shared" si="91"/>
        <v>1.0715830416571969E-2</v>
      </c>
      <c r="E718" s="54">
        <f t="shared" ca="1" si="92"/>
        <v>-1.1520997475617504E-2</v>
      </c>
      <c r="F718" s="64">
        <f t="shared" ca="1" si="93"/>
        <v>2.2236827892189472E-2</v>
      </c>
      <c r="G718">
        <f t="shared" ca="1" si="90"/>
        <v>2.2196308265992809E-2</v>
      </c>
      <c r="H718">
        <f t="shared" ca="1" si="94"/>
        <v>-0.44113759702336303</v>
      </c>
      <c r="I718">
        <f t="shared" ca="1" si="95"/>
        <v>2.4074104943322623</v>
      </c>
      <c r="J718" s="60">
        <v>713</v>
      </c>
    </row>
    <row r="719" spans="2:10" x14ac:dyDescent="0.25">
      <c r="B719" s="53">
        <v>41215</v>
      </c>
      <c r="C719">
        <v>342.67615510000002</v>
      </c>
      <c r="D719" s="54">
        <f t="shared" si="91"/>
        <v>4.7997856054912566E-4</v>
      </c>
      <c r="E719" s="54">
        <f t="shared" ca="1" si="92"/>
        <v>-1.7039205232626878E-2</v>
      </c>
      <c r="F719" s="64">
        <f t="shared" ca="1" si="93"/>
        <v>1.7519183793176005E-2</v>
      </c>
      <c r="G719">
        <f t="shared" ca="1" si="90"/>
        <v>8.9893176534632073E-3</v>
      </c>
      <c r="H719">
        <f t="shared" ca="1" si="94"/>
        <v>-2.2766162724764323</v>
      </c>
      <c r="I719">
        <f t="shared" ca="1" si="95"/>
        <v>2.551990176951735</v>
      </c>
      <c r="J719" s="57">
        <v>714</v>
      </c>
    </row>
    <row r="720" spans="2:10" x14ac:dyDescent="0.25">
      <c r="B720" s="53">
        <v>41218</v>
      </c>
      <c r="C720">
        <v>340.20541759999998</v>
      </c>
      <c r="D720" s="54">
        <f t="shared" si="91"/>
        <v>-7.2101237953922665E-3</v>
      </c>
      <c r="E720" s="54">
        <f t="shared" ca="1" si="92"/>
        <v>-6.9765923694213014E-2</v>
      </c>
      <c r="F720" s="64">
        <f t="shared" ca="1" si="93"/>
        <v>6.2555799898820749E-2</v>
      </c>
      <c r="G720">
        <f t="shared" ca="1" si="90"/>
        <v>3.8068834371626233E-2</v>
      </c>
      <c r="H720">
        <f t="shared" ca="1" si="94"/>
        <v>-1.9590467440831334</v>
      </c>
      <c r="I720">
        <f t="shared" ca="1" si="95"/>
        <v>-0.2951915922408882</v>
      </c>
      <c r="J720" s="60">
        <v>715</v>
      </c>
    </row>
    <row r="721" spans="2:10" x14ac:dyDescent="0.25">
      <c r="B721" s="53">
        <v>41219</v>
      </c>
      <c r="C721">
        <v>339.58774030000001</v>
      </c>
      <c r="D721" s="54">
        <f t="shared" si="91"/>
        <v>-1.8156010105818154E-3</v>
      </c>
      <c r="E721" s="54">
        <f t="shared" ca="1" si="92"/>
        <v>-7.7182176275323155E-3</v>
      </c>
      <c r="F721" s="64">
        <f t="shared" ca="1" si="93"/>
        <v>5.9026166169505005E-3</v>
      </c>
      <c r="G721">
        <f t="shared" ca="1" si="90"/>
        <v>3.3845283334319548E-2</v>
      </c>
      <c r="H721">
        <f t="shared" ca="1" si="94"/>
        <v>-0.2344096599346952</v>
      </c>
      <c r="I721">
        <f t="shared" ca="1" si="95"/>
        <v>2.7547061096970284</v>
      </c>
      <c r="J721" s="57">
        <v>716</v>
      </c>
    </row>
    <row r="722" spans="2:10" x14ac:dyDescent="0.25">
      <c r="B722" s="53">
        <v>41220</v>
      </c>
      <c r="C722">
        <v>332.31496190000001</v>
      </c>
      <c r="D722" s="54">
        <f t="shared" si="91"/>
        <v>-2.1416492814419756E-2</v>
      </c>
      <c r="E722" s="54">
        <f t="shared" ca="1" si="92"/>
        <v>1.3919675011459052E-3</v>
      </c>
      <c r="F722" s="64">
        <f t="shared" ca="1" si="93"/>
        <v>-2.280846031556566E-2</v>
      </c>
      <c r="G722">
        <f t="shared" ca="1" si="90"/>
        <v>8.7054024465249551E-3</v>
      </c>
      <c r="H722">
        <f t="shared" ca="1" si="94"/>
        <v>0.53187774170683144</v>
      </c>
      <c r="I722">
        <f t="shared" ca="1" si="95"/>
        <v>2.320333436205031</v>
      </c>
      <c r="J722" s="60">
        <v>717</v>
      </c>
    </row>
    <row r="723" spans="2:10" x14ac:dyDescent="0.25">
      <c r="B723" s="53">
        <v>41221</v>
      </c>
      <c r="C723">
        <v>324.9276509</v>
      </c>
      <c r="D723" s="54">
        <f t="shared" si="91"/>
        <v>-2.222984772567356E-2</v>
      </c>
      <c r="E723" s="54">
        <f t="shared" ca="1" si="92"/>
        <v>-7.3999081380170632E-3</v>
      </c>
      <c r="F723" s="64">
        <f t="shared" ca="1" si="93"/>
        <v>-1.4829939587656497E-2</v>
      </c>
      <c r="G723">
        <f t="shared" ca="1" si="90"/>
        <v>9.1524716944792021E-3</v>
      </c>
      <c r="H723">
        <f t="shared" ca="1" si="94"/>
        <v>-0.71938122289005624</v>
      </c>
      <c r="I723">
        <f t="shared" ca="1" si="95"/>
        <v>2.5746759590070587</v>
      </c>
      <c r="J723" s="57">
        <v>718</v>
      </c>
    </row>
    <row r="724" spans="2:10" x14ac:dyDescent="0.25">
      <c r="B724" s="53">
        <v>41222</v>
      </c>
      <c r="C724">
        <v>330.27760499999999</v>
      </c>
      <c r="D724" s="54">
        <f t="shared" si="91"/>
        <v>1.6465062561408467E-2</v>
      </c>
      <c r="E724" s="54">
        <f t="shared" ca="1" si="92"/>
        <v>-2.5738077917018778E-2</v>
      </c>
      <c r="F724" s="64">
        <f t="shared" ca="1" si="93"/>
        <v>4.2203140478427242E-2</v>
      </c>
      <c r="G724">
        <f t="shared" ca="1" si="90"/>
        <v>1.222898431181596E-2</v>
      </c>
      <c r="H724">
        <f t="shared" ca="1" si="94"/>
        <v>-1.3181077469548712</v>
      </c>
      <c r="I724">
        <f t="shared" ca="1" si="95"/>
        <v>1.397352060821448</v>
      </c>
      <c r="J724" s="60">
        <v>719</v>
      </c>
    </row>
    <row r="725" spans="2:10" x14ac:dyDescent="0.25">
      <c r="B725" s="53">
        <v>41225</v>
      </c>
      <c r="C725">
        <v>331.7072642</v>
      </c>
      <c r="D725" s="54">
        <f t="shared" si="91"/>
        <v>4.3286592198705188E-3</v>
      </c>
      <c r="E725" s="54">
        <f t="shared" ca="1" si="92"/>
        <v>-4.0297157547699532E-2</v>
      </c>
      <c r="F725" s="64">
        <f t="shared" ca="1" si="93"/>
        <v>4.4625816767570048E-2</v>
      </c>
      <c r="G725">
        <f t="shared" ca="1" si="90"/>
        <v>2.2199930980205129E-2</v>
      </c>
      <c r="H725">
        <f t="shared" ca="1" si="94"/>
        <v>-1.3654804370065812</v>
      </c>
      <c r="I725">
        <f t="shared" ca="1" si="95"/>
        <v>1.2309732409753262</v>
      </c>
      <c r="J725" s="57">
        <v>720</v>
      </c>
    </row>
    <row r="726" spans="2:10" x14ac:dyDescent="0.25">
      <c r="B726" s="53">
        <v>41226</v>
      </c>
      <c r="C726">
        <v>328.29502710000003</v>
      </c>
      <c r="D726" s="54">
        <f t="shared" si="91"/>
        <v>-1.0286892897053325E-2</v>
      </c>
      <c r="E726" s="54">
        <f t="shared" ca="1" si="92"/>
        <v>9.9446641986772923E-3</v>
      </c>
      <c r="F726" s="64">
        <f t="shared" ca="1" si="93"/>
        <v>-2.0231557095730615E-2</v>
      </c>
      <c r="G726">
        <f t="shared" ca="1" si="90"/>
        <v>2.3368240042436768E-2</v>
      </c>
      <c r="H726">
        <f t="shared" ca="1" si="94"/>
        <v>0.10911391834666451</v>
      </c>
      <c r="I726">
        <f t="shared" ca="1" si="95"/>
        <v>2.4137261718609304</v>
      </c>
      <c r="J726" s="60">
        <v>721</v>
      </c>
    </row>
    <row r="727" spans="2:10" x14ac:dyDescent="0.25">
      <c r="B727" s="53">
        <v>41227</v>
      </c>
      <c r="C727">
        <v>325.05716740000003</v>
      </c>
      <c r="D727" s="54">
        <f t="shared" si="91"/>
        <v>-9.8626522874918111E-3</v>
      </c>
      <c r="E727" s="54">
        <f t="shared" ca="1" si="92"/>
        <v>2.6053952038084562E-3</v>
      </c>
      <c r="F727" s="64">
        <f t="shared" ca="1" si="93"/>
        <v>-1.2468047491300267E-2</v>
      </c>
      <c r="G727">
        <f t="shared" ca="1" si="90"/>
        <v>5.7165228101679092E-3</v>
      </c>
      <c r="H727">
        <f t="shared" ca="1" si="94"/>
        <v>0.1157145616268546</v>
      </c>
      <c r="I727">
        <f t="shared" ca="1" si="95"/>
        <v>2.6302386379776928</v>
      </c>
      <c r="J727" s="57">
        <v>722</v>
      </c>
    </row>
    <row r="728" spans="2:10" x14ac:dyDescent="0.25">
      <c r="B728" s="53">
        <v>41228</v>
      </c>
      <c r="C728">
        <v>322.42203110000003</v>
      </c>
      <c r="D728" s="54">
        <f t="shared" si="91"/>
        <v>-8.1066857287823615E-3</v>
      </c>
      <c r="E728" s="54">
        <f t="shared" ca="1" si="92"/>
        <v>-7.3506357052516586E-3</v>
      </c>
      <c r="F728" s="64">
        <f t="shared" ca="1" si="93"/>
        <v>-7.5605002353070286E-4</v>
      </c>
      <c r="G728">
        <f t="shared" ca="1" si="90"/>
        <v>2.5385289436284653E-3</v>
      </c>
      <c r="H728">
        <f t="shared" ca="1" si="94"/>
        <v>-1.0755899058876781</v>
      </c>
      <c r="I728">
        <f t="shared" ca="1" si="95"/>
        <v>2.7725945402356329</v>
      </c>
      <c r="J728" s="60">
        <v>723</v>
      </c>
    </row>
    <row r="729" spans="2:10" x14ac:dyDescent="0.25">
      <c r="B729" s="53">
        <v>41229</v>
      </c>
      <c r="C729">
        <v>322.38217500000002</v>
      </c>
      <c r="D729" s="54">
        <f t="shared" si="91"/>
        <v>-1.2361469178775547E-4</v>
      </c>
      <c r="E729" s="54">
        <f t="shared" ca="1" si="92"/>
        <v>-1.8893747593929998E-2</v>
      </c>
      <c r="F729" s="64">
        <f t="shared" ca="1" si="93"/>
        <v>1.8770132902142241E-2</v>
      </c>
      <c r="G729">
        <f t="shared" ca="1" si="90"/>
        <v>1.7990904890618414E-2</v>
      </c>
      <c r="H729">
        <f t="shared" ca="1" si="94"/>
        <v>-0.80396696554176217</v>
      </c>
      <c r="I729">
        <f t="shared" ca="1" si="95"/>
        <v>2.5171563356283477</v>
      </c>
      <c r="J729" s="57">
        <v>724</v>
      </c>
    </row>
    <row r="730" spans="2:10" x14ac:dyDescent="0.25">
      <c r="B730" s="53">
        <v>41232</v>
      </c>
      <c r="C730">
        <v>332.85793180000002</v>
      </c>
      <c r="D730" s="54">
        <f t="shared" si="91"/>
        <v>3.2494838773266539E-2</v>
      </c>
      <c r="E730" s="54">
        <f t="shared" ca="1" si="92"/>
        <v>1.1898019168154281E-2</v>
      </c>
      <c r="F730" s="64">
        <f t="shared" ca="1" si="93"/>
        <v>2.0596819605112258E-2</v>
      </c>
      <c r="G730">
        <f t="shared" ca="1" si="90"/>
        <v>1.4067697784396224E-2</v>
      </c>
      <c r="H730">
        <f t="shared" ca="1" si="94"/>
        <v>1.1045799007938863</v>
      </c>
      <c r="I730">
        <f t="shared" ca="1" si="95"/>
        <v>2.461748773529695</v>
      </c>
      <c r="J730" s="60">
        <v>725</v>
      </c>
    </row>
    <row r="731" spans="2:10" x14ac:dyDescent="0.25">
      <c r="B731" s="53">
        <v>41233</v>
      </c>
      <c r="C731">
        <v>333.73464209999997</v>
      </c>
      <c r="D731" s="54">
        <f t="shared" si="91"/>
        <v>2.6338873622718233E-3</v>
      </c>
      <c r="E731" s="54">
        <f t="shared" ca="1" si="92"/>
        <v>5.8522989760834161E-3</v>
      </c>
      <c r="F731" s="64">
        <f t="shared" ca="1" si="93"/>
        <v>-3.2184116138115927E-3</v>
      </c>
      <c r="G731">
        <f t="shared" ca="1" si="90"/>
        <v>1.874084255302071E-2</v>
      </c>
      <c r="H731">
        <f t="shared" ca="1" si="94"/>
        <v>0.31520764310910998</v>
      </c>
      <c r="I731">
        <f t="shared" ca="1" si="95"/>
        <v>2.7610653691090197</v>
      </c>
      <c r="J731" s="57">
        <v>726</v>
      </c>
    </row>
    <row r="732" spans="2:10" x14ac:dyDescent="0.25">
      <c r="B732" s="53">
        <v>41234</v>
      </c>
      <c r="C732">
        <v>331.69231079999997</v>
      </c>
      <c r="D732" s="54">
        <f t="shared" si="91"/>
        <v>-6.1196263209260674E-3</v>
      </c>
      <c r="E732" s="54">
        <f t="shared" ca="1" si="92"/>
        <v>1.4944111714203373E-3</v>
      </c>
      <c r="F732" s="64">
        <f t="shared" ca="1" si="93"/>
        <v>-7.6140374923464047E-3</v>
      </c>
      <c r="G732">
        <f t="shared" ca="1" si="90"/>
        <v>6.8504708046476671E-3</v>
      </c>
      <c r="H732">
        <f t="shared" ca="1" si="94"/>
        <v>-1.9122360353609771</v>
      </c>
      <c r="I732">
        <f t="shared" ca="1" si="95"/>
        <v>2.7161308417013723</v>
      </c>
      <c r="J732" s="60">
        <v>727</v>
      </c>
    </row>
    <row r="733" spans="2:10" x14ac:dyDescent="0.25">
      <c r="B733" s="53">
        <v>41236</v>
      </c>
      <c r="C733">
        <v>332.73839379999998</v>
      </c>
      <c r="D733" s="54">
        <f t="shared" si="91"/>
        <v>3.1537752487448079E-3</v>
      </c>
      <c r="E733" s="54">
        <f t="shared" ca="1" si="92"/>
        <v>1.8442023776277398E-2</v>
      </c>
      <c r="F733" s="64">
        <f t="shared" ca="1" si="93"/>
        <v>-1.5288248527532591E-2</v>
      </c>
      <c r="G733">
        <f t="shared" ca="1" si="90"/>
        <v>3.1972289053586365E-2</v>
      </c>
      <c r="H733">
        <f t="shared" ca="1" si="94"/>
        <v>0.53981739133106232</v>
      </c>
      <c r="I733">
        <f t="shared" ca="1" si="95"/>
        <v>2.5628502057729916</v>
      </c>
      <c r="J733" s="57">
        <v>728</v>
      </c>
    </row>
    <row r="734" spans="2:10" x14ac:dyDescent="0.25">
      <c r="B734" s="53">
        <v>41239</v>
      </c>
      <c r="C734">
        <v>329.3411102</v>
      </c>
      <c r="D734" s="54">
        <f t="shared" si="91"/>
        <v>-1.0210073929857325E-2</v>
      </c>
      <c r="E734" s="54">
        <f t="shared" ca="1" si="92"/>
        <v>2.1118945058134077E-3</v>
      </c>
      <c r="F734" s="64">
        <f t="shared" ca="1" si="93"/>
        <v>-1.2321968435670733E-2</v>
      </c>
      <c r="G734">
        <f t="shared" ca="1" si="90"/>
        <v>1.1630296121805023E-2</v>
      </c>
      <c r="H734">
        <f t="shared" ca="1" si="94"/>
        <v>0.41789880940006552</v>
      </c>
      <c r="I734">
        <f t="shared" ca="1" si="95"/>
        <v>2.6333791216091398</v>
      </c>
      <c r="J734" s="60">
        <v>729</v>
      </c>
    </row>
    <row r="735" spans="2:10" x14ac:dyDescent="0.25">
      <c r="B735" s="53">
        <v>41240</v>
      </c>
      <c r="C735">
        <v>334.1032644</v>
      </c>
      <c r="D735" s="54">
        <f t="shared" si="91"/>
        <v>1.4459640939171152E-2</v>
      </c>
      <c r="E735" s="54">
        <f t="shared" ca="1" si="92"/>
        <v>8.1580365014571037E-3</v>
      </c>
      <c r="F735" s="64">
        <f t="shared" ca="1" si="93"/>
        <v>6.3016044377140479E-3</v>
      </c>
      <c r="G735">
        <f t="shared" ca="1" si="90"/>
        <v>7.5295676020160629E-3</v>
      </c>
      <c r="H735">
        <f t="shared" ca="1" si="94"/>
        <v>0.89537529691025508</v>
      </c>
      <c r="I735">
        <f t="shared" ca="1" si="95"/>
        <v>2.7513593243481766</v>
      </c>
      <c r="J735" s="57">
        <v>730</v>
      </c>
    </row>
    <row r="736" spans="2:10" x14ac:dyDescent="0.25">
      <c r="B736" s="53">
        <v>41241</v>
      </c>
      <c r="C736">
        <v>340.55908590000001</v>
      </c>
      <c r="D736" s="54">
        <f t="shared" si="91"/>
        <v>1.932283275230403E-2</v>
      </c>
      <c r="E736" s="54">
        <f t="shared" ca="1" si="92"/>
        <v>4.6426425072829611E-3</v>
      </c>
      <c r="F736" s="64">
        <f t="shared" ca="1" si="93"/>
        <v>1.4680190245021069E-2</v>
      </c>
      <c r="G736">
        <f t="shared" ca="1" si="90"/>
        <v>1.5077134111828887E-2</v>
      </c>
      <c r="H736">
        <f t="shared" ca="1" si="94"/>
        <v>0.61204881127869748</v>
      </c>
      <c r="I736">
        <f t="shared" ca="1" si="95"/>
        <v>2.6216640996025813</v>
      </c>
      <c r="J736" s="60">
        <v>731</v>
      </c>
    </row>
    <row r="737" spans="2:10" x14ac:dyDescent="0.25">
      <c r="B737" s="53">
        <v>41242</v>
      </c>
      <c r="C737">
        <v>344.6537586</v>
      </c>
      <c r="D737" s="54">
        <f t="shared" si="91"/>
        <v>1.2023384104344019E-2</v>
      </c>
      <c r="E737" s="54">
        <f t="shared" ca="1" si="92"/>
        <v>-3.4786455929377742E-3</v>
      </c>
      <c r="F737" s="64">
        <f t="shared" ca="1" si="93"/>
        <v>1.5502029697281794E-2</v>
      </c>
      <c r="G737">
        <f t="shared" ca="1" si="90"/>
        <v>1.08251751315032E-2</v>
      </c>
      <c r="H737">
        <f t="shared" ca="1" si="94"/>
        <v>-0.92128698338451787</v>
      </c>
      <c r="I737">
        <f t="shared" ca="1" si="95"/>
        <v>2.6028339819985535</v>
      </c>
      <c r="J737" s="57">
        <v>732</v>
      </c>
    </row>
    <row r="738" spans="2:10" x14ac:dyDescent="0.25">
      <c r="B738" s="53">
        <v>41243</v>
      </c>
      <c r="C738">
        <v>347.8816392</v>
      </c>
      <c r="D738" s="54">
        <f t="shared" si="91"/>
        <v>9.3655749268825514E-3</v>
      </c>
      <c r="E738" s="54">
        <f t="shared" ca="1" si="92"/>
        <v>9.5333862119025021E-3</v>
      </c>
      <c r="F738" s="64">
        <f t="shared" ca="1" si="93"/>
        <v>-1.678112850199507E-4</v>
      </c>
      <c r="G738">
        <f t="shared" ca="1" si="90"/>
        <v>1.5606877245994789E-2</v>
      </c>
      <c r="H738">
        <f t="shared" ca="1" si="94"/>
        <v>5.4777634215522092E-2</v>
      </c>
      <c r="I738">
        <f t="shared" ca="1" si="95"/>
        <v>2.7738990520386015</v>
      </c>
      <c r="J738" s="60">
        <v>733</v>
      </c>
    </row>
    <row r="739" spans="2:10" x14ac:dyDescent="0.25">
      <c r="B739" s="53">
        <v>41246</v>
      </c>
      <c r="C739">
        <v>346.32746759999998</v>
      </c>
      <c r="D739" s="54">
        <f t="shared" si="91"/>
        <v>-4.4675298287487715E-3</v>
      </c>
      <c r="E739" s="54">
        <f t="shared" ca="1" si="92"/>
        <v>2.2625435251760924E-4</v>
      </c>
      <c r="F739" s="64">
        <f t="shared" ca="1" si="93"/>
        <v>-4.6937841812663807E-3</v>
      </c>
      <c r="G739">
        <f t="shared" ca="1" si="90"/>
        <v>3.8073877648653869E-3</v>
      </c>
      <c r="H739">
        <f t="shared" ca="1" si="94"/>
        <v>-1.3588974852647191</v>
      </c>
      <c r="I739">
        <f t="shared" ca="1" si="95"/>
        <v>2.7494639892394956</v>
      </c>
      <c r="J739" s="57">
        <v>734</v>
      </c>
    </row>
    <row r="740" spans="2:10" x14ac:dyDescent="0.25">
      <c r="B740" s="53">
        <v>41247</v>
      </c>
      <c r="C740">
        <v>344.22535240000002</v>
      </c>
      <c r="D740" s="54">
        <f t="shared" si="91"/>
        <v>-6.0697328299349641E-3</v>
      </c>
      <c r="E740" s="54">
        <f t="shared" ca="1" si="92"/>
        <v>-5.1524672448908376E-4</v>
      </c>
      <c r="F740" s="64">
        <f t="shared" ca="1" si="93"/>
        <v>-5.5544861054458803E-3</v>
      </c>
      <c r="G740">
        <f t="shared" ca="1" si="90"/>
        <v>2.2721125372942973E-2</v>
      </c>
      <c r="H740">
        <f t="shared" ca="1" si="94"/>
        <v>-0.20779943479648863</v>
      </c>
      <c r="I740">
        <f t="shared" ca="1" si="95"/>
        <v>2.7410716189848454</v>
      </c>
      <c r="J740" s="60">
        <v>735</v>
      </c>
    </row>
    <row r="741" spans="2:10" x14ac:dyDescent="0.25">
      <c r="B741" s="53">
        <v>41248</v>
      </c>
      <c r="C741">
        <v>342.62635030000001</v>
      </c>
      <c r="D741" s="54">
        <f t="shared" si="91"/>
        <v>-4.6452188627347799E-3</v>
      </c>
      <c r="E741" s="54">
        <f t="shared" ca="1" si="92"/>
        <v>-1.0553592535694893E-3</v>
      </c>
      <c r="F741" s="64">
        <f t="shared" ca="1" si="93"/>
        <v>-3.5898596091652906E-3</v>
      </c>
      <c r="G741">
        <f t="shared" ca="1" si="90"/>
        <v>6.3122084917502748E-3</v>
      </c>
      <c r="H741">
        <f t="shared" ca="1" si="94"/>
        <v>0.1506924991079179</v>
      </c>
      <c r="I741">
        <f t="shared" ca="1" si="95"/>
        <v>2.7584758107545082</v>
      </c>
      <c r="J741" s="57">
        <v>736</v>
      </c>
    </row>
    <row r="742" spans="2:10" x14ac:dyDescent="0.25">
      <c r="B742" s="53">
        <v>41249</v>
      </c>
      <c r="C742">
        <v>344.27515720000002</v>
      </c>
      <c r="D742" s="54">
        <f t="shared" si="91"/>
        <v>4.8122594732026101E-3</v>
      </c>
      <c r="E742" s="54">
        <f t="shared" ca="1" si="92"/>
        <v>-2.4243513488560529E-3</v>
      </c>
      <c r="F742" s="64">
        <f t="shared" ca="1" si="93"/>
        <v>7.2366108220586634E-3</v>
      </c>
      <c r="G742">
        <f t="shared" ca="1" si="90"/>
        <v>3.0679355017711554E-3</v>
      </c>
      <c r="H742">
        <f t="shared" ca="1" si="94"/>
        <v>9.8361678431331576E-2</v>
      </c>
      <c r="I742">
        <f t="shared" ca="1" si="95"/>
        <v>2.7425086572397683</v>
      </c>
      <c r="J742" s="60">
        <v>737</v>
      </c>
    </row>
    <row r="743" spans="2:10" x14ac:dyDescent="0.25">
      <c r="B743" s="53">
        <v>41250</v>
      </c>
      <c r="C743">
        <v>340.82806870000002</v>
      </c>
      <c r="D743" s="54">
        <f t="shared" si="91"/>
        <v>-1.0012597272586493E-2</v>
      </c>
      <c r="E743" s="54">
        <f t="shared" ca="1" si="92"/>
        <v>-8.2013545691441716E-4</v>
      </c>
      <c r="F743" s="64">
        <f t="shared" ca="1" si="93"/>
        <v>-9.1924618156720758E-3</v>
      </c>
      <c r="G743">
        <f t="shared" ca="1" si="90"/>
        <v>2.0497543261716687E-3</v>
      </c>
      <c r="H743">
        <f t="shared" ca="1" si="94"/>
        <v>0.61765569778816343</v>
      </c>
      <c r="I743">
        <f t="shared" ca="1" si="95"/>
        <v>2.6923773876019821</v>
      </c>
      <c r="J743" s="57">
        <v>738</v>
      </c>
    </row>
    <row r="744" spans="2:10" x14ac:dyDescent="0.25">
      <c r="B744" s="53">
        <v>41253</v>
      </c>
      <c r="C744">
        <v>341.43082249999998</v>
      </c>
      <c r="D744" s="54">
        <f t="shared" si="91"/>
        <v>1.7684981236991632E-3</v>
      </c>
      <c r="E744" s="54">
        <f t="shared" ca="1" si="92"/>
        <v>-9.588073870949388E-3</v>
      </c>
      <c r="F744" s="64">
        <f t="shared" ca="1" si="93"/>
        <v>1.135657199464855E-2</v>
      </c>
      <c r="G744">
        <f t="shared" ca="1" si="90"/>
        <v>1.0369394662221299E-2</v>
      </c>
      <c r="H744">
        <f t="shared" ca="1" si="94"/>
        <v>-1.1330635792198307</v>
      </c>
      <c r="I744">
        <f t="shared" ca="1" si="95"/>
        <v>2.6866845422340702</v>
      </c>
      <c r="J744" s="60">
        <v>739</v>
      </c>
    </row>
    <row r="745" spans="2:10" x14ac:dyDescent="0.25">
      <c r="B745" s="53">
        <v>41254</v>
      </c>
      <c r="C745">
        <v>347.13941970000002</v>
      </c>
      <c r="D745" s="54">
        <f t="shared" si="91"/>
        <v>1.6719630519005185E-2</v>
      </c>
      <c r="E745" s="54">
        <f t="shared" ca="1" si="92"/>
        <v>-9.9559943692790163E-3</v>
      </c>
      <c r="F745" s="64">
        <f t="shared" ca="1" si="93"/>
        <v>2.6675624888284202E-2</v>
      </c>
      <c r="G745">
        <f t="shared" ca="1" si="90"/>
        <v>1.9086269931096096E-2</v>
      </c>
      <c r="H745">
        <f t="shared" ca="1" si="94"/>
        <v>-0.28602586545606368</v>
      </c>
      <c r="I745">
        <f t="shared" ca="1" si="95"/>
        <v>2.2385415983947499</v>
      </c>
      <c r="J745" s="57">
        <v>740</v>
      </c>
    </row>
    <row r="746" spans="2:10" x14ac:dyDescent="0.25">
      <c r="B746" s="53">
        <v>41255</v>
      </c>
      <c r="C746">
        <v>347.47816549999999</v>
      </c>
      <c r="D746" s="54">
        <f t="shared" si="91"/>
        <v>9.7582060917401957E-4</v>
      </c>
      <c r="E746" s="54">
        <f t="shared" ca="1" si="92"/>
        <v>-7.745871279581704E-4</v>
      </c>
      <c r="F746" s="64">
        <f t="shared" ca="1" si="93"/>
        <v>1.75040773713219E-3</v>
      </c>
      <c r="G746">
        <f t="shared" ca="1" si="90"/>
        <v>6.5359744848296018E-3</v>
      </c>
      <c r="H746">
        <f t="shared" ca="1" si="94"/>
        <v>-0.24007792509431233</v>
      </c>
      <c r="I746">
        <f t="shared" ca="1" si="95"/>
        <v>2.7742687947573925</v>
      </c>
      <c r="J746" s="60">
        <v>741</v>
      </c>
    </row>
    <row r="747" spans="2:10" x14ac:dyDescent="0.25">
      <c r="B747" s="53">
        <v>41256</v>
      </c>
      <c r="C747">
        <v>350.03856400000001</v>
      </c>
      <c r="D747" s="54">
        <f t="shared" si="91"/>
        <v>7.3685162240791774E-3</v>
      </c>
      <c r="E747" s="54">
        <f t="shared" ca="1" si="92"/>
        <v>2.4109046584177537E-3</v>
      </c>
      <c r="F747" s="64">
        <f t="shared" ca="1" si="93"/>
        <v>4.9576115656614237E-3</v>
      </c>
      <c r="G747">
        <f t="shared" ca="1" si="90"/>
        <v>4.3923835236208356E-3</v>
      </c>
      <c r="H747">
        <f t="shared" ca="1" si="94"/>
        <v>-1.1606985283121982</v>
      </c>
      <c r="I747">
        <f t="shared" ca="1" si="95"/>
        <v>2.7616069252968143</v>
      </c>
      <c r="J747" s="57">
        <v>742</v>
      </c>
    </row>
    <row r="748" spans="2:10" x14ac:dyDescent="0.25">
      <c r="B748" s="53">
        <v>41257</v>
      </c>
      <c r="C748">
        <v>349.66994169999998</v>
      </c>
      <c r="D748" s="54">
        <f t="shared" si="91"/>
        <v>-1.0530905389042416E-3</v>
      </c>
      <c r="E748" s="54">
        <f t="shared" ca="1" si="92"/>
        <v>4.4691869141643581E-2</v>
      </c>
      <c r="F748" s="64">
        <f t="shared" ca="1" si="93"/>
        <v>-4.5744959680547821E-2</v>
      </c>
      <c r="G748">
        <f t="shared" ca="1" si="90"/>
        <v>1.9425923004183648E-2</v>
      </c>
      <c r="H748">
        <f t="shared" ca="1" si="94"/>
        <v>2.2780632646021863</v>
      </c>
      <c r="I748">
        <f t="shared" ca="1" si="95"/>
        <v>1.0163046769014674</v>
      </c>
      <c r="J748" s="60">
        <v>743</v>
      </c>
    </row>
    <row r="749" spans="2:10" x14ac:dyDescent="0.25">
      <c r="B749" s="53">
        <v>41260</v>
      </c>
      <c r="C749">
        <v>359.04483579999999</v>
      </c>
      <c r="D749" s="54">
        <f t="shared" si="91"/>
        <v>2.6810694835311909E-2</v>
      </c>
      <c r="E749" s="54">
        <f t="shared" ca="1" si="92"/>
        <v>2.1948144736783064E-2</v>
      </c>
      <c r="F749" s="64">
        <f t="shared" ca="1" si="93"/>
        <v>4.862550098528845E-3</v>
      </c>
      <c r="G749">
        <f t="shared" ca="1" si="90"/>
        <v>3.8294455278527192E-2</v>
      </c>
      <c r="H749">
        <f t="shared" ca="1" si="94"/>
        <v>0.4867235878904414</v>
      </c>
      <c r="I749">
        <f t="shared" ca="1" si="95"/>
        <v>2.7622212284537251</v>
      </c>
      <c r="J749" s="57">
        <v>744</v>
      </c>
    </row>
    <row r="750" spans="2:10" x14ac:dyDescent="0.25">
      <c r="B750" s="53">
        <v>41261</v>
      </c>
      <c r="C750">
        <v>359.18927539999999</v>
      </c>
      <c r="D750" s="54">
        <f t="shared" si="91"/>
        <v>4.0228847653014574E-4</v>
      </c>
      <c r="E750" s="54">
        <f t="shared" ca="1" si="92"/>
        <v>4.8195388935022337E-4</v>
      </c>
      <c r="F750" s="64">
        <f t="shared" ca="1" si="93"/>
        <v>-7.9665412820077632E-5</v>
      </c>
      <c r="G750">
        <f t="shared" ca="1" si="90"/>
        <v>1.1963990983367704E-2</v>
      </c>
      <c r="H750">
        <f t="shared" ca="1" si="94"/>
        <v>7.9777383817502059E-2</v>
      </c>
      <c r="I750">
        <f t="shared" ca="1" si="95"/>
        <v>2.774046363450013</v>
      </c>
      <c r="J750" s="60">
        <v>745</v>
      </c>
    </row>
    <row r="751" spans="2:10" x14ac:dyDescent="0.25">
      <c r="B751" s="53">
        <v>41262</v>
      </c>
      <c r="C751">
        <v>358.71109480000001</v>
      </c>
      <c r="D751" s="54">
        <f t="shared" si="91"/>
        <v>-1.3312774983814935E-3</v>
      </c>
      <c r="E751" s="54">
        <f t="shared" ca="1" si="92"/>
        <v>1.6873965914158545E-2</v>
      </c>
      <c r="F751" s="64">
        <f t="shared" ca="1" si="93"/>
        <v>-1.820524341254004E-2</v>
      </c>
      <c r="G751">
        <f t="shared" ca="1" si="90"/>
        <v>3.1968983779191184E-3</v>
      </c>
      <c r="H751">
        <f t="shared" ca="1" si="94"/>
        <v>1.5116961456278095</v>
      </c>
      <c r="I751">
        <f t="shared" ca="1" si="95"/>
        <v>2.4796288099909329</v>
      </c>
      <c r="J751" s="57">
        <v>746</v>
      </c>
    </row>
    <row r="752" spans="2:10" x14ac:dyDescent="0.25">
      <c r="B752" s="53">
        <v>41263</v>
      </c>
      <c r="C752">
        <v>359.83188530000001</v>
      </c>
      <c r="D752" s="54">
        <f t="shared" si="91"/>
        <v>3.124493544379766E-3</v>
      </c>
      <c r="E752" s="54">
        <f t="shared" ca="1" si="92"/>
        <v>2.0866206596155321E-2</v>
      </c>
      <c r="F752" s="64">
        <f t="shared" ca="1" si="93"/>
        <v>-1.7741713051775555E-2</v>
      </c>
      <c r="G752">
        <f t="shared" ca="1" si="90"/>
        <v>2.5263249716014711E-2</v>
      </c>
      <c r="H752">
        <f t="shared" ca="1" si="94"/>
        <v>0.8188001923434256</v>
      </c>
      <c r="I752">
        <f t="shared" ca="1" si="95"/>
        <v>2.4937720166137387</v>
      </c>
      <c r="J752" s="60">
        <v>747</v>
      </c>
    </row>
    <row r="753" spans="2:10" x14ac:dyDescent="0.25">
      <c r="B753" s="53">
        <v>41264</v>
      </c>
      <c r="C753">
        <v>356.4794321</v>
      </c>
      <c r="D753" s="54">
        <f t="shared" si="91"/>
        <v>-9.3167207714374648E-3</v>
      </c>
      <c r="E753" s="54">
        <f t="shared" ca="1" si="92"/>
        <v>-4.5800211808506791E-3</v>
      </c>
      <c r="F753" s="64">
        <f t="shared" ca="1" si="93"/>
        <v>-4.7366995905867857E-3</v>
      </c>
      <c r="G753">
        <f t="shared" ca="1" si="90"/>
        <v>1.4863840608146762E-2</v>
      </c>
      <c r="H753">
        <f t="shared" ca="1" si="94"/>
        <v>-0.26791000683118937</v>
      </c>
      <c r="I753">
        <f t="shared" ca="1" si="95"/>
        <v>2.7490738906311645</v>
      </c>
      <c r="J753" s="57">
        <v>748</v>
      </c>
    </row>
    <row r="754" spans="2:10" x14ac:dyDescent="0.25">
      <c r="B754" s="53">
        <v>41267</v>
      </c>
      <c r="C754">
        <v>353.4258686</v>
      </c>
      <c r="D754" s="54">
        <f t="shared" si="91"/>
        <v>-8.5658897120981913E-3</v>
      </c>
      <c r="E754" s="54">
        <f t="shared" ca="1" si="92"/>
        <v>4.3228619736994009E-4</v>
      </c>
      <c r="F754" s="64">
        <f t="shared" ca="1" si="93"/>
        <v>-8.9981759094681316E-3</v>
      </c>
      <c r="G754">
        <f t="shared" ca="1" si="90"/>
        <v>5.6993327521404373E-3</v>
      </c>
      <c r="H754">
        <f t="shared" ca="1" si="94"/>
        <v>-0.17034026871728228</v>
      </c>
      <c r="I754">
        <f t="shared" ca="1" si="95"/>
        <v>2.6955184175337576</v>
      </c>
      <c r="J754" s="60">
        <v>749</v>
      </c>
    </row>
    <row r="755" spans="2:10" x14ac:dyDescent="0.25">
      <c r="B755" s="53">
        <v>41269</v>
      </c>
      <c r="C755">
        <v>353.11205580000001</v>
      </c>
      <c r="D755" s="54">
        <f t="shared" si="91"/>
        <v>-8.8791689539613342E-4</v>
      </c>
      <c r="E755" s="54">
        <f t="shared" ca="1" si="92"/>
        <v>-1.1009504602978887E-2</v>
      </c>
      <c r="F755" s="64">
        <f t="shared" ca="1" si="93"/>
        <v>1.0121587707582754E-2</v>
      </c>
      <c r="G755">
        <f t="shared" ca="1" si="90"/>
        <v>3.2844284256561833E-3</v>
      </c>
      <c r="H755">
        <f t="shared" ca="1" si="94"/>
        <v>-2.077996595177217</v>
      </c>
      <c r="I755">
        <f t="shared" ca="1" si="95"/>
        <v>2.70629654986302</v>
      </c>
      <c r="J755" s="57">
        <v>750</v>
      </c>
    </row>
    <row r="756" spans="2:10" x14ac:dyDescent="0.25">
      <c r="B756" s="53">
        <v>41270</v>
      </c>
      <c r="C756">
        <v>351.82686649999999</v>
      </c>
      <c r="D756" s="54">
        <f t="shared" si="91"/>
        <v>-3.639607537863093E-3</v>
      </c>
      <c r="E756" s="54">
        <f t="shared" ca="1" si="92"/>
        <v>-9.4506023724515234E-3</v>
      </c>
      <c r="F756" s="64">
        <f t="shared" ca="1" si="93"/>
        <v>5.8109948345884304E-3</v>
      </c>
      <c r="G756">
        <f t="shared" ca="1" si="90"/>
        <v>3.4707775333005918E-2</v>
      </c>
      <c r="H756">
        <f t="shared" ca="1" si="94"/>
        <v>-0.16144723728768884</v>
      </c>
      <c r="I756">
        <f t="shared" ca="1" si="95"/>
        <v>2.7554383361514381</v>
      </c>
      <c r="J756" s="60">
        <v>751</v>
      </c>
    </row>
    <row r="757" spans="2:10" x14ac:dyDescent="0.25">
      <c r="B757" s="53">
        <v>41271</v>
      </c>
      <c r="C757">
        <v>348.69859609999997</v>
      </c>
      <c r="D757" s="54">
        <f t="shared" si="91"/>
        <v>-8.8915051630942439E-3</v>
      </c>
      <c r="E757" s="54">
        <f t="shared" ca="1" si="92"/>
        <v>4.1813581754737324E-3</v>
      </c>
      <c r="F757" s="64">
        <f t="shared" ca="1" si="93"/>
        <v>-1.3072863338567976E-2</v>
      </c>
      <c r="G757">
        <f t="shared" ca="1" si="90"/>
        <v>8.4146324044436279E-3</v>
      </c>
      <c r="H757">
        <f t="shared" ca="1" si="94"/>
        <v>0.54431399253996693</v>
      </c>
      <c r="I757">
        <f t="shared" ca="1" si="95"/>
        <v>2.6168690929862182</v>
      </c>
      <c r="J757" s="57">
        <v>752</v>
      </c>
    </row>
    <row r="758" spans="2:10" x14ac:dyDescent="0.25">
      <c r="B758" s="53">
        <v>41274</v>
      </c>
      <c r="C758">
        <v>352.36983629999997</v>
      </c>
      <c r="D758" s="54">
        <f t="shared" si="91"/>
        <v>1.0528405451185583E-2</v>
      </c>
      <c r="E758" s="54">
        <f t="shared" ca="1" si="92"/>
        <v>-2.3188723632191119E-3</v>
      </c>
      <c r="F758" s="64">
        <f t="shared" ca="1" si="93"/>
        <v>1.2847277814404695E-2</v>
      </c>
      <c r="G758">
        <f t="shared" ca="1" si="90"/>
        <v>9.3401389716698466E-3</v>
      </c>
      <c r="H758">
        <f t="shared" ca="1" si="94"/>
        <v>-7.3242859989183881E-2</v>
      </c>
      <c r="I758">
        <f t="shared" ca="1" si="95"/>
        <v>2.6597290235991871</v>
      </c>
      <c r="J758" s="60">
        <v>753</v>
      </c>
    </row>
    <row r="759" spans="2:10" x14ac:dyDescent="0.25">
      <c r="B759" s="53">
        <v>41276</v>
      </c>
      <c r="C759">
        <v>360.275215</v>
      </c>
      <c r="D759" s="54">
        <f t="shared" si="91"/>
        <v>2.2434890520168026E-2</v>
      </c>
      <c r="E759" s="54">
        <f t="shared" ca="1" si="92"/>
        <v>-7.9232394502389246E-3</v>
      </c>
      <c r="F759" s="64">
        <f t="shared" ca="1" si="93"/>
        <v>3.035812997040695E-2</v>
      </c>
      <c r="G759">
        <f t="shared" ca="1" si="90"/>
        <v>2.65332378521201E-3</v>
      </c>
      <c r="H759">
        <f t="shared" ca="1" si="94"/>
        <v>-1.4811866768407</v>
      </c>
      <c r="I759">
        <f t="shared" ca="1" si="95"/>
        <v>2.0742840561030156</v>
      </c>
      <c r="J759" s="57">
        <v>754</v>
      </c>
    </row>
    <row r="760" spans="2:10" x14ac:dyDescent="0.25">
      <c r="B760" s="53">
        <v>41277</v>
      </c>
      <c r="C760">
        <v>360.48444380000001</v>
      </c>
      <c r="D760" s="54">
        <f t="shared" si="91"/>
        <v>5.8074713799006496E-4</v>
      </c>
      <c r="E760" s="54">
        <f t="shared" ca="1" si="92"/>
        <v>9.4343586094100158E-3</v>
      </c>
      <c r="F760" s="64">
        <f t="shared" ca="1" si="93"/>
        <v>-8.8536114714199508E-3</v>
      </c>
      <c r="G760">
        <f t="shared" ca="1" si="90"/>
        <v>2.4751294957664306E-2</v>
      </c>
      <c r="H760">
        <f t="shared" ca="1" si="94"/>
        <v>0.19010941574056001</v>
      </c>
      <c r="I760">
        <f t="shared" ca="1" si="95"/>
        <v>2.697816023692817</v>
      </c>
      <c r="J760" s="60">
        <v>755</v>
      </c>
    </row>
    <row r="761" spans="2:10" x14ac:dyDescent="0.25">
      <c r="B761" s="53">
        <v>41278</v>
      </c>
      <c r="C761">
        <v>367.6077469</v>
      </c>
      <c r="D761" s="54">
        <f t="shared" si="91"/>
        <v>1.9760361986527385E-2</v>
      </c>
      <c r="E761" s="54">
        <f t="shared" ca="1" si="92"/>
        <v>7.4816418668094053E-3</v>
      </c>
      <c r="F761" s="64">
        <f t="shared" ca="1" si="93"/>
        <v>1.2278720119717978E-2</v>
      </c>
      <c r="G761">
        <f t="shared" ca="1" si="90"/>
        <v>6.5486886233460341E-3</v>
      </c>
      <c r="H761">
        <f t="shared" ca="1" si="94"/>
        <v>-0.39615974402458343</v>
      </c>
      <c r="I761">
        <f t="shared" ca="1" si="95"/>
        <v>2.6704334677426789</v>
      </c>
      <c r="J761" s="57">
        <v>756</v>
      </c>
    </row>
    <row r="762" spans="2:10" x14ac:dyDescent="0.25">
      <c r="B762" s="53">
        <v>41281</v>
      </c>
      <c r="C762">
        <v>366.00377099999997</v>
      </c>
      <c r="D762" s="54">
        <f t="shared" si="91"/>
        <v>-4.3632810067964949E-3</v>
      </c>
      <c r="E762" s="54">
        <f t="shared" ca="1" si="92"/>
        <v>-4.3476632410779032E-3</v>
      </c>
      <c r="F762" s="64">
        <f t="shared" ca="1" si="93"/>
        <v>-1.561776571859172E-5</v>
      </c>
      <c r="G762">
        <f t="shared" ca="1" si="90"/>
        <v>6.8533899409436161E-3</v>
      </c>
      <c r="H762">
        <f t="shared" ca="1" si="94"/>
        <v>-0.67248894219813993</v>
      </c>
      <c r="I762">
        <f t="shared" ca="1" si="95"/>
        <v>2.7741455264830059</v>
      </c>
      <c r="J762" s="60">
        <v>757</v>
      </c>
    </row>
    <row r="763" spans="2:10" x14ac:dyDescent="0.25">
      <c r="B763" s="53">
        <v>41282</v>
      </c>
      <c r="C763">
        <v>365.28144900000001</v>
      </c>
      <c r="D763" s="54">
        <f t="shared" si="91"/>
        <v>-1.9735370431469214E-3</v>
      </c>
      <c r="E763" s="54">
        <f t="shared" ca="1" si="92"/>
        <v>9.8708342152469437E-3</v>
      </c>
      <c r="F763" s="64">
        <f t="shared" ca="1" si="93"/>
        <v>-1.1844371258393865E-2</v>
      </c>
      <c r="G763">
        <f t="shared" ca="1" si="90"/>
        <v>1.1377775490738359E-2</v>
      </c>
      <c r="H763">
        <f t="shared" ca="1" si="94"/>
        <v>8.7550951787754142E-2</v>
      </c>
      <c r="I763">
        <f t="shared" ca="1" si="95"/>
        <v>2.6434061160810112</v>
      </c>
      <c r="J763" s="57">
        <v>758</v>
      </c>
    </row>
    <row r="764" spans="2:10" x14ac:dyDescent="0.25">
      <c r="B764" s="53">
        <v>41283</v>
      </c>
      <c r="C764">
        <v>367.68245439999998</v>
      </c>
      <c r="D764" s="54">
        <f t="shared" si="91"/>
        <v>6.5730285689924919E-3</v>
      </c>
      <c r="E764" s="54">
        <f t="shared" ca="1" si="92"/>
        <v>-2.4962754242648334E-3</v>
      </c>
      <c r="F764" s="64">
        <f t="shared" ca="1" si="93"/>
        <v>9.0693039932573244E-3</v>
      </c>
      <c r="G764">
        <f t="shared" ca="1" si="90"/>
        <v>3.1420249213058959E-3</v>
      </c>
      <c r="H764">
        <f t="shared" ca="1" si="94"/>
        <v>-0.17078302597205769</v>
      </c>
      <c r="I764">
        <f t="shared" ca="1" si="95"/>
        <v>2.7210627674790273</v>
      </c>
      <c r="J764" s="60">
        <v>759</v>
      </c>
    </row>
    <row r="765" spans="2:10" x14ac:dyDescent="0.25">
      <c r="B765" s="53">
        <v>41284</v>
      </c>
      <c r="C765">
        <v>369.35619380000003</v>
      </c>
      <c r="D765" s="54">
        <f t="shared" si="91"/>
        <v>4.552132906998037E-3</v>
      </c>
      <c r="E765" s="54">
        <f t="shared" ca="1" si="92"/>
        <v>5.0965844327206461E-3</v>
      </c>
      <c r="F765" s="64">
        <f t="shared" ca="1" si="93"/>
        <v>-5.4445152572260916E-4</v>
      </c>
      <c r="G765">
        <f t="shared" ca="1" si="90"/>
        <v>3.1074052790393851E-3</v>
      </c>
      <c r="H765">
        <f t="shared" ca="1" si="94"/>
        <v>1.925344662892664</v>
      </c>
      <c r="I765">
        <f t="shared" ca="1" si="95"/>
        <v>2.7731281779401757</v>
      </c>
      <c r="J765" s="57">
        <v>760</v>
      </c>
    </row>
    <row r="766" spans="2:10" x14ac:dyDescent="0.25">
      <c r="B766" s="53">
        <v>41285</v>
      </c>
      <c r="C766">
        <v>368.6139743</v>
      </c>
      <c r="D766" s="54">
        <f t="shared" si="91"/>
        <v>-2.0094952039762786E-3</v>
      </c>
      <c r="E766" s="54">
        <f t="shared" ca="1" si="92"/>
        <v>5.1752461996859393E-2</v>
      </c>
      <c r="F766" s="64">
        <f t="shared" ca="1" si="93"/>
        <v>-5.3761957200835674E-2</v>
      </c>
      <c r="G766">
        <f t="shared" ca="1" si="90"/>
        <v>3.2160661300722322E-2</v>
      </c>
      <c r="H766">
        <f t="shared" ca="1" si="94"/>
        <v>1.5173912101495453</v>
      </c>
      <c r="I766">
        <f t="shared" ca="1" si="95"/>
        <v>0.36002990080125502</v>
      </c>
      <c r="J766" s="60">
        <v>761</v>
      </c>
    </row>
    <row r="767" spans="2:10" x14ac:dyDescent="0.25">
      <c r="B767" s="53">
        <v>41288</v>
      </c>
      <c r="C767">
        <v>360.275215</v>
      </c>
      <c r="D767" s="54">
        <f t="shared" si="91"/>
        <v>-2.2621929393304589E-2</v>
      </c>
      <c r="E767" s="54">
        <f t="shared" ca="1" si="92"/>
        <v>1.3072664708762368E-2</v>
      </c>
      <c r="F767" s="64">
        <f t="shared" ca="1" si="93"/>
        <v>-3.5694594102066955E-2</v>
      </c>
      <c r="G767">
        <f t="shared" ca="1" si="90"/>
        <v>2.63854807827014E-2</v>
      </c>
      <c r="H767">
        <f t="shared" ca="1" si="94"/>
        <v>0.41796643274245676</v>
      </c>
      <c r="I767">
        <f t="shared" ca="1" si="95"/>
        <v>1.692335004389057</v>
      </c>
      <c r="J767" s="57">
        <v>762</v>
      </c>
    </row>
    <row r="768" spans="2:10" x14ac:dyDescent="0.25">
      <c r="B768" s="53">
        <v>41289</v>
      </c>
      <c r="C768">
        <v>361.11209969999999</v>
      </c>
      <c r="D768" s="54">
        <f t="shared" si="91"/>
        <v>2.3229038944574208E-3</v>
      </c>
      <c r="E768" s="54">
        <f t="shared" ca="1" si="92"/>
        <v>8.6274123320429878E-3</v>
      </c>
      <c r="F768" s="64">
        <f t="shared" ca="1" si="93"/>
        <v>-6.3045084375855671E-3</v>
      </c>
      <c r="G768">
        <f t="shared" ca="1" si="90"/>
        <v>9.2641974422513502E-3</v>
      </c>
      <c r="H768">
        <f t="shared" ca="1" si="94"/>
        <v>1.028724483575308</v>
      </c>
      <c r="I768">
        <f t="shared" ca="1" si="95"/>
        <v>2.732782465797067</v>
      </c>
      <c r="J768" s="60">
        <v>763</v>
      </c>
    </row>
    <row r="769" spans="2:10" x14ac:dyDescent="0.25">
      <c r="B769" s="53">
        <v>41290</v>
      </c>
      <c r="C769">
        <v>356.2602546</v>
      </c>
      <c r="D769" s="54">
        <f t="shared" si="91"/>
        <v>-1.3435841956087165E-2</v>
      </c>
      <c r="E769" s="54">
        <f t="shared" ca="1" si="92"/>
        <v>-2.4691828645748704E-3</v>
      </c>
      <c r="F769" s="64">
        <f t="shared" ca="1" si="93"/>
        <v>-1.0966659091512294E-2</v>
      </c>
      <c r="G769">
        <f t="shared" ca="1" si="90"/>
        <v>1.7329647370740484E-2</v>
      </c>
      <c r="H769">
        <f t="shared" ca="1" si="94"/>
        <v>0.44379083488793236</v>
      </c>
      <c r="I769">
        <f t="shared" ca="1" si="95"/>
        <v>2.6608723673847314</v>
      </c>
      <c r="J769" s="57">
        <v>764</v>
      </c>
    </row>
    <row r="770" spans="2:10" x14ac:dyDescent="0.25">
      <c r="B770" s="53">
        <v>41291</v>
      </c>
      <c r="C770">
        <v>354.33248639999999</v>
      </c>
      <c r="D770" s="54">
        <f t="shared" si="91"/>
        <v>-5.4111233995620756E-3</v>
      </c>
      <c r="E770" s="54">
        <f t="shared" ca="1" si="92"/>
        <v>-1.2004058019056947E-2</v>
      </c>
      <c r="F770" s="64">
        <f t="shared" ca="1" si="93"/>
        <v>6.5929346194948711E-3</v>
      </c>
      <c r="G770">
        <f t="shared" ca="1" si="90"/>
        <v>8.4544376077412189E-3</v>
      </c>
      <c r="H770">
        <f t="shared" ca="1" si="94"/>
        <v>-1.5432237768122945</v>
      </c>
      <c r="I770">
        <f t="shared" ca="1" si="95"/>
        <v>2.7487531195781725</v>
      </c>
      <c r="J770" s="60">
        <v>765</v>
      </c>
    </row>
    <row r="771" spans="2:10" x14ac:dyDescent="0.25">
      <c r="B771" s="53">
        <v>41292</v>
      </c>
      <c r="C771">
        <v>350.94020740000002</v>
      </c>
      <c r="D771" s="54">
        <f t="shared" si="91"/>
        <v>-9.5737171447793437E-3</v>
      </c>
      <c r="E771" s="54">
        <f t="shared" ca="1" si="92"/>
        <v>3.463445473628487E-3</v>
      </c>
      <c r="F771" s="64">
        <f t="shared" ca="1" si="93"/>
        <v>-1.303716261840783E-2</v>
      </c>
      <c r="G771">
        <f t="shared" ca="1" si="90"/>
        <v>2.5850443020540157E-2</v>
      </c>
      <c r="H771">
        <f t="shared" ca="1" si="94"/>
        <v>0.36741515181128348</v>
      </c>
      <c r="I771">
        <f t="shared" ca="1" si="95"/>
        <v>2.6176746770121917</v>
      </c>
      <c r="J771" s="57">
        <v>766</v>
      </c>
    </row>
    <row r="772" spans="2:10" x14ac:dyDescent="0.25">
      <c r="B772" s="53">
        <v>41296</v>
      </c>
      <c r="C772">
        <v>350.12325060000001</v>
      </c>
      <c r="D772" s="54">
        <f t="shared" si="91"/>
        <v>-2.3279088083197333E-3</v>
      </c>
      <c r="E772" s="54">
        <f t="shared" ca="1" si="92"/>
        <v>1.771356503689064E-2</v>
      </c>
      <c r="F772" s="64">
        <f t="shared" ca="1" si="93"/>
        <v>-2.0041473845210375E-2</v>
      </c>
      <c r="G772">
        <f t="shared" ca="1" si="90"/>
        <v>8.5623218630933549E-3</v>
      </c>
      <c r="H772">
        <f t="shared" ca="1" si="94"/>
        <v>2.3526298406194637</v>
      </c>
      <c r="I772">
        <f t="shared" ca="1" si="95"/>
        <v>2.4201903059458112</v>
      </c>
      <c r="J772" s="60">
        <v>767</v>
      </c>
    </row>
    <row r="773" spans="2:10" x14ac:dyDescent="0.25">
      <c r="B773" s="53">
        <v>41297</v>
      </c>
      <c r="C773">
        <v>369.36617289999998</v>
      </c>
      <c r="D773" s="54">
        <f t="shared" si="91"/>
        <v>5.4960423985050182E-2</v>
      </c>
      <c r="E773" s="54">
        <f t="shared" ca="1" si="92"/>
        <v>1.1163691423431203E-2</v>
      </c>
      <c r="F773" s="64">
        <f t="shared" ca="1" si="93"/>
        <v>4.3796732561618978E-2</v>
      </c>
      <c r="G773">
        <f t="shared" ref="G773:G836" ca="1" si="96">SQRT(A_0+A_1*POWER(H772,2)+B_1*POWER(G772,2))</f>
        <v>3.9330465991522214E-2</v>
      </c>
      <c r="H773">
        <f t="shared" ca="1" si="94"/>
        <v>0.39316797468243764</v>
      </c>
      <c r="I773">
        <f t="shared" ca="1" si="95"/>
        <v>1.2889785028597538</v>
      </c>
      <c r="J773" s="57">
        <v>768</v>
      </c>
    </row>
    <row r="774" spans="2:10" x14ac:dyDescent="0.25">
      <c r="B774" s="53">
        <v>41298</v>
      </c>
      <c r="C774">
        <v>375.69745219999999</v>
      </c>
      <c r="D774" s="54">
        <f t="shared" si="91"/>
        <v>1.7140928879034352E-2</v>
      </c>
      <c r="E774" s="54">
        <f t="shared" ca="1" si="92"/>
        <v>-1.6723853269148877E-2</v>
      </c>
      <c r="F774" s="64">
        <f t="shared" ca="1" si="93"/>
        <v>3.3864782148183226E-2</v>
      </c>
      <c r="G774">
        <f t="shared" ca="1" si="96"/>
        <v>1.1152424560864708E-2</v>
      </c>
      <c r="H774">
        <f t="shared" ca="1" si="94"/>
        <v>-1.4059086320227747</v>
      </c>
      <c r="I774">
        <f t="shared" ca="1" si="95"/>
        <v>1.8975039833428873</v>
      </c>
      <c r="J774" s="60">
        <v>769</v>
      </c>
    </row>
    <row r="775" spans="2:10" x14ac:dyDescent="0.25">
      <c r="B775" s="53">
        <v>41299</v>
      </c>
      <c r="C775">
        <v>375.42843900000003</v>
      </c>
      <c r="D775" s="54">
        <f t="shared" ref="D775:D838" si="97">(C775-C774)/C774</f>
        <v>-7.1603679616318884E-4</v>
      </c>
      <c r="E775" s="54">
        <f t="shared" ca="1" si="92"/>
        <v>-5.6324060712488154E-3</v>
      </c>
      <c r="F775" s="64">
        <f t="shared" ca="1" si="93"/>
        <v>4.9163692750856264E-3</v>
      </c>
      <c r="G775">
        <f t="shared" ca="1" si="96"/>
        <v>2.3625527847149771E-2</v>
      </c>
      <c r="H775">
        <f t="shared" ca="1" si="94"/>
        <v>-1.283210637466943</v>
      </c>
      <c r="I775">
        <f t="shared" ca="1" si="95"/>
        <v>2.7618752330810419</v>
      </c>
      <c r="J775" s="57">
        <v>770</v>
      </c>
    </row>
    <row r="776" spans="2:10" x14ac:dyDescent="0.25">
      <c r="B776" s="53">
        <v>41302</v>
      </c>
      <c r="C776">
        <v>373.96392839999999</v>
      </c>
      <c r="D776" s="54">
        <f t="shared" si="97"/>
        <v>-3.9009048006617302E-3</v>
      </c>
      <c r="E776" s="54">
        <f t="shared" ref="E776:E839" ca="1" si="98">((E_1*D775)+(E_2*D774)+(G776*H776))</f>
        <v>4.2695546829212887E-2</v>
      </c>
      <c r="F776" s="64">
        <f t="shared" ca="1" si="93"/>
        <v>-4.6596451629874615E-2</v>
      </c>
      <c r="G776">
        <f t="shared" ca="1" si="96"/>
        <v>2.2107796194086756E-2</v>
      </c>
      <c r="H776">
        <f t="shared" ca="1" si="94"/>
        <v>1.5830263856725666</v>
      </c>
      <c r="I776">
        <f t="shared" ca="1" si="95"/>
        <v>0.95153033220244199</v>
      </c>
      <c r="J776" s="60">
        <v>771</v>
      </c>
    </row>
    <row r="777" spans="2:10" x14ac:dyDescent="0.25">
      <c r="B777" s="53">
        <v>41303</v>
      </c>
      <c r="C777">
        <v>375.43344430000002</v>
      </c>
      <c r="D777" s="54">
        <f t="shared" si="97"/>
        <v>3.9295658976718382E-3</v>
      </c>
      <c r="E777" s="54">
        <f t="shared" ca="1" si="98"/>
        <v>4.9539017083040003E-2</v>
      </c>
      <c r="F777" s="64">
        <f t="shared" ref="F777:F840" ca="1" si="99">D777-E777</f>
        <v>-4.5609451185368168E-2</v>
      </c>
      <c r="G777">
        <f t="shared" ca="1" si="96"/>
        <v>2.6917882477668287E-2</v>
      </c>
      <c r="H777">
        <f t="shared" ref="H777:H840" ca="1" si="100">_xlfn.NORM.INV(RAND(),0,1)</f>
        <v>1.8523251528705464</v>
      </c>
      <c r="I777">
        <f t="shared" ref="I777:I840" ca="1" si="101">LN(_xlfn.NORM.DIST(F777,AVERAGE($F$8:$F$1413),_xlfn.STDEV.S($F$8:$F$1413),FALSE))</f>
        <v>1.0265049725279745</v>
      </c>
      <c r="J777" s="57">
        <v>772</v>
      </c>
    </row>
    <row r="778" spans="2:10" x14ac:dyDescent="0.25">
      <c r="B778" s="53">
        <v>41304</v>
      </c>
      <c r="C778">
        <v>375.50815130000001</v>
      </c>
      <c r="D778" s="54">
        <f t="shared" si="97"/>
        <v>1.9898866532597139E-4</v>
      </c>
      <c r="E778" s="54">
        <f t="shared" ca="1" si="98"/>
        <v>1.132989757895898E-2</v>
      </c>
      <c r="F778" s="64">
        <f t="shared" ca="1" si="99"/>
        <v>-1.1130908913633008E-2</v>
      </c>
      <c r="G778">
        <f t="shared" ca="1" si="96"/>
        <v>3.1536702624484013E-2</v>
      </c>
      <c r="H778">
        <f t="shared" ca="1" si="100"/>
        <v>0.4148120521494757</v>
      </c>
      <c r="I778">
        <f t="shared" ca="1" si="101"/>
        <v>2.6576985089091161</v>
      </c>
      <c r="J778" s="60">
        <v>773</v>
      </c>
    </row>
    <row r="779" spans="2:10" x14ac:dyDescent="0.25">
      <c r="B779" s="53">
        <v>41305</v>
      </c>
      <c r="C779">
        <v>376.43466649999999</v>
      </c>
      <c r="D779" s="54">
        <f t="shared" si="97"/>
        <v>2.4673637490755132E-3</v>
      </c>
      <c r="E779" s="54">
        <f t="shared" ca="1" si="98"/>
        <v>6.0437893351902323E-3</v>
      </c>
      <c r="F779" s="64">
        <f t="shared" ca="1" si="99"/>
        <v>-3.5764255861147191E-3</v>
      </c>
      <c r="G779">
        <f t="shared" ca="1" si="96"/>
        <v>1.0028980777739855E-2</v>
      </c>
      <c r="H779">
        <f t="shared" ca="1" si="100"/>
        <v>0.42665742942864415</v>
      </c>
      <c r="I779">
        <f t="shared" ca="1" si="101"/>
        <v>2.7585733518877604</v>
      </c>
      <c r="J779" s="57">
        <v>774</v>
      </c>
    </row>
    <row r="780" spans="2:10" x14ac:dyDescent="0.25">
      <c r="B780" s="53">
        <v>41306</v>
      </c>
      <c r="C780">
        <v>386.35253039999998</v>
      </c>
      <c r="D780" s="54">
        <f t="shared" si="97"/>
        <v>2.6346839923681649E-2</v>
      </c>
      <c r="E780" s="54">
        <f t="shared" ca="1" si="98"/>
        <v>4.8617676548988881E-3</v>
      </c>
      <c r="F780" s="64">
        <f t="shared" ca="1" si="99"/>
        <v>2.1485072268782761E-2</v>
      </c>
      <c r="G780">
        <f t="shared" ca="1" si="96"/>
        <v>7.5468570070140071E-3</v>
      </c>
      <c r="H780">
        <f t="shared" ca="1" si="100"/>
        <v>0.63236329165843352</v>
      </c>
      <c r="I780">
        <f t="shared" ca="1" si="101"/>
        <v>2.4328578180224136</v>
      </c>
      <c r="J780" s="60">
        <v>775</v>
      </c>
    </row>
    <row r="781" spans="2:10" x14ac:dyDescent="0.25">
      <c r="B781" s="53">
        <v>41309</v>
      </c>
      <c r="C781">
        <v>378.09345239999999</v>
      </c>
      <c r="D781" s="54">
        <f t="shared" si="97"/>
        <v>-2.1377051656550995E-2</v>
      </c>
      <c r="E781" s="54">
        <f t="shared" ca="1" si="98"/>
        <v>-7.377867710540437E-3</v>
      </c>
      <c r="F781" s="64">
        <f t="shared" ca="1" si="99"/>
        <v>-1.3999183946010558E-2</v>
      </c>
      <c r="G781">
        <f t="shared" ca="1" si="96"/>
        <v>1.0741726736194902E-2</v>
      </c>
      <c r="H781">
        <f t="shared" ca="1" si="100"/>
        <v>-0.79004655802135848</v>
      </c>
      <c r="I781">
        <f t="shared" ca="1" si="101"/>
        <v>2.5952468095143906</v>
      </c>
      <c r="J781" s="57">
        <v>776</v>
      </c>
    </row>
    <row r="782" spans="2:10" x14ac:dyDescent="0.25">
      <c r="B782" s="53">
        <v>41310</v>
      </c>
      <c r="C782">
        <v>381.44093120000002</v>
      </c>
      <c r="D782" s="54">
        <f t="shared" si="97"/>
        <v>8.8535751644241729E-3</v>
      </c>
      <c r="E782" s="54">
        <f t="shared" ca="1" si="98"/>
        <v>9.5927256592283523E-3</v>
      </c>
      <c r="F782" s="64">
        <f t="shared" ca="1" si="99"/>
        <v>-7.3915049480417945E-4</v>
      </c>
      <c r="G782">
        <f t="shared" ca="1" si="96"/>
        <v>1.3450157488902298E-2</v>
      </c>
      <c r="H782">
        <f t="shared" ca="1" si="100"/>
        <v>-0.16652588909455551</v>
      </c>
      <c r="I782">
        <f t="shared" ca="1" si="101"/>
        <v>2.7726398179194924</v>
      </c>
      <c r="J782" s="60">
        <v>777</v>
      </c>
    </row>
    <row r="783" spans="2:10" x14ac:dyDescent="0.25">
      <c r="B783" s="53">
        <v>41311</v>
      </c>
      <c r="C783">
        <v>383.64766090000001</v>
      </c>
      <c r="D783" s="54">
        <f t="shared" si="97"/>
        <v>5.7852462059005752E-3</v>
      </c>
      <c r="E783" s="54">
        <f t="shared" ca="1" si="98"/>
        <v>-9.2053217212926513E-3</v>
      </c>
      <c r="F783" s="64">
        <f t="shared" ca="1" si="99"/>
        <v>1.4990567927193226E-2</v>
      </c>
      <c r="G783">
        <f t="shared" ca="1" si="96"/>
        <v>4.2583427037082419E-3</v>
      </c>
      <c r="H783">
        <f t="shared" ca="1" si="100"/>
        <v>9.285014738086482E-2</v>
      </c>
      <c r="I783">
        <f t="shared" ca="1" si="101"/>
        <v>2.6146809234127821</v>
      </c>
      <c r="J783" s="57">
        <v>778</v>
      </c>
    </row>
    <row r="784" spans="2:10" x14ac:dyDescent="0.25">
      <c r="B784" s="53">
        <v>41312</v>
      </c>
      <c r="C784">
        <v>385.53059869999998</v>
      </c>
      <c r="D784" s="54">
        <f t="shared" si="97"/>
        <v>4.9079871765223089E-3</v>
      </c>
      <c r="E784" s="54">
        <f t="shared" ca="1" si="98"/>
        <v>2.4923059847602345E-3</v>
      </c>
      <c r="F784" s="64">
        <f t="shared" ca="1" si="99"/>
        <v>2.4156811917620744E-3</v>
      </c>
      <c r="G784">
        <f t="shared" ca="1" si="96"/>
        <v>2.0881940715860563E-3</v>
      </c>
      <c r="H784">
        <f t="shared" ca="1" si="100"/>
        <v>-0.71071538056773187</v>
      </c>
      <c r="I784">
        <f t="shared" ca="1" si="101"/>
        <v>2.7730085105550861</v>
      </c>
      <c r="J784" s="60">
        <v>779</v>
      </c>
    </row>
    <row r="785" spans="2:10" x14ac:dyDescent="0.25">
      <c r="B785" s="53">
        <v>41313</v>
      </c>
      <c r="C785">
        <v>391.21929849999998</v>
      </c>
      <c r="D785" s="54">
        <f t="shared" si="97"/>
        <v>1.4755507913463044E-2</v>
      </c>
      <c r="E785" s="54">
        <f t="shared" ca="1" si="98"/>
        <v>1.1609363280441392E-2</v>
      </c>
      <c r="F785" s="64">
        <f t="shared" ca="1" si="99"/>
        <v>3.1461446330216525E-3</v>
      </c>
      <c r="G785">
        <f t="shared" ca="1" si="96"/>
        <v>1.1915267875823265E-2</v>
      </c>
      <c r="H785">
        <f t="shared" ca="1" si="100"/>
        <v>0.7562573374323065</v>
      </c>
      <c r="I785">
        <f t="shared" ca="1" si="101"/>
        <v>2.7708010749974359</v>
      </c>
      <c r="J785" s="57">
        <v>780</v>
      </c>
    </row>
    <row r="786" spans="2:10" x14ac:dyDescent="0.25">
      <c r="B786" s="53">
        <v>41316</v>
      </c>
      <c r="C786">
        <v>389.7497831</v>
      </c>
      <c r="D786" s="54">
        <f t="shared" si="97"/>
        <v>-3.7562446577516615E-3</v>
      </c>
      <c r="E786" s="54">
        <f t="shared" ca="1" si="98"/>
        <v>-7.821569399495458E-3</v>
      </c>
      <c r="F786" s="64">
        <f t="shared" ca="1" si="99"/>
        <v>4.065324741743797E-3</v>
      </c>
      <c r="G786">
        <f t="shared" ca="1" si="96"/>
        <v>1.2951060789688468E-2</v>
      </c>
      <c r="H786">
        <f t="shared" ca="1" si="100"/>
        <v>-0.77415272702382154</v>
      </c>
      <c r="I786">
        <f t="shared" ca="1" si="101"/>
        <v>2.7667983478439502</v>
      </c>
      <c r="J786" s="60">
        <v>781</v>
      </c>
    </row>
    <row r="787" spans="2:10" x14ac:dyDescent="0.25">
      <c r="B787" s="53">
        <v>41317</v>
      </c>
      <c r="C787">
        <v>388.89300109999999</v>
      </c>
      <c r="D787" s="54">
        <f t="shared" si="97"/>
        <v>-2.1982873041912149E-3</v>
      </c>
      <c r="E787" s="54">
        <f t="shared" ca="1" si="98"/>
        <v>2.2894121490568548E-3</v>
      </c>
      <c r="F787" s="64">
        <f t="shared" ca="1" si="99"/>
        <v>-4.4876994532480697E-3</v>
      </c>
      <c r="G787">
        <f t="shared" ca="1" si="96"/>
        <v>1.3292750126062347E-2</v>
      </c>
      <c r="H787">
        <f t="shared" ca="1" si="100"/>
        <v>-0.32630698761349558</v>
      </c>
      <c r="I787">
        <f t="shared" ca="1" si="101"/>
        <v>2.751295831397965</v>
      </c>
      <c r="J787" s="57">
        <v>782</v>
      </c>
    </row>
    <row r="788" spans="2:10" x14ac:dyDescent="0.25">
      <c r="B788" s="53">
        <v>41318</v>
      </c>
      <c r="C788">
        <v>389.9689611</v>
      </c>
      <c r="D788" s="54">
        <f t="shared" si="97"/>
        <v>2.7667250296524023E-3</v>
      </c>
      <c r="E788" s="54">
        <f t="shared" ca="1" si="98"/>
        <v>-1.5588808380941515E-2</v>
      </c>
      <c r="F788" s="64">
        <f t="shared" ca="1" si="99"/>
        <v>1.8355533410593917E-2</v>
      </c>
      <c r="G788">
        <f t="shared" ca="1" si="96"/>
        <v>6.3130137476093764E-3</v>
      </c>
      <c r="H788">
        <f t="shared" ca="1" si="100"/>
        <v>-2.2020807090381358</v>
      </c>
      <c r="I788">
        <f t="shared" ca="1" si="101"/>
        <v>2.5289813747219219</v>
      </c>
      <c r="J788" s="60">
        <v>783</v>
      </c>
    </row>
    <row r="789" spans="2:10" x14ac:dyDescent="0.25">
      <c r="B789" s="53">
        <v>41319</v>
      </c>
      <c r="C789">
        <v>392.4397295</v>
      </c>
      <c r="D789" s="54">
        <f t="shared" si="97"/>
        <v>6.3358078371945513E-3</v>
      </c>
      <c r="E789" s="54">
        <f t="shared" ca="1" si="98"/>
        <v>-6.7141385692930045E-2</v>
      </c>
      <c r="F789" s="64">
        <f t="shared" ca="1" si="99"/>
        <v>7.3477193530124593E-2</v>
      </c>
      <c r="G789">
        <f t="shared" ca="1" si="96"/>
        <v>3.6798160663016666E-2</v>
      </c>
      <c r="H789">
        <f t="shared" ca="1" si="100"/>
        <v>-1.7977566629639383</v>
      </c>
      <c r="I789">
        <f t="shared" ca="1" si="101"/>
        <v>-1.4793582052846252</v>
      </c>
      <c r="J789" s="57">
        <v>784</v>
      </c>
    </row>
    <row r="790" spans="2:10" x14ac:dyDescent="0.25">
      <c r="B790" s="53">
        <v>41320</v>
      </c>
      <c r="C790">
        <v>394.96524629999999</v>
      </c>
      <c r="D790" s="54">
        <f t="shared" si="97"/>
        <v>6.4354259014949991E-3</v>
      </c>
      <c r="E790" s="54">
        <f t="shared" ca="1" si="98"/>
        <v>2.6383043836029383E-2</v>
      </c>
      <c r="F790" s="64">
        <f t="shared" ca="1" si="99"/>
        <v>-1.9947617934534385E-2</v>
      </c>
      <c r="G790">
        <f t="shared" ca="1" si="96"/>
        <v>3.1172848861930013E-2</v>
      </c>
      <c r="H790">
        <f t="shared" ca="1" si="100"/>
        <v>0.80648204902767306</v>
      </c>
      <c r="I790">
        <f t="shared" ca="1" si="101"/>
        <v>2.423360521208807</v>
      </c>
      <c r="J790" s="60">
        <v>785</v>
      </c>
    </row>
    <row r="791" spans="2:10" x14ac:dyDescent="0.25">
      <c r="B791" s="53">
        <v>41324</v>
      </c>
      <c r="C791">
        <v>401.91920709999999</v>
      </c>
      <c r="D791" s="54">
        <f t="shared" si="97"/>
        <v>1.7606513142976763E-2</v>
      </c>
      <c r="E791" s="54">
        <f t="shared" ca="1" si="98"/>
        <v>-3.1286301795082801E-3</v>
      </c>
      <c r="F791" s="64">
        <f t="shared" ca="1" si="99"/>
        <v>2.0735143322485043E-2</v>
      </c>
      <c r="G791">
        <f t="shared" ca="1" si="96"/>
        <v>1.5253427662066962E-2</v>
      </c>
      <c r="H791">
        <f t="shared" ca="1" si="100"/>
        <v>-0.39166798520924329</v>
      </c>
      <c r="I791">
        <f t="shared" ca="1" si="101"/>
        <v>2.4573335141400938</v>
      </c>
      <c r="J791" s="57">
        <v>786</v>
      </c>
    </row>
    <row r="792" spans="2:10" x14ac:dyDescent="0.25">
      <c r="B792" s="53">
        <v>41325</v>
      </c>
      <c r="C792">
        <v>394.75104320000003</v>
      </c>
      <c r="D792" s="54">
        <f t="shared" si="97"/>
        <v>-1.7834837881277179E-2</v>
      </c>
      <c r="E792" s="54">
        <f t="shared" ca="1" si="98"/>
        <v>4.4399157820881729E-3</v>
      </c>
      <c r="F792" s="64">
        <f t="shared" ca="1" si="99"/>
        <v>-2.227475366336535E-2</v>
      </c>
      <c r="G792">
        <f t="shared" ca="1" si="96"/>
        <v>7.4721954861918542E-3</v>
      </c>
      <c r="H792">
        <f t="shared" ca="1" si="100"/>
        <v>0.20734651549435976</v>
      </c>
      <c r="I792">
        <f t="shared" ca="1" si="101"/>
        <v>2.340557120104386</v>
      </c>
      <c r="J792" s="60">
        <v>787</v>
      </c>
    </row>
    <row r="793" spans="2:10" x14ac:dyDescent="0.25">
      <c r="B793" s="53">
        <v>41326</v>
      </c>
      <c r="C793">
        <v>396.2803121</v>
      </c>
      <c r="D793" s="54">
        <f t="shared" si="97"/>
        <v>3.8740085082566203E-3</v>
      </c>
      <c r="E793" s="54">
        <f t="shared" ca="1" si="98"/>
        <v>4.6662494260529619E-3</v>
      </c>
      <c r="F793" s="64">
        <f t="shared" ca="1" si="99"/>
        <v>-7.9224091779634158E-4</v>
      </c>
      <c r="G793">
        <f t="shared" ca="1" si="96"/>
        <v>3.9866750412318906E-3</v>
      </c>
      <c r="H793">
        <f t="shared" ca="1" si="100"/>
        <v>-0.81292828403587603</v>
      </c>
      <c r="I793">
        <f t="shared" ca="1" si="101"/>
        <v>2.7724960243503185</v>
      </c>
      <c r="J793" s="57">
        <v>788</v>
      </c>
    </row>
    <row r="794" spans="2:10" x14ac:dyDescent="0.25">
      <c r="B794" s="53">
        <v>41327</v>
      </c>
      <c r="C794">
        <v>398.36252990000003</v>
      </c>
      <c r="D794" s="54">
        <f t="shared" si="97"/>
        <v>5.2544063795795714E-3</v>
      </c>
      <c r="E794" s="54">
        <f t="shared" ca="1" si="98"/>
        <v>-1.7546566722771155E-2</v>
      </c>
      <c r="F794" s="64">
        <f t="shared" ca="1" si="99"/>
        <v>2.2800973102350727E-2</v>
      </c>
      <c r="G794">
        <f t="shared" ca="1" si="96"/>
        <v>1.3636776314064273E-2</v>
      </c>
      <c r="H794">
        <f t="shared" ca="1" si="100"/>
        <v>-0.69933321265026716</v>
      </c>
      <c r="I794">
        <f t="shared" ca="1" si="101"/>
        <v>2.3877141486983064</v>
      </c>
      <c r="J794" s="60">
        <v>789</v>
      </c>
    </row>
    <row r="795" spans="2:10" x14ac:dyDescent="0.25">
      <c r="B795" s="53">
        <v>41330</v>
      </c>
      <c r="C795">
        <v>393.90921409999999</v>
      </c>
      <c r="D795" s="54">
        <f t="shared" si="97"/>
        <v>-1.117905291222532E-2</v>
      </c>
      <c r="E795" s="54">
        <f t="shared" ca="1" si="98"/>
        <v>1.6394456925921744E-2</v>
      </c>
      <c r="F795" s="64">
        <f t="shared" ca="1" si="99"/>
        <v>-2.7573509838147062E-2</v>
      </c>
      <c r="G795">
        <f t="shared" ca="1" si="96"/>
        <v>1.2121392568926897E-2</v>
      </c>
      <c r="H795">
        <f t="shared" ca="1" si="100"/>
        <v>1.2089759060044436</v>
      </c>
      <c r="I795">
        <f t="shared" ca="1" si="101"/>
        <v>2.1193740737567461</v>
      </c>
      <c r="J795" s="57">
        <v>790</v>
      </c>
    </row>
    <row r="796" spans="2:10" x14ac:dyDescent="0.25">
      <c r="B796" s="53">
        <v>41331</v>
      </c>
      <c r="C796">
        <v>393.59039660000002</v>
      </c>
      <c r="D796" s="54">
        <f t="shared" si="97"/>
        <v>-8.0936796751098395E-4</v>
      </c>
      <c r="E796" s="54">
        <f t="shared" ca="1" si="98"/>
        <v>9.8086460600283008E-3</v>
      </c>
      <c r="F796" s="64">
        <f t="shared" ca="1" si="99"/>
        <v>-1.0618014027539285E-2</v>
      </c>
      <c r="G796">
        <f t="shared" ca="1" si="96"/>
        <v>2.039276182203089E-2</v>
      </c>
      <c r="H796">
        <f t="shared" ca="1" si="100"/>
        <v>0.36527566185522786</v>
      </c>
      <c r="I796">
        <f t="shared" ca="1" si="101"/>
        <v>2.6674648987713598</v>
      </c>
      <c r="J796" s="60">
        <v>791</v>
      </c>
    </row>
    <row r="797" spans="2:10" x14ac:dyDescent="0.25">
      <c r="B797" s="53">
        <v>41332</v>
      </c>
      <c r="C797">
        <v>398.39738130000001</v>
      </c>
      <c r="D797" s="54">
        <f t="shared" si="97"/>
        <v>1.2213165619701979E-2</v>
      </c>
      <c r="E797" s="54">
        <f t="shared" ca="1" si="98"/>
        <v>-2.549157399878231E-3</v>
      </c>
      <c r="F797" s="64">
        <f t="shared" ca="1" si="99"/>
        <v>1.476232301958021E-2</v>
      </c>
      <c r="G797">
        <f t="shared" ca="1" si="96"/>
        <v>7.7315408457926454E-3</v>
      </c>
      <c r="H797">
        <f t="shared" ca="1" si="100"/>
        <v>0.31967665422714175</v>
      </c>
      <c r="I797">
        <f t="shared" ca="1" si="101"/>
        <v>2.6198313420263313</v>
      </c>
      <c r="J797" s="57">
        <v>792</v>
      </c>
    </row>
    <row r="798" spans="2:10" x14ac:dyDescent="0.25">
      <c r="B798" s="53">
        <v>41333</v>
      </c>
      <c r="C798">
        <v>399.1047494</v>
      </c>
      <c r="D798" s="54">
        <f t="shared" si="97"/>
        <v>1.7755340100173407E-3</v>
      </c>
      <c r="E798" s="54">
        <f t="shared" ca="1" si="98"/>
        <v>-5.7709633915192012E-3</v>
      </c>
      <c r="F798" s="64">
        <f t="shared" ca="1" si="99"/>
        <v>7.546497401536542E-3</v>
      </c>
      <c r="G798">
        <f t="shared" ca="1" si="96"/>
        <v>5.7089444397274954E-3</v>
      </c>
      <c r="H798">
        <f t="shared" ca="1" si="100"/>
        <v>-0.94722773348690203</v>
      </c>
      <c r="I798">
        <f t="shared" ca="1" si="101"/>
        <v>2.7392636467368137</v>
      </c>
      <c r="J798" s="60">
        <v>793</v>
      </c>
    </row>
    <row r="799" spans="2:10" x14ac:dyDescent="0.25">
      <c r="B799" s="53">
        <v>41334</v>
      </c>
      <c r="C799">
        <v>401.59044089999998</v>
      </c>
      <c r="D799" s="54">
        <f t="shared" si="97"/>
        <v>6.2281681782461219E-3</v>
      </c>
      <c r="E799" s="54">
        <f t="shared" ca="1" si="98"/>
        <v>4.3857951197932878E-3</v>
      </c>
      <c r="F799" s="64">
        <f t="shared" ca="1" si="99"/>
        <v>1.8423730584528342E-3</v>
      </c>
      <c r="G799">
        <f t="shared" ca="1" si="96"/>
        <v>1.589616884295094E-2</v>
      </c>
      <c r="H799">
        <f t="shared" ca="1" si="100"/>
        <v>-6.916212198568035E-2</v>
      </c>
      <c r="I799">
        <f t="shared" ca="1" si="101"/>
        <v>2.7741371717772112</v>
      </c>
      <c r="J799" s="57">
        <v>794</v>
      </c>
    </row>
    <row r="800" spans="2:10" x14ac:dyDescent="0.25">
      <c r="B800" s="53">
        <v>41337</v>
      </c>
      <c r="C800">
        <v>409.21685780000001</v>
      </c>
      <c r="D800" s="54">
        <f t="shared" si="97"/>
        <v>1.8990533945251679E-2</v>
      </c>
      <c r="E800" s="54">
        <f t="shared" ca="1" si="98"/>
        <v>4.50167148116717E-3</v>
      </c>
      <c r="F800" s="64">
        <f t="shared" ca="1" si="99"/>
        <v>1.4488862464084509E-2</v>
      </c>
      <c r="G800">
        <f t="shared" ca="1" si="96"/>
        <v>3.9326772511321861E-3</v>
      </c>
      <c r="H800">
        <f t="shared" ca="1" si="100"/>
        <v>0.94188666566770318</v>
      </c>
      <c r="I800">
        <f t="shared" ca="1" si="101"/>
        <v>2.6258912283379723</v>
      </c>
      <c r="J800" s="60">
        <v>795</v>
      </c>
    </row>
    <row r="801" spans="2:10" x14ac:dyDescent="0.25">
      <c r="B801" s="53">
        <v>41338</v>
      </c>
      <c r="C801">
        <v>417.73493889999997</v>
      </c>
      <c r="D801" s="54">
        <f t="shared" si="97"/>
        <v>2.0815567437261037E-2</v>
      </c>
      <c r="E801" s="54">
        <f t="shared" ca="1" si="98"/>
        <v>-2.0037792957445927E-2</v>
      </c>
      <c r="F801" s="64">
        <f t="shared" ca="1" si="99"/>
        <v>4.0853360394706967E-2</v>
      </c>
      <c r="G801">
        <f t="shared" ca="1" si="96"/>
        <v>1.5779357315142416E-2</v>
      </c>
      <c r="H801">
        <f t="shared" ca="1" si="100"/>
        <v>-1.4471638383778496</v>
      </c>
      <c r="I801">
        <f t="shared" ca="1" si="101"/>
        <v>1.4859353707683622</v>
      </c>
      <c r="J801" s="57">
        <v>796</v>
      </c>
    </row>
    <row r="802" spans="2:10" x14ac:dyDescent="0.25">
      <c r="B802" s="53">
        <v>41339</v>
      </c>
      <c r="C802">
        <v>414.1384056</v>
      </c>
      <c r="D802" s="54">
        <f t="shared" si="97"/>
        <v>-8.6096061523379952E-3</v>
      </c>
      <c r="E802" s="54">
        <f t="shared" ca="1" si="98"/>
        <v>-9.6749092289963295E-3</v>
      </c>
      <c r="F802" s="64">
        <f t="shared" ca="1" si="99"/>
        <v>1.0653030766583343E-3</v>
      </c>
      <c r="G802">
        <f t="shared" ca="1" si="96"/>
        <v>2.4442319066829497E-2</v>
      </c>
      <c r="H802">
        <f t="shared" ca="1" si="100"/>
        <v>-0.74478600202797907</v>
      </c>
      <c r="I802">
        <f t="shared" ca="1" si="101"/>
        <v>2.7748192412982555</v>
      </c>
      <c r="J802" s="60">
        <v>797</v>
      </c>
    </row>
    <row r="803" spans="2:10" x14ac:dyDescent="0.25">
      <c r="B803" s="53">
        <v>41340</v>
      </c>
      <c r="C803">
        <v>414.74613369999997</v>
      </c>
      <c r="D803" s="54">
        <f t="shared" si="97"/>
        <v>1.4674516822932742E-3</v>
      </c>
      <c r="E803" s="54">
        <f t="shared" ca="1" si="98"/>
        <v>3.4434871580732024E-2</v>
      </c>
      <c r="F803" s="64">
        <f t="shared" ca="1" si="99"/>
        <v>-3.2967419898438752E-2</v>
      </c>
      <c r="G803">
        <f t="shared" ca="1" si="96"/>
        <v>1.3659174621594808E-2</v>
      </c>
      <c r="H803">
        <f t="shared" ca="1" si="100"/>
        <v>1.8365920643706284</v>
      </c>
      <c r="I803">
        <f t="shared" ca="1" si="101"/>
        <v>1.8476246687212807</v>
      </c>
      <c r="J803" s="57">
        <v>798</v>
      </c>
    </row>
    <row r="804" spans="2:10" x14ac:dyDescent="0.25">
      <c r="B804" s="53">
        <v>41341</v>
      </c>
      <c r="C804">
        <v>414.20816860000002</v>
      </c>
      <c r="D804" s="54">
        <f t="shared" si="97"/>
        <v>-1.2970949124967125E-3</v>
      </c>
      <c r="E804" s="54">
        <f t="shared" ca="1" si="98"/>
        <v>-6.5389677754000217E-2</v>
      </c>
      <c r="F804" s="64">
        <f t="shared" ca="1" si="99"/>
        <v>6.4092582841503501E-2</v>
      </c>
      <c r="G804">
        <f t="shared" ca="1" si="96"/>
        <v>3.0829672248599296E-2</v>
      </c>
      <c r="H804">
        <f t="shared" ca="1" si="100"/>
        <v>-1.9955760796828026</v>
      </c>
      <c r="I804">
        <f t="shared" ca="1" si="101"/>
        <v>-0.45016806605581866</v>
      </c>
      <c r="J804" s="60">
        <v>799</v>
      </c>
    </row>
    <row r="805" spans="2:10" x14ac:dyDescent="0.25">
      <c r="B805" s="53">
        <v>41344</v>
      </c>
      <c r="C805">
        <v>415.8520011</v>
      </c>
      <c r="D805" s="54">
        <f t="shared" si="97"/>
        <v>3.968614393955662E-3</v>
      </c>
      <c r="E805" s="54">
        <f t="shared" ca="1" si="98"/>
        <v>2.1744769239254582E-2</v>
      </c>
      <c r="F805" s="64">
        <f t="shared" ca="1" si="99"/>
        <v>-1.777615484529892E-2</v>
      </c>
      <c r="G805">
        <f t="shared" ca="1" si="96"/>
        <v>3.4056751148687989E-2</v>
      </c>
      <c r="H805">
        <f t="shared" ca="1" si="100"/>
        <v>0.61913508894145752</v>
      </c>
      <c r="I805">
        <f t="shared" ca="1" si="101"/>
        <v>2.4927330702100687</v>
      </c>
      <c r="J805" s="57">
        <v>800</v>
      </c>
    </row>
    <row r="806" spans="2:10" x14ac:dyDescent="0.25">
      <c r="B806" s="53">
        <v>41345</v>
      </c>
      <c r="C806">
        <v>412.2604422</v>
      </c>
      <c r="D806" s="54">
        <f t="shared" si="97"/>
        <v>-8.6366276716228485E-3</v>
      </c>
      <c r="E806" s="54">
        <f t="shared" ca="1" si="98"/>
        <v>7.5388826418719178E-3</v>
      </c>
      <c r="F806" s="64">
        <f t="shared" ca="1" si="99"/>
        <v>-1.6175510313494765E-2</v>
      </c>
      <c r="G806">
        <f t="shared" ca="1" si="96"/>
        <v>1.2962214757182873E-2</v>
      </c>
      <c r="H806">
        <f t="shared" ca="1" si="100"/>
        <v>0.62654150582396018</v>
      </c>
      <c r="I806">
        <f t="shared" ca="1" si="101"/>
        <v>2.5389916748334094</v>
      </c>
      <c r="J806" s="60">
        <v>801</v>
      </c>
    </row>
    <row r="807" spans="2:10" x14ac:dyDescent="0.25">
      <c r="B807" s="53">
        <v>41346</v>
      </c>
      <c r="C807">
        <v>411.11474900000002</v>
      </c>
      <c r="D807" s="54">
        <f t="shared" si="97"/>
        <v>-2.7790519844350528E-3</v>
      </c>
      <c r="E807" s="54">
        <f t="shared" ca="1" si="98"/>
        <v>1.1440451147689856E-2</v>
      </c>
      <c r="F807" s="64">
        <f t="shared" ca="1" si="99"/>
        <v>-1.421950313212491E-2</v>
      </c>
      <c r="G807">
        <f t="shared" ca="1" si="96"/>
        <v>1.0913640749166642E-2</v>
      </c>
      <c r="H807">
        <f t="shared" ca="1" si="100"/>
        <v>0.88496735411231187</v>
      </c>
      <c r="I807">
        <f t="shared" ca="1" si="101"/>
        <v>2.5899000026492929</v>
      </c>
      <c r="J807" s="57">
        <v>802</v>
      </c>
    </row>
    <row r="808" spans="2:10" x14ac:dyDescent="0.25">
      <c r="B808" s="53">
        <v>41347</v>
      </c>
      <c r="C808">
        <v>409.23678560000002</v>
      </c>
      <c r="D808" s="54">
        <f t="shared" si="97"/>
        <v>-4.5679786594082974E-3</v>
      </c>
      <c r="E808" s="54">
        <f t="shared" ca="1" si="98"/>
        <v>-1.6279639828623984E-2</v>
      </c>
      <c r="F808" s="64">
        <f t="shared" ca="1" si="99"/>
        <v>1.1711661169215687E-2</v>
      </c>
      <c r="G808">
        <f t="shared" ca="1" si="96"/>
        <v>1.5013227724963276E-2</v>
      </c>
      <c r="H808">
        <f t="shared" ca="1" si="100"/>
        <v>-0.82598557072788426</v>
      </c>
      <c r="I808">
        <f t="shared" ca="1" si="101"/>
        <v>2.6805894541735849</v>
      </c>
      <c r="J808" s="60">
        <v>803</v>
      </c>
    </row>
    <row r="809" spans="2:10" x14ac:dyDescent="0.25">
      <c r="B809" s="53">
        <v>41348</v>
      </c>
      <c r="C809">
        <v>405.63030350000002</v>
      </c>
      <c r="D809" s="54">
        <f t="shared" si="97"/>
        <v>-8.8127026379419236E-3</v>
      </c>
      <c r="E809" s="54">
        <f t="shared" ca="1" si="98"/>
        <v>1.3559430515114669E-2</v>
      </c>
      <c r="F809" s="64">
        <f t="shared" ca="1" si="99"/>
        <v>-2.2372133153056591E-2</v>
      </c>
      <c r="G809">
        <f t="shared" ca="1" si="96"/>
        <v>1.4240722107707193E-2</v>
      </c>
      <c r="H809">
        <f t="shared" ca="1" si="100"/>
        <v>1.0398094304062637</v>
      </c>
      <c r="I809">
        <f t="shared" ca="1" si="101"/>
        <v>2.3369014565097945</v>
      </c>
      <c r="J809" s="57">
        <v>804</v>
      </c>
    </row>
    <row r="810" spans="2:10" x14ac:dyDescent="0.25">
      <c r="B810" s="53">
        <v>41351</v>
      </c>
      <c r="C810">
        <v>402.38743909999999</v>
      </c>
      <c r="D810" s="54">
        <f t="shared" si="97"/>
        <v>-7.9946305096508415E-3</v>
      </c>
      <c r="E810" s="54">
        <f t="shared" ca="1" si="98"/>
        <v>1.5474971294192267E-2</v>
      </c>
      <c r="F810" s="64">
        <f t="shared" ca="1" si="99"/>
        <v>-2.346960180384311E-2</v>
      </c>
      <c r="G810">
        <f t="shared" ca="1" si="96"/>
        <v>1.7685490378188604E-2</v>
      </c>
      <c r="H810">
        <f t="shared" ca="1" si="100"/>
        <v>0.99102108553714063</v>
      </c>
      <c r="I810">
        <f t="shared" ca="1" si="101"/>
        <v>2.2946426872181043</v>
      </c>
      <c r="J810" s="60">
        <v>805</v>
      </c>
    </row>
    <row r="811" spans="2:10" x14ac:dyDescent="0.25">
      <c r="B811" s="53">
        <v>41352</v>
      </c>
      <c r="C811">
        <v>404.14586509999998</v>
      </c>
      <c r="D811" s="54">
        <f t="shared" si="97"/>
        <v>4.3699823332780221E-3</v>
      </c>
      <c r="E811" s="54">
        <f t="shared" ca="1" si="98"/>
        <v>3.095329155668825E-3</v>
      </c>
      <c r="F811" s="64">
        <f t="shared" ca="1" si="99"/>
        <v>1.274653177609197E-3</v>
      </c>
      <c r="G811">
        <f t="shared" ca="1" si="96"/>
        <v>1.7055211178912677E-2</v>
      </c>
      <c r="H811">
        <f t="shared" ca="1" si="100"/>
        <v>0.41356440068881306</v>
      </c>
      <c r="I811">
        <f t="shared" ca="1" si="101"/>
        <v>2.774731502935587</v>
      </c>
      <c r="J811" s="57">
        <v>806</v>
      </c>
    </row>
    <row r="812" spans="2:10" x14ac:dyDescent="0.25">
      <c r="B812" s="53">
        <v>41353</v>
      </c>
      <c r="C812">
        <v>405.8345276</v>
      </c>
      <c r="D812" s="54">
        <f t="shared" si="97"/>
        <v>4.1783490710270805E-3</v>
      </c>
      <c r="E812" s="54">
        <f t="shared" ca="1" si="98"/>
        <v>1.0364265423259054E-2</v>
      </c>
      <c r="F812" s="64">
        <f t="shared" ca="1" si="99"/>
        <v>-6.1859163522319733E-3</v>
      </c>
      <c r="G812">
        <f t="shared" ca="1" si="96"/>
        <v>7.9854633079284726E-3</v>
      </c>
      <c r="H812">
        <f t="shared" ca="1" si="100"/>
        <v>1.7475177402484432</v>
      </c>
      <c r="I812">
        <f t="shared" ca="1" si="101"/>
        <v>2.7341536265064463</v>
      </c>
      <c r="J812" s="60">
        <v>807</v>
      </c>
    </row>
    <row r="813" spans="2:10" x14ac:dyDescent="0.25">
      <c r="B813" s="53">
        <v>41354</v>
      </c>
      <c r="C813">
        <v>404.11595770000002</v>
      </c>
      <c r="D813" s="54">
        <f t="shared" si="97"/>
        <v>-4.2346566965683115E-3</v>
      </c>
      <c r="E813" s="54">
        <f t="shared" ca="1" si="98"/>
        <v>-3.9477124459729E-3</v>
      </c>
      <c r="F813" s="64">
        <f t="shared" ca="1" si="99"/>
        <v>-2.8694425059541152E-4</v>
      </c>
      <c r="G813">
        <f t="shared" ca="1" si="96"/>
        <v>2.9242913233496471E-2</v>
      </c>
      <c r="H813">
        <f t="shared" ca="1" si="100"/>
        <v>-0.20211498751216048</v>
      </c>
      <c r="I813">
        <f t="shared" ca="1" si="101"/>
        <v>2.7736800048318804</v>
      </c>
      <c r="J813" s="57">
        <v>808</v>
      </c>
    </row>
    <row r="814" spans="2:10" x14ac:dyDescent="0.25">
      <c r="B814" s="53">
        <v>41355</v>
      </c>
      <c r="C814">
        <v>403.64275140000001</v>
      </c>
      <c r="D814" s="54">
        <f t="shared" si="97"/>
        <v>-1.1709666272355056E-3</v>
      </c>
      <c r="E814" s="54">
        <f t="shared" ca="1" si="98"/>
        <v>-2.0528027633316061E-3</v>
      </c>
      <c r="F814" s="64">
        <f t="shared" ca="1" si="99"/>
        <v>8.8183613609610053E-4</v>
      </c>
      <c r="G814">
        <f t="shared" ca="1" si="96"/>
        <v>7.535608604785673E-3</v>
      </c>
      <c r="H814">
        <f t="shared" ca="1" si="100"/>
        <v>-0.52143234142690931</v>
      </c>
      <c r="I814">
        <f t="shared" ca="1" si="101"/>
        <v>2.7748379093831912</v>
      </c>
      <c r="J814" s="60">
        <v>809</v>
      </c>
    </row>
    <row r="815" spans="2:10" x14ac:dyDescent="0.25">
      <c r="B815" s="53">
        <v>41358</v>
      </c>
      <c r="C815">
        <v>403.3089799</v>
      </c>
      <c r="D815" s="54">
        <f t="shared" si="97"/>
        <v>-8.2689828776152691E-4</v>
      </c>
      <c r="E815" s="54">
        <f t="shared" ca="1" si="98"/>
        <v>-7.2934587380335224E-3</v>
      </c>
      <c r="F815" s="64">
        <f t="shared" ca="1" si="99"/>
        <v>6.4665604502719956E-3</v>
      </c>
      <c r="G815">
        <f t="shared" ca="1" si="96"/>
        <v>8.9283977336602101E-3</v>
      </c>
      <c r="H815">
        <f t="shared" ca="1" si="100"/>
        <v>-0.60386752285010248</v>
      </c>
      <c r="I815">
        <f t="shared" ca="1" si="101"/>
        <v>2.7499004887997178</v>
      </c>
      <c r="J815" s="57">
        <v>810</v>
      </c>
    </row>
    <row r="816" spans="2:10" x14ac:dyDescent="0.25">
      <c r="B816" s="53">
        <v>41359</v>
      </c>
      <c r="C816">
        <v>404.6938093</v>
      </c>
      <c r="D816" s="54">
        <f t="shared" si="97"/>
        <v>3.4336686486459286E-3</v>
      </c>
      <c r="E816" s="54">
        <f t="shared" ca="1" si="98"/>
        <v>-2.1888856495686709E-2</v>
      </c>
      <c r="F816" s="64">
        <f t="shared" ca="1" si="99"/>
        <v>2.5322525144332638E-2</v>
      </c>
      <c r="G816">
        <f t="shared" ca="1" si="96"/>
        <v>1.0332060388564164E-2</v>
      </c>
      <c r="H816">
        <f t="shared" ca="1" si="100"/>
        <v>-2.0676357741907498</v>
      </c>
      <c r="I816">
        <f t="shared" ca="1" si="101"/>
        <v>2.2933917966401185</v>
      </c>
      <c r="J816" s="60">
        <v>811</v>
      </c>
    </row>
    <row r="817" spans="2:10" x14ac:dyDescent="0.25">
      <c r="B817" s="53">
        <v>41360</v>
      </c>
      <c r="C817">
        <v>399.83201489999999</v>
      </c>
      <c r="D817" s="54">
        <f t="shared" si="97"/>
        <v>-1.201351315061989E-2</v>
      </c>
      <c r="E817" s="54">
        <f t="shared" ca="1" si="98"/>
        <v>-3.5185514825252583E-2</v>
      </c>
      <c r="F817" s="64">
        <f t="shared" ca="1" si="99"/>
        <v>2.3172001674632695E-2</v>
      </c>
      <c r="G817">
        <f t="shared" ca="1" si="96"/>
        <v>3.460699145666591E-2</v>
      </c>
      <c r="H817">
        <f t="shared" ca="1" si="100"/>
        <v>-1.0059874017194887</v>
      </c>
      <c r="I817">
        <f t="shared" ca="1" si="101"/>
        <v>2.374479888662151</v>
      </c>
      <c r="J817" s="57">
        <v>812</v>
      </c>
    </row>
    <row r="818" spans="2:10" x14ac:dyDescent="0.25">
      <c r="B818" s="53">
        <v>41361</v>
      </c>
      <c r="C818">
        <v>395.61283049999997</v>
      </c>
      <c r="D818" s="54">
        <f t="shared" si="97"/>
        <v>-1.0552392611820383E-2</v>
      </c>
      <c r="E818" s="54">
        <f t="shared" ca="1" si="98"/>
        <v>1.3755167155090399E-2</v>
      </c>
      <c r="F818" s="64">
        <f t="shared" ca="1" si="99"/>
        <v>-2.4307559766910784E-2</v>
      </c>
      <c r="G818">
        <f t="shared" ca="1" si="96"/>
        <v>1.8577850597146443E-2</v>
      </c>
      <c r="H818">
        <f t="shared" ca="1" si="100"/>
        <v>0.65740892708999643</v>
      </c>
      <c r="I818">
        <f t="shared" ca="1" si="101"/>
        <v>2.2610663354366545</v>
      </c>
      <c r="J818" s="60">
        <v>813</v>
      </c>
    </row>
    <row r="819" spans="2:10" x14ac:dyDescent="0.25">
      <c r="B819" s="53">
        <v>41365</v>
      </c>
      <c r="C819">
        <v>399.09977509999999</v>
      </c>
      <c r="D819" s="54">
        <f t="shared" si="97"/>
        <v>8.8140331434473414E-3</v>
      </c>
      <c r="E819" s="54">
        <f t="shared" ca="1" si="98"/>
        <v>2.9948859468522269E-3</v>
      </c>
      <c r="F819" s="64">
        <f t="shared" ca="1" si="99"/>
        <v>5.8191471965951145E-3</v>
      </c>
      <c r="G819">
        <f t="shared" ca="1" si="96"/>
        <v>1.1804354278214527E-2</v>
      </c>
      <c r="H819">
        <f t="shared" ca="1" si="100"/>
        <v>0.71080357050388809</v>
      </c>
      <c r="I819">
        <f t="shared" ca="1" si="101"/>
        <v>2.7553737335307535</v>
      </c>
      <c r="J819" s="57">
        <v>814</v>
      </c>
    </row>
    <row r="820" spans="2:10" x14ac:dyDescent="0.25">
      <c r="B820" s="53">
        <v>41366</v>
      </c>
      <c r="C820">
        <v>405.00264759999999</v>
      </c>
      <c r="D820" s="54">
        <f t="shared" si="97"/>
        <v>1.4790468119208923E-2</v>
      </c>
      <c r="E820" s="54">
        <f t="shared" ca="1" si="98"/>
        <v>5.4963990936672692E-3</v>
      </c>
      <c r="F820" s="64">
        <f t="shared" ca="1" si="99"/>
        <v>9.2940690255416541E-3</v>
      </c>
      <c r="G820">
        <f t="shared" ca="1" si="96"/>
        <v>1.2207162896160865E-2</v>
      </c>
      <c r="H820">
        <f t="shared" ca="1" si="100"/>
        <v>0.83848623580108428</v>
      </c>
      <c r="I820">
        <f t="shared" ca="1" si="101"/>
        <v>2.7180590047473019</v>
      </c>
      <c r="J820" s="60">
        <v>815</v>
      </c>
    </row>
    <row r="821" spans="2:10" x14ac:dyDescent="0.25">
      <c r="B821" s="53">
        <v>41367</v>
      </c>
      <c r="C821">
        <v>401.59541530000001</v>
      </c>
      <c r="D821" s="54">
        <f t="shared" si="97"/>
        <v>-8.4128642619766807E-3</v>
      </c>
      <c r="E821" s="54">
        <f t="shared" ca="1" si="98"/>
        <v>-1.4101297652236978E-2</v>
      </c>
      <c r="F821" s="64">
        <f t="shared" ca="1" si="99"/>
        <v>5.6884333902602977E-3</v>
      </c>
      <c r="G821">
        <f t="shared" ca="1" si="96"/>
        <v>1.4304913238168473E-2</v>
      </c>
      <c r="H821">
        <f t="shared" ca="1" si="100"/>
        <v>-1.2625110728227065</v>
      </c>
      <c r="I821">
        <f t="shared" ca="1" si="101"/>
        <v>2.7563966201746846</v>
      </c>
      <c r="J821" s="57">
        <v>816</v>
      </c>
    </row>
    <row r="822" spans="2:10" x14ac:dyDescent="0.25">
      <c r="B822" s="53">
        <v>41368</v>
      </c>
      <c r="C822">
        <v>396.05118590000001</v>
      </c>
      <c r="D822" s="54">
        <f t="shared" si="97"/>
        <v>-1.380550969651472E-2</v>
      </c>
      <c r="E822" s="54">
        <f t="shared" ca="1" si="98"/>
        <v>5.9773740480693824E-3</v>
      </c>
      <c r="F822" s="64">
        <f t="shared" ca="1" si="99"/>
        <v>-1.9782883744584104E-2</v>
      </c>
      <c r="G822">
        <f t="shared" ca="1" si="96"/>
        <v>2.134766813465178E-2</v>
      </c>
      <c r="H822">
        <f t="shared" ca="1" si="100"/>
        <v>-3.1159207946803592E-2</v>
      </c>
      <c r="I822">
        <f t="shared" ca="1" si="101"/>
        <v>2.4288904111073859</v>
      </c>
      <c r="J822" s="60">
        <v>817</v>
      </c>
    </row>
    <row r="823" spans="2:10" x14ac:dyDescent="0.25">
      <c r="B823" s="53">
        <v>41369</v>
      </c>
      <c r="C823">
        <v>390.06362680000001</v>
      </c>
      <c r="D823" s="54">
        <f t="shared" si="97"/>
        <v>-1.5118144606469663E-2</v>
      </c>
      <c r="E823" s="54">
        <f t="shared" ca="1" si="98"/>
        <v>-3.6624797977317675E-3</v>
      </c>
      <c r="F823" s="64">
        <f t="shared" ca="1" si="99"/>
        <v>-1.1455664808737895E-2</v>
      </c>
      <c r="G823">
        <f t="shared" ca="1" si="96"/>
        <v>4.9942295422288696E-3</v>
      </c>
      <c r="H823">
        <f t="shared" ca="1" si="100"/>
        <v>2.3255630186087801E-2</v>
      </c>
      <c r="I823">
        <f t="shared" ca="1" si="101"/>
        <v>2.6512948372092722</v>
      </c>
      <c r="J823" s="57">
        <v>818</v>
      </c>
    </row>
    <row r="824" spans="2:10" x14ac:dyDescent="0.25">
      <c r="B824" s="53">
        <v>41372</v>
      </c>
      <c r="C824">
        <v>385.97893319999997</v>
      </c>
      <c r="D824" s="54">
        <f t="shared" si="97"/>
        <v>-1.0471864894222525E-2</v>
      </c>
      <c r="E824" s="54">
        <f t="shared" ca="1" si="98"/>
        <v>-5.993017082138309E-3</v>
      </c>
      <c r="F824" s="64">
        <f t="shared" ca="1" si="99"/>
        <v>-4.4788478120842161E-3</v>
      </c>
      <c r="G824">
        <f t="shared" ca="1" si="96"/>
        <v>1.5693054466455318E-3</v>
      </c>
      <c r="H824">
        <f t="shared" ca="1" si="100"/>
        <v>0.13227148559692711</v>
      </c>
      <c r="I824">
        <f t="shared" ca="1" si="101"/>
        <v>2.7513729746902071</v>
      </c>
      <c r="J824" s="60">
        <v>819</v>
      </c>
    </row>
    <row r="825" spans="2:10" x14ac:dyDescent="0.25">
      <c r="B825" s="53">
        <v>41373</v>
      </c>
      <c r="C825">
        <v>387.37368029999999</v>
      </c>
      <c r="D825" s="54">
        <f t="shared" si="97"/>
        <v>3.613531672406876E-3</v>
      </c>
      <c r="E825" s="54">
        <f t="shared" ca="1" si="98"/>
        <v>-5.912220136243841E-3</v>
      </c>
      <c r="F825" s="64">
        <f t="shared" ca="1" si="99"/>
        <v>9.5257518086507165E-3</v>
      </c>
      <c r="G825">
        <f t="shared" ca="1" si="96"/>
        <v>2.4535076685812591E-3</v>
      </c>
      <c r="H825">
        <f t="shared" ca="1" si="100"/>
        <v>0.35778240125260674</v>
      </c>
      <c r="I825">
        <f t="shared" ca="1" si="101"/>
        <v>2.7148773594619091</v>
      </c>
      <c r="J825" s="57">
        <v>820</v>
      </c>
    </row>
    <row r="826" spans="2:10" x14ac:dyDescent="0.25">
      <c r="B826" s="53">
        <v>41374</v>
      </c>
      <c r="C826">
        <v>393.61529869999998</v>
      </c>
      <c r="D826" s="54">
        <f t="shared" si="97"/>
        <v>1.6112654827674912E-2</v>
      </c>
      <c r="E826" s="54">
        <f t="shared" ca="1" si="98"/>
        <v>-7.2736491671470237E-3</v>
      </c>
      <c r="F826" s="64">
        <f t="shared" ca="1" si="99"/>
        <v>2.3386303994821937E-2</v>
      </c>
      <c r="G826">
        <f t="shared" ca="1" si="96"/>
        <v>6.0822761530481507E-3</v>
      </c>
      <c r="H826">
        <f t="shared" ca="1" si="100"/>
        <v>-0.422635723473548</v>
      </c>
      <c r="I826">
        <f t="shared" ca="1" si="101"/>
        <v>2.3667345770008352</v>
      </c>
      <c r="J826" s="60">
        <v>821</v>
      </c>
    </row>
    <row r="827" spans="2:10" x14ac:dyDescent="0.25">
      <c r="B827" s="53">
        <v>41375</v>
      </c>
      <c r="C827">
        <v>393.71991359999998</v>
      </c>
      <c r="D827" s="54">
        <f t="shared" si="97"/>
        <v>2.6577955771921169E-4</v>
      </c>
      <c r="E827" s="54">
        <f t="shared" ca="1" si="98"/>
        <v>1.2069476917925136E-3</v>
      </c>
      <c r="F827" s="64">
        <f t="shared" ca="1" si="99"/>
        <v>-9.4116813407330187E-4</v>
      </c>
      <c r="G827">
        <f t="shared" ca="1" si="96"/>
        <v>7.2596807095305325E-3</v>
      </c>
      <c r="H827">
        <f t="shared" ca="1" si="100"/>
        <v>-5.7335776759166825E-2</v>
      </c>
      <c r="I827">
        <f t="shared" ca="1" si="101"/>
        <v>2.7720683544917137</v>
      </c>
      <c r="J827" s="57">
        <v>822</v>
      </c>
    </row>
    <row r="828" spans="2:10" x14ac:dyDescent="0.25">
      <c r="B828" s="53">
        <v>41376</v>
      </c>
      <c r="C828">
        <v>393.55054050000001</v>
      </c>
      <c r="D828" s="54">
        <f t="shared" si="97"/>
        <v>-4.3018677529236605E-4</v>
      </c>
      <c r="E828" s="54">
        <f t="shared" ca="1" si="98"/>
        <v>9.4229416230305271E-3</v>
      </c>
      <c r="F828" s="64">
        <f t="shared" ca="1" si="99"/>
        <v>-9.853128398322893E-3</v>
      </c>
      <c r="G828">
        <f t="shared" ca="1" si="96"/>
        <v>2.1607546981374948E-3</v>
      </c>
      <c r="H828">
        <f t="shared" ca="1" si="100"/>
        <v>1.0118784196286863</v>
      </c>
      <c r="I828">
        <f t="shared" ca="1" si="101"/>
        <v>2.6812400392258549</v>
      </c>
      <c r="J828" s="60">
        <v>823</v>
      </c>
    </row>
    <row r="829" spans="2:10" x14ac:dyDescent="0.25">
      <c r="B829" s="53">
        <v>41379</v>
      </c>
      <c r="C829">
        <v>389.50570349999998</v>
      </c>
      <c r="D829" s="54">
        <f t="shared" si="97"/>
        <v>-1.0277808270473025E-2</v>
      </c>
      <c r="E829" s="54">
        <f t="shared" ca="1" si="98"/>
        <v>3.8602262708343836E-3</v>
      </c>
      <c r="F829" s="64">
        <f t="shared" ca="1" si="99"/>
        <v>-1.4138034541307409E-2</v>
      </c>
      <c r="G829">
        <f t="shared" ca="1" si="96"/>
        <v>1.6927100622290966E-2</v>
      </c>
      <c r="H829">
        <f t="shared" ca="1" si="100"/>
        <v>0.22099867221286046</v>
      </c>
      <c r="I829">
        <f t="shared" ca="1" si="101"/>
        <v>2.5918862583542879</v>
      </c>
      <c r="J829" s="57">
        <v>824</v>
      </c>
    </row>
    <row r="830" spans="2:10" x14ac:dyDescent="0.25">
      <c r="B830" s="53">
        <v>41380</v>
      </c>
      <c r="C830">
        <v>395.20435209999999</v>
      </c>
      <c r="D830" s="54">
        <f t="shared" si="97"/>
        <v>1.4630462529286205E-2</v>
      </c>
      <c r="E830" s="54">
        <f t="shared" ca="1" si="98"/>
        <v>-2.9694482230190763E-3</v>
      </c>
      <c r="F830" s="64">
        <f t="shared" ca="1" si="99"/>
        <v>1.759991075230528E-2</v>
      </c>
      <c r="G830">
        <f t="shared" ca="1" si="96"/>
        <v>5.4311161307225957E-3</v>
      </c>
      <c r="H830">
        <f t="shared" ca="1" si="100"/>
        <v>-0.51114090310940408</v>
      </c>
      <c r="I830">
        <f t="shared" ca="1" si="101"/>
        <v>2.5498185783952851</v>
      </c>
      <c r="J830" s="60">
        <v>825</v>
      </c>
    </row>
    <row r="831" spans="2:10" x14ac:dyDescent="0.25">
      <c r="B831" s="53">
        <v>41381</v>
      </c>
      <c r="C831">
        <v>389.81954660000002</v>
      </c>
      <c r="D831" s="54">
        <f t="shared" si="97"/>
        <v>-1.3625369941871069E-2</v>
      </c>
      <c r="E831" s="54">
        <f t="shared" ca="1" si="98"/>
        <v>-5.6466919387326859E-3</v>
      </c>
      <c r="F831" s="64">
        <f t="shared" ca="1" si="99"/>
        <v>-7.9786780031383831E-3</v>
      </c>
      <c r="G831">
        <f t="shared" ca="1" si="96"/>
        <v>8.6798152713894634E-3</v>
      </c>
      <c r="H831">
        <f t="shared" ca="1" si="100"/>
        <v>-0.11877839539385064</v>
      </c>
      <c r="I831">
        <f t="shared" ca="1" si="101"/>
        <v>2.7110009863516251</v>
      </c>
      <c r="J831" s="57">
        <v>826</v>
      </c>
    </row>
    <row r="832" spans="2:10" x14ac:dyDescent="0.25">
      <c r="B832" s="53">
        <v>41382</v>
      </c>
      <c r="C832">
        <v>381.52561780000002</v>
      </c>
      <c r="D832" s="54">
        <f t="shared" si="97"/>
        <v>-2.1276328681666994E-2</v>
      </c>
      <c r="E832" s="54">
        <f t="shared" ca="1" si="98"/>
        <v>5.7258273472116789E-3</v>
      </c>
      <c r="F832" s="64">
        <f t="shared" ca="1" si="99"/>
        <v>-2.7002156028878673E-2</v>
      </c>
      <c r="G832">
        <f t="shared" ca="1" si="96"/>
        <v>2.9763405788600264E-3</v>
      </c>
      <c r="H832">
        <f t="shared" ca="1" si="100"/>
        <v>-0.28382893838730344</v>
      </c>
      <c r="I832">
        <f t="shared" ca="1" si="101"/>
        <v>2.1454058649413712</v>
      </c>
      <c r="J832" s="60">
        <v>827</v>
      </c>
    </row>
    <row r="833" spans="2:10" x14ac:dyDescent="0.25">
      <c r="B833" s="53">
        <v>41383</v>
      </c>
      <c r="C833">
        <v>398.4422118</v>
      </c>
      <c r="D833" s="54">
        <f t="shared" si="97"/>
        <v>4.4339339773686814E-2</v>
      </c>
      <c r="E833" s="54">
        <f t="shared" ca="1" si="98"/>
        <v>-1.2713341637504351E-2</v>
      </c>
      <c r="F833" s="64">
        <f t="shared" ca="1" si="99"/>
        <v>5.7052681411191165E-2</v>
      </c>
      <c r="G833">
        <f t="shared" ca="1" si="96"/>
        <v>4.8909734677140123E-3</v>
      </c>
      <c r="H833">
        <f t="shared" ca="1" si="100"/>
        <v>-1.3481055419586738</v>
      </c>
      <c r="I833">
        <f t="shared" ca="1" si="101"/>
        <v>0.2284707434513297</v>
      </c>
      <c r="J833" s="57">
        <v>828</v>
      </c>
    </row>
    <row r="834" spans="2:10" x14ac:dyDescent="0.25">
      <c r="B834" s="53">
        <v>41386</v>
      </c>
      <c r="C834">
        <v>398.56177960000002</v>
      </c>
      <c r="D834" s="54">
        <f t="shared" si="97"/>
        <v>3.0008818458232214E-4</v>
      </c>
      <c r="E834" s="54">
        <f t="shared" ca="1" si="98"/>
        <v>4.089709812265108E-3</v>
      </c>
      <c r="F834" s="64">
        <f t="shared" ca="1" si="99"/>
        <v>-3.7896216276827859E-3</v>
      </c>
      <c r="G834">
        <f t="shared" ca="1" si="96"/>
        <v>2.2552151526816191E-2</v>
      </c>
      <c r="H834">
        <f t="shared" ca="1" si="100"/>
        <v>0.60502302925016282</v>
      </c>
      <c r="I834">
        <f t="shared" ca="1" si="101"/>
        <v>2.7569909817782103</v>
      </c>
      <c r="J834" s="60">
        <v>829</v>
      </c>
    </row>
    <row r="835" spans="2:10" x14ac:dyDescent="0.25">
      <c r="B835" s="53">
        <v>41387</v>
      </c>
      <c r="C835">
        <v>402.44224919999999</v>
      </c>
      <c r="D835" s="54">
        <f t="shared" si="97"/>
        <v>9.7361809350972935E-3</v>
      </c>
      <c r="E835" s="54">
        <f t="shared" ca="1" si="98"/>
        <v>3.8499888011757896E-2</v>
      </c>
      <c r="F835" s="64">
        <f t="shared" ca="1" si="99"/>
        <v>-2.8763707076660601E-2</v>
      </c>
      <c r="G835">
        <f t="shared" ca="1" si="96"/>
        <v>1.1375498222663061E-2</v>
      </c>
      <c r="H835">
        <f t="shared" ca="1" si="100"/>
        <v>1.633879847602717</v>
      </c>
      <c r="I835">
        <f t="shared" ca="1" si="101"/>
        <v>2.0634530038155865</v>
      </c>
      <c r="J835" s="57">
        <v>830</v>
      </c>
    </row>
    <row r="836" spans="2:10" x14ac:dyDescent="0.25">
      <c r="B836" s="53">
        <v>41388</v>
      </c>
      <c r="C836">
        <v>405.20687170000002</v>
      </c>
      <c r="D836" s="54">
        <f t="shared" si="97"/>
        <v>6.8696129829701538E-3</v>
      </c>
      <c r="E836" s="54">
        <f t="shared" ca="1" si="98"/>
        <v>-7.1929077759953927E-2</v>
      </c>
      <c r="F836" s="64">
        <f t="shared" ca="1" si="99"/>
        <v>7.8798690742924088E-2</v>
      </c>
      <c r="G836">
        <f t="shared" ca="1" si="96"/>
        <v>2.7413462754987451E-2</v>
      </c>
      <c r="H836">
        <f t="shared" ca="1" si="100"/>
        <v>-2.62878213548704</v>
      </c>
      <c r="I836">
        <f t="shared" ca="1" si="101"/>
        <v>-2.126178474920625</v>
      </c>
      <c r="J836" s="60">
        <v>831</v>
      </c>
    </row>
    <row r="837" spans="2:10" x14ac:dyDescent="0.25">
      <c r="B837" s="53">
        <v>41389</v>
      </c>
      <c r="C837">
        <v>403.03999759999999</v>
      </c>
      <c r="D837" s="54">
        <f t="shared" si="97"/>
        <v>-5.3475749088586584E-3</v>
      </c>
      <c r="E837" s="54">
        <f t="shared" ca="1" si="98"/>
        <v>-0.10340220239473553</v>
      </c>
      <c r="F837" s="64">
        <f t="shared" ca="1" si="99"/>
        <v>9.8054627485876872E-2</v>
      </c>
      <c r="G837">
        <f t="shared" ref="G837:G900" ca="1" si="102">SQRT(A_0+A_1*POWER(H836,2)+B_1*POWER(G836,2))</f>
        <v>4.4332258050844668E-2</v>
      </c>
      <c r="H837">
        <f t="shared" ca="1" si="100"/>
        <v>-2.4310747834310478</v>
      </c>
      <c r="I837">
        <f t="shared" ca="1" si="101"/>
        <v>-4.8490456929856718</v>
      </c>
      <c r="J837" s="57">
        <v>832</v>
      </c>
    </row>
    <row r="838" spans="2:10" x14ac:dyDescent="0.25">
      <c r="B838" s="53">
        <v>41390</v>
      </c>
      <c r="C838">
        <v>399.21433819999999</v>
      </c>
      <c r="D838" s="54">
        <f t="shared" si="97"/>
        <v>-9.4920092863756168E-3</v>
      </c>
      <c r="E838" s="54">
        <f t="shared" ca="1" si="98"/>
        <v>-1.1241331416476368E-2</v>
      </c>
      <c r="F838" s="64">
        <f t="shared" ca="1" si="99"/>
        <v>1.7493221301007507E-3</v>
      </c>
      <c r="G838">
        <f t="shared" ca="1" si="102"/>
        <v>4.182872491810069E-2</v>
      </c>
      <c r="H838">
        <f t="shared" ca="1" si="100"/>
        <v>-0.34250434516336192</v>
      </c>
      <c r="I838">
        <f t="shared" ca="1" si="101"/>
        <v>2.7742702668954156</v>
      </c>
      <c r="J838" s="60">
        <v>833</v>
      </c>
    </row>
    <row r="839" spans="2:10" x14ac:dyDescent="0.25">
      <c r="B839" s="53">
        <v>41393</v>
      </c>
      <c r="C839">
        <v>408.00140160000001</v>
      </c>
      <c r="D839" s="54">
        <f t="shared" ref="D839:D902" si="103">(C839-C838)/C838</f>
        <v>2.2010891291178634E-2</v>
      </c>
      <c r="E839" s="54">
        <f t="shared" ca="1" si="98"/>
        <v>-1.1840074546074488E-2</v>
      </c>
      <c r="F839" s="64">
        <f t="shared" ca="1" si="99"/>
        <v>3.3850965837253125E-2</v>
      </c>
      <c r="G839">
        <f t="shared" ca="1" si="102"/>
        <v>1.1158694129756121E-2</v>
      </c>
      <c r="H839">
        <f t="shared" ca="1" si="100"/>
        <v>-0.84581653203969831</v>
      </c>
      <c r="I839">
        <f t="shared" ca="1" si="101"/>
        <v>1.8982394884447595</v>
      </c>
      <c r="J839" s="57">
        <v>834</v>
      </c>
    </row>
    <row r="840" spans="2:10" x14ac:dyDescent="0.25">
      <c r="B840" s="53">
        <v>41394</v>
      </c>
      <c r="C840">
        <v>410.74612669999999</v>
      </c>
      <c r="D840" s="54">
        <f t="shared" si="103"/>
        <v>6.7272442918979974E-3</v>
      </c>
      <c r="E840" s="54">
        <f t="shared" ref="E840:E903" ca="1" si="104">((E_1*D839)+(E_2*D838)+(G840*H840))</f>
        <v>-1.6503672339262331E-2</v>
      </c>
      <c r="F840" s="64">
        <f t="shared" ca="1" si="99"/>
        <v>2.323091663116033E-2</v>
      </c>
      <c r="G840">
        <f t="shared" ca="1" si="102"/>
        <v>1.4380499801488172E-2</v>
      </c>
      <c r="H840">
        <f t="shared" ca="1" si="100"/>
        <v>-0.85122216558717911</v>
      </c>
      <c r="I840">
        <f t="shared" ca="1" si="101"/>
        <v>2.3723579808740771</v>
      </c>
      <c r="J840" s="60">
        <v>835</v>
      </c>
    </row>
    <row r="841" spans="2:10" x14ac:dyDescent="0.25">
      <c r="B841" s="53">
        <v>41395</v>
      </c>
      <c r="C841">
        <v>408.68386700000002</v>
      </c>
      <c r="D841" s="54">
        <f t="shared" si="103"/>
        <v>-5.0207648129721736E-3</v>
      </c>
      <c r="E841" s="54">
        <f t="shared" ca="1" si="104"/>
        <v>8.7891650725431085E-3</v>
      </c>
      <c r="F841" s="64">
        <f t="shared" ref="F841:F904" ca="1" si="105">D841-E841</f>
        <v>-1.3809929885515281E-2</v>
      </c>
      <c r="G841">
        <f t="shared" ca="1" si="102"/>
        <v>1.461593303808233E-2</v>
      </c>
      <c r="H841">
        <f t="shared" ref="H841:H904" ca="1" si="106">_xlfn.NORM.INV(RAND(),0,1)</f>
        <v>-7.5019704856965727E-2</v>
      </c>
      <c r="I841">
        <f t="shared" ref="I841:I904" ca="1" si="107">LN(_xlfn.NORM.DIST(F841,AVERAGE($F$8:$F$1413),_xlfn.STDEV.S($F$8:$F$1413),FALSE))</f>
        <v>2.599777092571081</v>
      </c>
      <c r="J841" s="57">
        <v>836</v>
      </c>
    </row>
    <row r="842" spans="2:10" x14ac:dyDescent="0.25">
      <c r="B842" s="53">
        <v>41396</v>
      </c>
      <c r="C842">
        <v>413.25672040000001</v>
      </c>
      <c r="D842" s="54">
        <f t="shared" si="103"/>
        <v>1.1189219270062317E-2</v>
      </c>
      <c r="E842" s="54">
        <f t="shared" ca="1" si="104"/>
        <v>2.9526691177422185E-4</v>
      </c>
      <c r="F842" s="64">
        <f t="shared" ca="1" si="105"/>
        <v>1.0893952358288096E-2</v>
      </c>
      <c r="G842">
        <f t="shared" ca="1" si="102"/>
        <v>3.6977955366934304E-3</v>
      </c>
      <c r="H842">
        <f t="shared" ca="1" si="106"/>
        <v>-0.73719238483833682</v>
      </c>
      <c r="I842">
        <f t="shared" ca="1" si="107"/>
        <v>2.6943197758862261</v>
      </c>
      <c r="J842" s="60">
        <v>837</v>
      </c>
    </row>
    <row r="843" spans="2:10" x14ac:dyDescent="0.25">
      <c r="B843" s="53">
        <v>41397</v>
      </c>
      <c r="C843">
        <v>421.2816674</v>
      </c>
      <c r="D843" s="54">
        <f t="shared" si="103"/>
        <v>1.9418793703421155E-2</v>
      </c>
      <c r="E843" s="54">
        <f t="shared" ca="1" si="104"/>
        <v>-1.5905650182010653E-2</v>
      </c>
      <c r="F843" s="64">
        <f t="shared" ca="1" si="105"/>
        <v>3.5324443885431808E-2</v>
      </c>
      <c r="G843">
        <f t="shared" ca="1" si="102"/>
        <v>1.2374887056923505E-2</v>
      </c>
      <c r="H843">
        <f t="shared" ca="1" si="106"/>
        <v>-1.1031144698950337</v>
      </c>
      <c r="I843">
        <f t="shared" ca="1" si="107"/>
        <v>1.8180619863997793</v>
      </c>
      <c r="J843" s="57">
        <v>838</v>
      </c>
    </row>
    <row r="844" spans="2:10" x14ac:dyDescent="0.25">
      <c r="B844" s="53">
        <v>41400</v>
      </c>
      <c r="C844">
        <v>429.16711780000003</v>
      </c>
      <c r="D844" s="54">
        <f t="shared" si="103"/>
        <v>1.8717762984243318E-2</v>
      </c>
      <c r="E844" s="54">
        <f t="shared" ca="1" si="104"/>
        <v>-2.3418416344792668E-3</v>
      </c>
      <c r="F844" s="64">
        <f t="shared" ca="1" si="105"/>
        <v>2.1059604618722583E-2</v>
      </c>
      <c r="G844">
        <f t="shared" ca="1" si="102"/>
        <v>1.8654608508193043E-2</v>
      </c>
      <c r="H844">
        <f t="shared" ca="1" si="106"/>
        <v>-0.39494148379987071</v>
      </c>
      <c r="I844">
        <f t="shared" ca="1" si="107"/>
        <v>2.4468554814395631</v>
      </c>
      <c r="J844" s="60">
        <v>839</v>
      </c>
    </row>
    <row r="845" spans="2:10" x14ac:dyDescent="0.25">
      <c r="B845" s="53">
        <v>41401</v>
      </c>
      <c r="C845">
        <v>427.01516679999997</v>
      </c>
      <c r="D845" s="54">
        <f t="shared" si="103"/>
        <v>-5.0142494863805089E-3</v>
      </c>
      <c r="E845" s="54">
        <f t="shared" ca="1" si="104"/>
        <v>1.1658365997813926E-2</v>
      </c>
      <c r="F845" s="64">
        <f t="shared" ca="1" si="105"/>
        <v>-1.6672615484194436E-2</v>
      </c>
      <c r="G845">
        <f t="shared" ca="1" si="102"/>
        <v>7.9080473085855005E-3</v>
      </c>
      <c r="H845">
        <f t="shared" ca="1" si="106"/>
        <v>0.37135264014650515</v>
      </c>
      <c r="I845">
        <f t="shared" ca="1" si="107"/>
        <v>2.5250685223329636</v>
      </c>
      <c r="J845" s="57">
        <v>840</v>
      </c>
    </row>
    <row r="846" spans="2:10" x14ac:dyDescent="0.25">
      <c r="B846" s="53">
        <v>41402</v>
      </c>
      <c r="C846">
        <v>435.18458429999998</v>
      </c>
      <c r="D846" s="54">
        <f t="shared" si="103"/>
        <v>1.9131445754539903E-2</v>
      </c>
      <c r="E846" s="54">
        <f t="shared" ca="1" si="104"/>
        <v>7.3323740306506366E-3</v>
      </c>
      <c r="F846" s="64">
        <f t="shared" ca="1" si="105"/>
        <v>1.1799071723889266E-2</v>
      </c>
      <c r="G846">
        <f t="shared" ca="1" si="102"/>
        <v>6.5333257685410004E-3</v>
      </c>
      <c r="H846">
        <f t="shared" ca="1" si="106"/>
        <v>-0.16439740451608603</v>
      </c>
      <c r="I846">
        <f t="shared" ca="1" si="107"/>
        <v>2.6790578084340337</v>
      </c>
      <c r="J846" s="60">
        <v>841</v>
      </c>
    </row>
    <row r="847" spans="2:10" x14ac:dyDescent="0.25">
      <c r="B847" s="53">
        <v>41403</v>
      </c>
      <c r="C847">
        <v>434.1135678</v>
      </c>
      <c r="D847" s="54">
        <f t="shared" si="103"/>
        <v>-2.4610625896198243E-3</v>
      </c>
      <c r="E847" s="54">
        <f t="shared" ca="1" si="104"/>
        <v>-4.1610016396720221E-4</v>
      </c>
      <c r="F847" s="64">
        <f t="shared" ca="1" si="105"/>
        <v>-2.0449624256526221E-3</v>
      </c>
      <c r="G847">
        <f t="shared" ca="1" si="102"/>
        <v>3.2806658713179747E-3</v>
      </c>
      <c r="H847">
        <f t="shared" ca="1" si="106"/>
        <v>0.55951141579725172</v>
      </c>
      <c r="I847">
        <f t="shared" ca="1" si="107"/>
        <v>2.7677815349733206</v>
      </c>
      <c r="J847" s="57">
        <v>842</v>
      </c>
    </row>
    <row r="848" spans="2:10" x14ac:dyDescent="0.25">
      <c r="B848" s="53">
        <v>41404</v>
      </c>
      <c r="C848">
        <v>438.47224840000001</v>
      </c>
      <c r="D848" s="54">
        <f t="shared" si="103"/>
        <v>1.0040415511749444E-2</v>
      </c>
      <c r="E848" s="54">
        <f t="shared" ca="1" si="104"/>
        <v>5.2506218596025164E-3</v>
      </c>
      <c r="F848" s="64">
        <f t="shared" ca="1" si="105"/>
        <v>4.7897936521469273E-3</v>
      </c>
      <c r="G848">
        <f t="shared" ca="1" si="102"/>
        <v>9.4231300753550278E-3</v>
      </c>
      <c r="H848">
        <f t="shared" ca="1" si="106"/>
        <v>-0.35462220741402162</v>
      </c>
      <c r="I848">
        <f t="shared" ca="1" si="107"/>
        <v>2.7626815288051065</v>
      </c>
      <c r="J848" s="60">
        <v>843</v>
      </c>
    </row>
    <row r="849" spans="2:10" x14ac:dyDescent="0.25">
      <c r="B849" s="53">
        <v>41407</v>
      </c>
      <c r="C849">
        <v>437.12730599999998</v>
      </c>
      <c r="D849" s="54">
        <f t="shared" si="103"/>
        <v>-3.0673375679025898E-3</v>
      </c>
      <c r="E849" s="54">
        <f t="shared" ca="1" si="104"/>
        <v>-1.6506362131729974E-2</v>
      </c>
      <c r="F849" s="64">
        <f t="shared" ca="1" si="105"/>
        <v>1.3439024563827385E-2</v>
      </c>
      <c r="G849">
        <f t="shared" ca="1" si="102"/>
        <v>6.3767809828945256E-3</v>
      </c>
      <c r="H849">
        <f t="shared" ca="1" si="106"/>
        <v>-2.4152033297320785</v>
      </c>
      <c r="I849">
        <f t="shared" ca="1" si="107"/>
        <v>2.6480332986574862</v>
      </c>
      <c r="J849" s="57">
        <v>844</v>
      </c>
    </row>
    <row r="850" spans="2:10" x14ac:dyDescent="0.25">
      <c r="B850" s="53">
        <v>41408</v>
      </c>
      <c r="C850">
        <v>441.89443469999998</v>
      </c>
      <c r="D850" s="54">
        <f t="shared" si="103"/>
        <v>1.0905584333365807E-2</v>
      </c>
      <c r="E850" s="54">
        <f t="shared" ca="1" si="104"/>
        <v>-4.7463095035213579E-2</v>
      </c>
      <c r="F850" s="64">
        <f t="shared" ca="1" si="105"/>
        <v>5.8368679368579382E-2</v>
      </c>
      <c r="G850">
        <f t="shared" ca="1" si="102"/>
        <v>4.035233561612863E-2</v>
      </c>
      <c r="H850">
        <f t="shared" ca="1" si="106"/>
        <v>-1.2879649487549536</v>
      </c>
      <c r="I850">
        <f t="shared" ca="1" si="107"/>
        <v>0.10769541154159118</v>
      </c>
      <c r="J850" s="60">
        <v>845</v>
      </c>
    </row>
    <row r="851" spans="2:10" x14ac:dyDescent="0.25">
      <c r="B851" s="53">
        <v>41409</v>
      </c>
      <c r="C851">
        <v>456.23570660000001</v>
      </c>
      <c r="D851" s="54">
        <f t="shared" si="103"/>
        <v>3.2454067699984178E-2</v>
      </c>
      <c r="E851" s="54">
        <f t="shared" ca="1" si="104"/>
        <v>-1.4654543621614377E-2</v>
      </c>
      <c r="F851" s="64">
        <f t="shared" ca="1" si="105"/>
        <v>4.7108611321598555E-2</v>
      </c>
      <c r="G851">
        <f t="shared" ca="1" si="102"/>
        <v>2.340313248419747E-2</v>
      </c>
      <c r="H851">
        <f t="shared" ca="1" si="106"/>
        <v>-0.56732272212350587</v>
      </c>
      <c r="I851">
        <f t="shared" ca="1" si="107"/>
        <v>1.0506264315701266</v>
      </c>
      <c r="J851" s="57">
        <v>846</v>
      </c>
    </row>
    <row r="852" spans="2:10" x14ac:dyDescent="0.25">
      <c r="B852" s="53">
        <v>41410</v>
      </c>
      <c r="C852">
        <v>450.24814739999999</v>
      </c>
      <c r="D852" s="54">
        <f t="shared" si="103"/>
        <v>-1.3123828567958956E-2</v>
      </c>
      <c r="E852" s="54">
        <f t="shared" ca="1" si="104"/>
        <v>-2.0669666374270444E-2</v>
      </c>
      <c r="F852" s="64">
        <f t="shared" ca="1" si="105"/>
        <v>7.5458378063114877E-3</v>
      </c>
      <c r="G852">
        <f t="shared" ca="1" si="102"/>
        <v>1.0914115989739995E-2</v>
      </c>
      <c r="H852">
        <f t="shared" ca="1" si="106"/>
        <v>-2.3426672430447502</v>
      </c>
      <c r="I852">
        <f t="shared" ca="1" si="107"/>
        <v>2.7392707185367349</v>
      </c>
      <c r="J852" s="60">
        <v>847</v>
      </c>
    </row>
    <row r="853" spans="2:10" x14ac:dyDescent="0.25">
      <c r="B853" s="53">
        <v>41411</v>
      </c>
      <c r="C853">
        <v>452.89323250000001</v>
      </c>
      <c r="D853" s="54">
        <f t="shared" si="103"/>
        <v>5.8747273370791378E-3</v>
      </c>
      <c r="E853" s="54">
        <f t="shared" ca="1" si="104"/>
        <v>-1.3521892084086145E-2</v>
      </c>
      <c r="F853" s="64">
        <f t="shared" ca="1" si="105"/>
        <v>1.9396619421165284E-2</v>
      </c>
      <c r="G853">
        <f t="shared" ca="1" si="102"/>
        <v>3.9194776061046585E-2</v>
      </c>
      <c r="H853">
        <f t="shared" ca="1" si="106"/>
        <v>-0.71686690281903565</v>
      </c>
      <c r="I853">
        <f t="shared" ca="1" si="107"/>
        <v>2.4987610231901103</v>
      </c>
      <c r="J853" s="57">
        <v>848</v>
      </c>
    </row>
    <row r="854" spans="2:10" x14ac:dyDescent="0.25">
      <c r="B854" s="53">
        <v>41414</v>
      </c>
      <c r="C854">
        <v>452.56944060000001</v>
      </c>
      <c r="D854" s="54">
        <f t="shared" si="103"/>
        <v>-7.1494091049374058E-4</v>
      </c>
      <c r="E854" s="54">
        <f t="shared" ca="1" si="104"/>
        <v>-3.3368698328827759E-2</v>
      </c>
      <c r="F854" s="64">
        <f t="shared" ca="1" si="105"/>
        <v>3.2653757418334019E-2</v>
      </c>
      <c r="G854">
        <f t="shared" ca="1" si="102"/>
        <v>1.4964372061176429E-2</v>
      </c>
      <c r="H854">
        <f t="shared" ca="1" si="106"/>
        <v>-1.8360025532311532</v>
      </c>
      <c r="I854">
        <f t="shared" ca="1" si="107"/>
        <v>1.9608010440674675</v>
      </c>
      <c r="J854" s="60">
        <v>849</v>
      </c>
    </row>
    <row r="855" spans="2:10" x14ac:dyDescent="0.25">
      <c r="B855" s="53">
        <v>41415</v>
      </c>
      <c r="C855">
        <v>451.7923394</v>
      </c>
      <c r="D855" s="54">
        <f t="shared" si="103"/>
        <v>-1.7170872142178929E-3</v>
      </c>
      <c r="E855" s="54">
        <f t="shared" ca="1" si="104"/>
        <v>3.1282552814798376E-5</v>
      </c>
      <c r="F855" s="64">
        <f t="shared" ca="1" si="105"/>
        <v>-1.7483697670326913E-3</v>
      </c>
      <c r="G855">
        <f t="shared" ca="1" si="102"/>
        <v>3.0851331284145852E-2</v>
      </c>
      <c r="H855">
        <f t="shared" ca="1" si="106"/>
        <v>-8.450730409792083E-2</v>
      </c>
      <c r="I855">
        <f t="shared" ca="1" si="107"/>
        <v>2.7691268289020532</v>
      </c>
      <c r="J855" s="57">
        <v>850</v>
      </c>
    </row>
    <row r="856" spans="2:10" x14ac:dyDescent="0.25">
      <c r="B856" s="53">
        <v>41416</v>
      </c>
      <c r="C856">
        <v>443.0501064</v>
      </c>
      <c r="D856" s="54">
        <f t="shared" si="103"/>
        <v>-1.9350113398580567E-2</v>
      </c>
      <c r="E856" s="54">
        <f t="shared" ca="1" si="104"/>
        <v>4.3477405220281653E-4</v>
      </c>
      <c r="F856" s="64">
        <f t="shared" ca="1" si="105"/>
        <v>-1.9784887450783384E-2</v>
      </c>
      <c r="G856">
        <f t="shared" ca="1" si="102"/>
        <v>7.2395281724260668E-3</v>
      </c>
      <c r="H856">
        <f t="shared" ca="1" si="106"/>
        <v>0.10441259535036275</v>
      </c>
      <c r="I856">
        <f t="shared" ca="1" si="107"/>
        <v>2.4288234129901825</v>
      </c>
      <c r="J856" s="60">
        <v>851</v>
      </c>
    </row>
    <row r="857" spans="2:10" x14ac:dyDescent="0.25">
      <c r="B857" s="53">
        <v>41417</v>
      </c>
      <c r="C857">
        <v>439.74748849999997</v>
      </c>
      <c r="D857" s="54">
        <f t="shared" si="103"/>
        <v>-7.4542762822819844E-3</v>
      </c>
      <c r="E857" s="54">
        <f t="shared" ca="1" si="104"/>
        <v>1.5362750535570222E-3</v>
      </c>
      <c r="F857" s="64">
        <f t="shared" ca="1" si="105"/>
        <v>-8.990551335839007E-3</v>
      </c>
      <c r="G857">
        <f t="shared" ca="1" si="102"/>
        <v>2.6029192700425963E-3</v>
      </c>
      <c r="H857">
        <f t="shared" ca="1" si="106"/>
        <v>0.88661481290600486</v>
      </c>
      <c r="I857">
        <f t="shared" ca="1" si="107"/>
        <v>2.69564044068765</v>
      </c>
      <c r="J857" s="57">
        <v>852</v>
      </c>
    </row>
    <row r="858" spans="2:10" x14ac:dyDescent="0.25">
      <c r="B858" s="53">
        <v>41418</v>
      </c>
      <c r="C858">
        <v>435.03013429999999</v>
      </c>
      <c r="D858" s="54">
        <f t="shared" si="103"/>
        <v>-1.0727415899727165E-2</v>
      </c>
      <c r="E858" s="54">
        <f t="shared" ca="1" si="104"/>
        <v>-1.3730526125772372E-2</v>
      </c>
      <c r="F858" s="64">
        <f t="shared" ca="1" si="105"/>
        <v>3.0031102260452067E-3</v>
      </c>
      <c r="G858">
        <f t="shared" ca="1" si="102"/>
        <v>1.4845184879322926E-2</v>
      </c>
      <c r="H858">
        <f t="shared" ca="1" si="106"/>
        <v>-0.33949554854564201</v>
      </c>
      <c r="I858">
        <f t="shared" ca="1" si="107"/>
        <v>2.771301199795452</v>
      </c>
      <c r="J858" s="60">
        <v>853</v>
      </c>
    </row>
    <row r="859" spans="2:10" x14ac:dyDescent="0.25">
      <c r="B859" s="53">
        <v>41422</v>
      </c>
      <c r="C859">
        <v>438.99031550000001</v>
      </c>
      <c r="D859" s="54">
        <f t="shared" si="103"/>
        <v>9.1032342078377782E-3</v>
      </c>
      <c r="E859" s="54">
        <f t="shared" ca="1" si="104"/>
        <v>-8.6603362955060357E-3</v>
      </c>
      <c r="F859" s="64">
        <f t="shared" ca="1" si="105"/>
        <v>1.7763570503343814E-2</v>
      </c>
      <c r="G859">
        <f t="shared" ca="1" si="102"/>
        <v>6.6759226076719509E-3</v>
      </c>
      <c r="H859">
        <f t="shared" ca="1" si="106"/>
        <v>-0.79573820152886832</v>
      </c>
      <c r="I859">
        <f t="shared" ca="1" si="107"/>
        <v>2.5453837312205749</v>
      </c>
      <c r="J859" s="57">
        <v>854</v>
      </c>
    </row>
    <row r="860" spans="2:10" x14ac:dyDescent="0.25">
      <c r="B860" s="53">
        <v>41423</v>
      </c>
      <c r="C860">
        <v>432.534494</v>
      </c>
      <c r="D860" s="54">
        <f t="shared" si="103"/>
        <v>-1.4706068156986513E-2</v>
      </c>
      <c r="E860" s="54">
        <f t="shared" ca="1" si="104"/>
        <v>-4.7684132570302903E-3</v>
      </c>
      <c r="F860" s="64">
        <f t="shared" ca="1" si="105"/>
        <v>-9.937654899956223E-3</v>
      </c>
      <c r="G860">
        <f t="shared" ca="1" si="102"/>
        <v>1.3406924290421233E-2</v>
      </c>
      <c r="H860">
        <f t="shared" ca="1" si="106"/>
        <v>3.6792328307624768E-3</v>
      </c>
      <c r="I860">
        <f t="shared" ca="1" si="107"/>
        <v>2.6797642261961863</v>
      </c>
      <c r="J860" s="60">
        <v>855</v>
      </c>
    </row>
    <row r="861" spans="2:10" x14ac:dyDescent="0.25">
      <c r="B861" s="53">
        <v>41424</v>
      </c>
      <c r="C861">
        <v>433.75492459999998</v>
      </c>
      <c r="D861" s="54">
        <f t="shared" si="103"/>
        <v>2.8215798206373478E-3</v>
      </c>
      <c r="E861" s="54">
        <f t="shared" ca="1" si="104"/>
        <v>9.6338361242222711E-3</v>
      </c>
      <c r="F861" s="64">
        <f t="shared" ca="1" si="105"/>
        <v>-6.8122563035849237E-3</v>
      </c>
      <c r="G861">
        <f t="shared" ca="1" si="102"/>
        <v>3.2172846468233951E-3</v>
      </c>
      <c r="H861">
        <f t="shared" ca="1" si="106"/>
        <v>1.7237034840901759</v>
      </c>
      <c r="I861">
        <f t="shared" ca="1" si="107"/>
        <v>2.7266549666020148</v>
      </c>
      <c r="J861" s="57">
        <v>856</v>
      </c>
    </row>
    <row r="862" spans="2:10" x14ac:dyDescent="0.25">
      <c r="B862" s="53">
        <v>41425</v>
      </c>
      <c r="C862">
        <v>433.98408160000002</v>
      </c>
      <c r="D862" s="54">
        <f t="shared" si="103"/>
        <v>5.2830985195468922E-4</v>
      </c>
      <c r="E862" s="54">
        <f t="shared" ca="1" si="104"/>
        <v>-5.7018284920969345E-2</v>
      </c>
      <c r="F862" s="64">
        <f t="shared" ca="1" si="105"/>
        <v>5.7546594772924037E-2</v>
      </c>
      <c r="G862">
        <f t="shared" ca="1" si="102"/>
        <v>2.8798338363378344E-2</v>
      </c>
      <c r="H862">
        <f t="shared" ca="1" si="106"/>
        <v>-1.7505712712438002</v>
      </c>
      <c r="I862">
        <f t="shared" ca="1" si="107"/>
        <v>0.18347001584160516</v>
      </c>
      <c r="J862" s="60">
        <v>857</v>
      </c>
    </row>
    <row r="863" spans="2:10" x14ac:dyDescent="0.25">
      <c r="B863" s="53">
        <v>41428</v>
      </c>
      <c r="C863">
        <v>432.19577909999998</v>
      </c>
      <c r="D863" s="54">
        <f t="shared" si="103"/>
        <v>-4.120663811923656E-3</v>
      </c>
      <c r="E863" s="54">
        <f t="shared" ca="1" si="104"/>
        <v>5.8605576442801802E-2</v>
      </c>
      <c r="F863" s="64">
        <f t="shared" ca="1" si="105"/>
        <v>-6.2726240254725452E-2</v>
      </c>
      <c r="G863">
        <f t="shared" ca="1" si="102"/>
        <v>2.9964335652407838E-2</v>
      </c>
      <c r="H863">
        <f t="shared" ca="1" si="106"/>
        <v>1.9135528314122361</v>
      </c>
      <c r="I863">
        <f t="shared" ca="1" si="107"/>
        <v>-0.49676880523513278</v>
      </c>
      <c r="J863" s="57">
        <v>858</v>
      </c>
    </row>
    <row r="864" spans="2:10" x14ac:dyDescent="0.25">
      <c r="B864" s="53">
        <v>41429</v>
      </c>
      <c r="C864">
        <v>427.94668730000001</v>
      </c>
      <c r="D864" s="54">
        <f t="shared" si="103"/>
        <v>-9.8314051304439817E-3</v>
      </c>
      <c r="E864" s="54">
        <f t="shared" ca="1" si="104"/>
        <v>-3.3098639180859542E-2</v>
      </c>
      <c r="F864" s="64">
        <f t="shared" ca="1" si="105"/>
        <v>2.3267234050415558E-2</v>
      </c>
      <c r="G864">
        <f t="shared" ca="1" si="102"/>
        <v>3.2677189668159246E-2</v>
      </c>
      <c r="H864">
        <f t="shared" ca="1" si="106"/>
        <v>-1.0201563549908503</v>
      </c>
      <c r="I864">
        <f t="shared" ca="1" si="107"/>
        <v>2.3710471621239169</v>
      </c>
      <c r="J864" s="60">
        <v>859</v>
      </c>
    </row>
    <row r="865" spans="2:10" x14ac:dyDescent="0.25">
      <c r="B865" s="53">
        <v>41430</v>
      </c>
      <c r="C865">
        <v>428.2455769</v>
      </c>
      <c r="D865" s="54">
        <f t="shared" si="103"/>
        <v>6.9842718467047569E-4</v>
      </c>
      <c r="E865" s="54">
        <f t="shared" ca="1" si="104"/>
        <v>1.4482450513482414E-2</v>
      </c>
      <c r="F865" s="64">
        <f t="shared" ca="1" si="105"/>
        <v>-1.3784023328811939E-2</v>
      </c>
      <c r="G865">
        <f t="shared" ca="1" si="102"/>
        <v>1.8611697414701808E-2</v>
      </c>
      <c r="H865">
        <f t="shared" ca="1" si="106"/>
        <v>0.87758210479074361</v>
      </c>
      <c r="I865">
        <f t="shared" ca="1" si="107"/>
        <v>2.6003927295353204</v>
      </c>
      <c r="J865" s="57">
        <v>860</v>
      </c>
    </row>
    <row r="866" spans="2:10" x14ac:dyDescent="0.25">
      <c r="B866" s="53">
        <v>41431</v>
      </c>
      <c r="C866">
        <v>430.7063354</v>
      </c>
      <c r="D866" s="54">
        <f t="shared" si="103"/>
        <v>5.7461387407968748E-3</v>
      </c>
      <c r="E866" s="54">
        <f t="shared" ca="1" si="104"/>
        <v>8.8329429122796441E-3</v>
      </c>
      <c r="F866" s="64">
        <f t="shared" ca="1" si="105"/>
        <v>-3.0868041714827692E-3</v>
      </c>
      <c r="G866">
        <f t="shared" ca="1" si="102"/>
        <v>1.5282925945352568E-2</v>
      </c>
      <c r="H866">
        <f t="shared" ca="1" si="106"/>
        <v>0.86687666187604651</v>
      </c>
      <c r="I866">
        <f t="shared" ca="1" si="107"/>
        <v>2.7619293874333262</v>
      </c>
      <c r="J866" s="60">
        <v>861</v>
      </c>
    </row>
    <row r="867" spans="2:10" x14ac:dyDescent="0.25">
      <c r="B867" s="53">
        <v>41432</v>
      </c>
      <c r="C867">
        <v>438.22319390000001</v>
      </c>
      <c r="D867" s="54">
        <f t="shared" si="103"/>
        <v>1.7452398263468897E-2</v>
      </c>
      <c r="E867" s="54">
        <f t="shared" ca="1" si="104"/>
        <v>-1.3871218482063153E-2</v>
      </c>
      <c r="F867" s="64">
        <f t="shared" ca="1" si="105"/>
        <v>3.1323616745532051E-2</v>
      </c>
      <c r="G867">
        <f t="shared" ca="1" si="102"/>
        <v>1.491671574174146E-2</v>
      </c>
      <c r="H867">
        <f t="shared" ca="1" si="106"/>
        <v>-0.95094626663058279</v>
      </c>
      <c r="I867">
        <f t="shared" ca="1" si="107"/>
        <v>2.0275932767055664</v>
      </c>
      <c r="J867" s="57">
        <v>862</v>
      </c>
    </row>
    <row r="868" spans="2:10" x14ac:dyDescent="0.25">
      <c r="B868" s="53">
        <v>41435</v>
      </c>
      <c r="C868">
        <v>443.4486058</v>
      </c>
      <c r="D868" s="54">
        <f t="shared" si="103"/>
        <v>1.1924087936779522E-2</v>
      </c>
      <c r="E868" s="54">
        <f t="shared" ca="1" si="104"/>
        <v>3.0915351277347645E-3</v>
      </c>
      <c r="F868" s="64">
        <f t="shared" ca="1" si="105"/>
        <v>8.832552809044757E-3</v>
      </c>
      <c r="G868">
        <f t="shared" ca="1" si="102"/>
        <v>1.626383670617686E-2</v>
      </c>
      <c r="H868">
        <f t="shared" ca="1" si="106"/>
        <v>3.1390401732230851E-2</v>
      </c>
      <c r="I868">
        <f t="shared" ca="1" si="107"/>
        <v>2.7241384412566485</v>
      </c>
      <c r="J868" s="60">
        <v>863</v>
      </c>
    </row>
    <row r="869" spans="2:10" x14ac:dyDescent="0.25">
      <c r="B869" s="53">
        <v>41436</v>
      </c>
      <c r="C869">
        <v>438.26305000000002</v>
      </c>
      <c r="D869" s="54">
        <f t="shared" si="103"/>
        <v>-1.1693701890538168E-2</v>
      </c>
      <c r="E869" s="54">
        <f t="shared" ca="1" si="104"/>
        <v>1.1555976206990413E-2</v>
      </c>
      <c r="F869" s="64">
        <f t="shared" ca="1" si="105"/>
        <v>-2.3249678097528582E-2</v>
      </c>
      <c r="G869">
        <f t="shared" ca="1" si="102"/>
        <v>3.8757606794402508E-3</v>
      </c>
      <c r="H869">
        <f t="shared" ca="1" si="106"/>
        <v>0.95917922119715582</v>
      </c>
      <c r="I869">
        <f t="shared" ca="1" si="107"/>
        <v>2.30326691171937</v>
      </c>
      <c r="J869" s="57">
        <v>864</v>
      </c>
    </row>
    <row r="870" spans="2:10" x14ac:dyDescent="0.25">
      <c r="B870" s="53">
        <v>41437</v>
      </c>
      <c r="C870">
        <v>434.36265259999999</v>
      </c>
      <c r="D870" s="54">
        <f t="shared" si="103"/>
        <v>-8.8996720120485418E-3</v>
      </c>
      <c r="E870" s="54">
        <f t="shared" ca="1" si="104"/>
        <v>9.2102395338884216E-3</v>
      </c>
      <c r="F870" s="64">
        <f t="shared" ca="1" si="105"/>
        <v>-1.8109911545936962E-2</v>
      </c>
      <c r="G870">
        <f t="shared" ca="1" si="102"/>
        <v>1.6066241483892865E-2</v>
      </c>
      <c r="H870">
        <f t="shared" ca="1" si="106"/>
        <v>0.23994998134579859</v>
      </c>
      <c r="I870">
        <f t="shared" ca="1" si="107"/>
        <v>2.4825659266278977</v>
      </c>
      <c r="J870" s="60">
        <v>865</v>
      </c>
    </row>
    <row r="871" spans="2:10" x14ac:dyDescent="0.25">
      <c r="B871" s="53">
        <v>41438</v>
      </c>
      <c r="C871">
        <v>436.8632672</v>
      </c>
      <c r="D871" s="54">
        <f t="shared" si="103"/>
        <v>5.7569742357725115E-3</v>
      </c>
      <c r="E871" s="54">
        <f t="shared" ca="1" si="104"/>
        <v>-8.7673012888109872E-3</v>
      </c>
      <c r="F871" s="64">
        <f t="shared" ca="1" si="105"/>
        <v>1.4524275524583498E-2</v>
      </c>
      <c r="G871">
        <f t="shared" ca="1" si="102"/>
        <v>5.5187486140440634E-3</v>
      </c>
      <c r="H871">
        <f t="shared" ca="1" si="106"/>
        <v>-0.63696907349481402</v>
      </c>
      <c r="I871">
        <f t="shared" ca="1" si="107"/>
        <v>2.6251132852416608</v>
      </c>
      <c r="J871" s="57">
        <v>866</v>
      </c>
    </row>
    <row r="872" spans="2:10" x14ac:dyDescent="0.25">
      <c r="B872" s="53">
        <v>41439</v>
      </c>
      <c r="C872">
        <v>435.88694720000001</v>
      </c>
      <c r="D872" s="54">
        <f t="shared" si="103"/>
        <v>-2.2348411352081446E-3</v>
      </c>
      <c r="E872" s="54">
        <f t="shared" ca="1" si="104"/>
        <v>-1.1023396468385866E-2</v>
      </c>
      <c r="F872" s="64">
        <f t="shared" ca="1" si="105"/>
        <v>8.7885553331777215E-3</v>
      </c>
      <c r="G872">
        <f t="shared" ca="1" si="102"/>
        <v>1.0753515932376853E-2</v>
      </c>
      <c r="H872">
        <f t="shared" ca="1" si="106"/>
        <v>-0.65341184953502063</v>
      </c>
      <c r="I872">
        <f t="shared" ca="1" si="107"/>
        <v>2.7247000406832811</v>
      </c>
      <c r="J872" s="60">
        <v>867</v>
      </c>
    </row>
    <row r="873" spans="2:10" x14ac:dyDescent="0.25">
      <c r="B873" s="53">
        <v>41442</v>
      </c>
      <c r="C873">
        <v>441.47103270000002</v>
      </c>
      <c r="D873" s="54">
        <f t="shared" si="103"/>
        <v>1.2810857347003426E-2</v>
      </c>
      <c r="E873" s="54">
        <f t="shared" ca="1" si="104"/>
        <v>1.3683895085823106E-3</v>
      </c>
      <c r="F873" s="64">
        <f t="shared" ca="1" si="105"/>
        <v>1.1442467838421115E-2</v>
      </c>
      <c r="G873">
        <f t="shared" ca="1" si="102"/>
        <v>1.1223673307079044E-2</v>
      </c>
      <c r="H873">
        <f t="shared" ca="1" si="106"/>
        <v>-0.1084443903724351</v>
      </c>
      <c r="I873">
        <f t="shared" ca="1" si="107"/>
        <v>2.6852288244935711</v>
      </c>
      <c r="J873" s="57">
        <v>868</v>
      </c>
    </row>
    <row r="874" spans="2:10" x14ac:dyDescent="0.25">
      <c r="B874" s="53">
        <v>41443</v>
      </c>
      <c r="C874">
        <v>448.62918719999999</v>
      </c>
      <c r="D874" s="54">
        <f t="shared" si="103"/>
        <v>1.6214324315281324E-2</v>
      </c>
      <c r="E874" s="54">
        <f t="shared" ca="1" si="104"/>
        <v>1.9562388680047522E-3</v>
      </c>
      <c r="F874" s="64">
        <f t="shared" ca="1" si="105"/>
        <v>1.4258085447276572E-2</v>
      </c>
      <c r="G874">
        <f t="shared" ca="1" si="102"/>
        <v>3.2912681094459792E-3</v>
      </c>
      <c r="H874">
        <f t="shared" ca="1" si="106"/>
        <v>0.89926736689052544</v>
      </c>
      <c r="I874">
        <f t="shared" ca="1" si="107"/>
        <v>2.6309112378581254</v>
      </c>
      <c r="J874" s="60">
        <v>869</v>
      </c>
    </row>
    <row r="875" spans="2:10" x14ac:dyDescent="0.25">
      <c r="B875" s="53">
        <v>41444</v>
      </c>
      <c r="C875">
        <v>448.6590946</v>
      </c>
      <c r="D875" s="54">
        <f t="shared" si="103"/>
        <v>6.6663964033798911E-5</v>
      </c>
      <c r="E875" s="54">
        <f t="shared" ca="1" si="104"/>
        <v>1.9200459526122871E-2</v>
      </c>
      <c r="F875" s="64">
        <f t="shared" ca="1" si="105"/>
        <v>-1.9133795562089072E-2</v>
      </c>
      <c r="G875">
        <f t="shared" ca="1" si="102"/>
        <v>1.5062720333861898E-2</v>
      </c>
      <c r="H875">
        <f t="shared" ca="1" si="106"/>
        <v>0.89270511458906554</v>
      </c>
      <c r="I875">
        <f t="shared" ca="1" si="107"/>
        <v>2.4502526143539254</v>
      </c>
      <c r="J875" s="57">
        <v>870</v>
      </c>
    </row>
    <row r="876" spans="2:10" x14ac:dyDescent="0.25">
      <c r="B876" s="53">
        <v>41445</v>
      </c>
      <c r="C876">
        <v>440.71883409999998</v>
      </c>
      <c r="D876" s="54">
        <f t="shared" si="103"/>
        <v>-1.7697758934495968E-2</v>
      </c>
      <c r="E876" s="54">
        <f t="shared" ca="1" si="104"/>
        <v>1.9934810054402279E-2</v>
      </c>
      <c r="F876" s="64">
        <f t="shared" ca="1" si="105"/>
        <v>-3.7632568988898246E-2</v>
      </c>
      <c r="G876">
        <f t="shared" ca="1" si="102"/>
        <v>1.5323954266006717E-2</v>
      </c>
      <c r="H876">
        <f t="shared" ca="1" si="106"/>
        <v>0.82567664254189788</v>
      </c>
      <c r="I876">
        <f t="shared" ca="1" si="107"/>
        <v>1.5746796637353668</v>
      </c>
      <c r="J876" s="60">
        <v>871</v>
      </c>
    </row>
    <row r="877" spans="2:10" x14ac:dyDescent="0.25">
      <c r="B877" s="53">
        <v>41446</v>
      </c>
      <c r="C877">
        <v>438.82094289999998</v>
      </c>
      <c r="D877" s="54">
        <f t="shared" si="103"/>
        <v>-4.3063537411005409E-3</v>
      </c>
      <c r="E877" s="54">
        <f t="shared" ca="1" si="104"/>
        <v>-1.3479137970015276E-3</v>
      </c>
      <c r="F877" s="64">
        <f t="shared" ca="1" si="105"/>
        <v>-2.9584399440990136E-3</v>
      </c>
      <c r="G877">
        <f t="shared" ca="1" si="102"/>
        <v>1.4252904826966785E-2</v>
      </c>
      <c r="H877">
        <f t="shared" ca="1" si="106"/>
        <v>-9.6650398026237413E-2</v>
      </c>
      <c r="I877">
        <f t="shared" ca="1" si="107"/>
        <v>2.7627451540314256</v>
      </c>
      <c r="J877" s="57">
        <v>872</v>
      </c>
    </row>
    <row r="878" spans="2:10" x14ac:dyDescent="0.25">
      <c r="B878" s="53">
        <v>41449</v>
      </c>
      <c r="C878">
        <v>433.27173920000001</v>
      </c>
      <c r="D878" s="54">
        <f t="shared" si="103"/>
        <v>-1.2645712994752249E-2</v>
      </c>
      <c r="E878" s="54">
        <f t="shared" ca="1" si="104"/>
        <v>7.5652452825596302E-4</v>
      </c>
      <c r="F878" s="64">
        <f t="shared" ca="1" si="105"/>
        <v>-1.3402237523008212E-2</v>
      </c>
      <c r="G878">
        <f t="shared" ca="1" si="102"/>
        <v>3.7635467573184662E-3</v>
      </c>
      <c r="H878">
        <f t="shared" ca="1" si="106"/>
        <v>2.3129822207684221</v>
      </c>
      <c r="I878">
        <f t="shared" ca="1" si="107"/>
        <v>2.6093396457409788</v>
      </c>
      <c r="J878" s="60">
        <v>873</v>
      </c>
    </row>
    <row r="879" spans="2:10" x14ac:dyDescent="0.25">
      <c r="B879" s="53">
        <v>41450</v>
      </c>
      <c r="C879">
        <v>431.48343620000003</v>
      </c>
      <c r="D879" s="54">
        <f t="shared" si="103"/>
        <v>-4.1274397524794408E-3</v>
      </c>
      <c r="E879" s="54">
        <f t="shared" ca="1" si="104"/>
        <v>2.75098808555716E-2</v>
      </c>
      <c r="F879" s="64">
        <f t="shared" ca="1" si="105"/>
        <v>-3.1637320608051044E-2</v>
      </c>
      <c r="G879">
        <f t="shared" ca="1" si="102"/>
        <v>3.8630017235993859E-2</v>
      </c>
      <c r="H879">
        <f t="shared" ca="1" si="106"/>
        <v>0.7622095615360045</v>
      </c>
      <c r="I879">
        <f t="shared" ca="1" si="107"/>
        <v>1.9190028933060055</v>
      </c>
      <c r="J879" s="57">
        <v>874</v>
      </c>
    </row>
    <row r="880" spans="2:10" x14ac:dyDescent="0.25">
      <c r="B880" s="53">
        <v>41451</v>
      </c>
      <c r="C880">
        <v>435.19453299999998</v>
      </c>
      <c r="D880" s="54">
        <f t="shared" si="103"/>
        <v>8.6007862380139966E-3</v>
      </c>
      <c r="E880" s="54">
        <f t="shared" ca="1" si="104"/>
        <v>-9.1373094585993526E-3</v>
      </c>
      <c r="F880" s="64">
        <f t="shared" ca="1" si="105"/>
        <v>1.7738095696613349E-2</v>
      </c>
      <c r="G880">
        <f t="shared" ca="1" si="102"/>
        <v>1.550277557930315E-2</v>
      </c>
      <c r="H880">
        <f t="shared" ca="1" si="106"/>
        <v>-0.22304363058281812</v>
      </c>
      <c r="I880">
        <f t="shared" ca="1" si="107"/>
        <v>2.5460768907013831</v>
      </c>
      <c r="J880" s="60">
        <v>875</v>
      </c>
    </row>
    <row r="881" spans="2:10" x14ac:dyDescent="0.25">
      <c r="B881" s="53">
        <v>41452</v>
      </c>
      <c r="C881">
        <v>436.89814899999999</v>
      </c>
      <c r="D881" s="54">
        <f t="shared" si="103"/>
        <v>3.9146079989934319E-3</v>
      </c>
      <c r="E881" s="54">
        <f t="shared" ca="1" si="104"/>
        <v>-6.1894139456204044E-3</v>
      </c>
      <c r="F881" s="64">
        <f t="shared" ca="1" si="105"/>
        <v>1.0104021944613836E-2</v>
      </c>
      <c r="G881">
        <f t="shared" ca="1" si="102"/>
        <v>5.2299591064556405E-3</v>
      </c>
      <c r="H881">
        <f t="shared" ca="1" si="106"/>
        <v>-0.82904019323974387</v>
      </c>
      <c r="I881">
        <f t="shared" ca="1" si="107"/>
        <v>2.7065577258230533</v>
      </c>
      <c r="J881" s="57">
        <v>876</v>
      </c>
    </row>
    <row r="882" spans="2:10" x14ac:dyDescent="0.25">
      <c r="B882" s="53">
        <v>41453</v>
      </c>
      <c r="C882">
        <v>438.54198100000002</v>
      </c>
      <c r="D882" s="54">
        <f t="shared" si="103"/>
        <v>3.7625062128611394E-3</v>
      </c>
      <c r="E882" s="54">
        <f t="shared" ca="1" si="104"/>
        <v>2.0479698178941935E-2</v>
      </c>
      <c r="F882" s="64">
        <f t="shared" ca="1" si="105"/>
        <v>-1.6717191966080795E-2</v>
      </c>
      <c r="G882">
        <f t="shared" ca="1" si="102"/>
        <v>1.3925771449386139E-2</v>
      </c>
      <c r="H882">
        <f t="shared" ca="1" si="106"/>
        <v>1.19324415294974</v>
      </c>
      <c r="I882">
        <f t="shared" ca="1" si="107"/>
        <v>2.5238004963690219</v>
      </c>
      <c r="J882" s="60">
        <v>877</v>
      </c>
    </row>
    <row r="883" spans="2:10" x14ac:dyDescent="0.25">
      <c r="B883" s="53">
        <v>41456</v>
      </c>
      <c r="C883">
        <v>442.28298480000001</v>
      </c>
      <c r="D883" s="54">
        <f t="shared" si="103"/>
        <v>8.530548868934824E-3</v>
      </c>
      <c r="E883" s="54">
        <f t="shared" ca="1" si="104"/>
        <v>-2.3400209507651194E-2</v>
      </c>
      <c r="F883" s="64">
        <f t="shared" ca="1" si="105"/>
        <v>3.1930758376586016E-2</v>
      </c>
      <c r="G883">
        <f t="shared" ca="1" si="102"/>
        <v>2.0193446600479229E-2</v>
      </c>
      <c r="H883">
        <f t="shared" ca="1" si="106"/>
        <v>-1.2458696973369432</v>
      </c>
      <c r="I883">
        <f t="shared" ca="1" si="107"/>
        <v>1.9974606432804143</v>
      </c>
      <c r="J883" s="57">
        <v>878</v>
      </c>
    </row>
    <row r="884" spans="2:10" x14ac:dyDescent="0.25">
      <c r="B884" s="53">
        <v>41457</v>
      </c>
      <c r="C884">
        <v>439.50838320000003</v>
      </c>
      <c r="D884" s="54">
        <f t="shared" si="103"/>
        <v>-6.273362745923077E-3</v>
      </c>
      <c r="E884" s="54">
        <f t="shared" ca="1" si="104"/>
        <v>-1.8994679201614489E-3</v>
      </c>
      <c r="F884" s="64">
        <f t="shared" ca="1" si="105"/>
        <v>-4.373894825761628E-3</v>
      </c>
      <c r="G884">
        <f t="shared" ca="1" si="102"/>
        <v>2.1322224964469894E-2</v>
      </c>
      <c r="H884">
        <f t="shared" ca="1" si="106"/>
        <v>-0.16834227357853443</v>
      </c>
      <c r="I884">
        <f t="shared" ca="1" si="107"/>
        <v>2.752278005297065</v>
      </c>
      <c r="J884" s="60">
        <v>879</v>
      </c>
    </row>
    <row r="885" spans="2:10" x14ac:dyDescent="0.25">
      <c r="B885" s="53">
        <v>41458</v>
      </c>
      <c r="C885">
        <v>441.56069359999998</v>
      </c>
      <c r="D885" s="54">
        <f t="shared" si="103"/>
        <v>4.6695591675802953E-3</v>
      </c>
      <c r="E885" s="54">
        <f t="shared" ca="1" si="104"/>
        <v>-3.5356619171758325E-3</v>
      </c>
      <c r="F885" s="64">
        <f t="shared" ca="1" si="105"/>
        <v>8.2052210847561279E-3</v>
      </c>
      <c r="G885">
        <f t="shared" ca="1" si="102"/>
        <v>5.7018423479254128E-3</v>
      </c>
      <c r="H885">
        <f t="shared" ca="1" si="106"/>
        <v>-1.2920024276333475</v>
      </c>
      <c r="I885">
        <f t="shared" ca="1" si="107"/>
        <v>2.7318502894686265</v>
      </c>
      <c r="J885" s="57">
        <v>880</v>
      </c>
    </row>
    <row r="886" spans="2:10" x14ac:dyDescent="0.25">
      <c r="B886" s="53">
        <v>41460</v>
      </c>
      <c r="C886">
        <v>445.07751469999999</v>
      </c>
      <c r="D886" s="54">
        <f t="shared" si="103"/>
        <v>7.9645248115898324E-3</v>
      </c>
      <c r="E886" s="54">
        <f t="shared" ca="1" si="104"/>
        <v>-2.2758638108969415E-2</v>
      </c>
      <c r="F886" s="64">
        <f t="shared" ca="1" si="105"/>
        <v>3.0723162920559245E-2</v>
      </c>
      <c r="G886">
        <f t="shared" ca="1" si="102"/>
        <v>2.162818332876814E-2</v>
      </c>
      <c r="H886">
        <f t="shared" ca="1" si="106"/>
        <v>-0.92200188171374975</v>
      </c>
      <c r="I886">
        <f t="shared" ca="1" si="107"/>
        <v>2.0568081978994179</v>
      </c>
      <c r="J886" s="60">
        <v>881</v>
      </c>
    </row>
    <row r="887" spans="2:10" x14ac:dyDescent="0.25">
      <c r="B887" s="53">
        <v>41463</v>
      </c>
      <c r="C887">
        <v>450.85584510000001</v>
      </c>
      <c r="D887" s="54">
        <f t="shared" si="103"/>
        <v>1.2982750665116932E-2</v>
      </c>
      <c r="E887" s="54">
        <f t="shared" ca="1" si="104"/>
        <v>5.4700819494458448E-3</v>
      </c>
      <c r="F887" s="64">
        <f t="shared" ca="1" si="105"/>
        <v>7.5126687156710868E-3</v>
      </c>
      <c r="G887">
        <f t="shared" ca="1" si="102"/>
        <v>1.6190720550722518E-2</v>
      </c>
      <c r="H887">
        <f t="shared" ca="1" si="106"/>
        <v>0.20831390033318717</v>
      </c>
      <c r="I887">
        <f t="shared" ca="1" si="107"/>
        <v>2.7396254319239888</v>
      </c>
      <c r="J887" s="57">
        <v>882</v>
      </c>
    </row>
    <row r="888" spans="2:10" x14ac:dyDescent="0.25">
      <c r="B888" s="53">
        <v>41464</v>
      </c>
      <c r="C888">
        <v>450.93058300000001</v>
      </c>
      <c r="D888" s="54">
        <f t="shared" si="103"/>
        <v>1.6576894990332321E-4</v>
      </c>
      <c r="E888" s="54">
        <f t="shared" ca="1" si="104"/>
        <v>-1.0744274152475232E-3</v>
      </c>
      <c r="F888" s="64">
        <f t="shared" ca="1" si="105"/>
        <v>1.2401963651508465E-3</v>
      </c>
      <c r="G888">
        <f t="shared" ca="1" si="102"/>
        <v>5.1685552790961221E-3</v>
      </c>
      <c r="H888">
        <f t="shared" ca="1" si="106"/>
        <v>-0.89999593917685416</v>
      </c>
      <c r="I888">
        <f t="shared" ca="1" si="107"/>
        <v>2.7747508122096902</v>
      </c>
      <c r="J888" s="60">
        <v>883</v>
      </c>
    </row>
    <row r="889" spans="2:10" x14ac:dyDescent="0.25">
      <c r="B889" s="53">
        <v>41465</v>
      </c>
      <c r="C889">
        <v>451.3041796</v>
      </c>
      <c r="D889" s="54">
        <f t="shared" si="103"/>
        <v>8.2850135715896835E-4</v>
      </c>
      <c r="E889" s="54">
        <f t="shared" ca="1" si="104"/>
        <v>-7.744531019941824E-3</v>
      </c>
      <c r="F889" s="64">
        <f t="shared" ca="1" si="105"/>
        <v>8.5730323771007928E-3</v>
      </c>
      <c r="G889">
        <f t="shared" ca="1" si="102"/>
        <v>1.510215563822917E-2</v>
      </c>
      <c r="H889">
        <f t="shared" ca="1" si="106"/>
        <v>-0.89890129258036455</v>
      </c>
      <c r="I889">
        <f t="shared" ca="1" si="107"/>
        <v>2.7274058657863542</v>
      </c>
      <c r="J889" s="57">
        <v>884</v>
      </c>
    </row>
    <row r="890" spans="2:10" x14ac:dyDescent="0.25">
      <c r="B890" s="53">
        <v>41466</v>
      </c>
      <c r="C890">
        <v>458.40258060000002</v>
      </c>
      <c r="D890" s="54">
        <f t="shared" si="103"/>
        <v>1.5728640063319334E-2</v>
      </c>
      <c r="E890" s="54">
        <f t="shared" ca="1" si="104"/>
        <v>-2.3397856364225943E-2</v>
      </c>
      <c r="F890" s="64">
        <f t="shared" ca="1" si="105"/>
        <v>3.9126496427545274E-2</v>
      </c>
      <c r="G890">
        <f t="shared" ca="1" si="102"/>
        <v>1.5426541627883613E-2</v>
      </c>
      <c r="H890">
        <f t="shared" ca="1" si="106"/>
        <v>-1.5215543032173786</v>
      </c>
      <c r="I890">
        <f t="shared" ca="1" si="107"/>
        <v>1.5949737310358865</v>
      </c>
      <c r="J890" s="60">
        <v>885</v>
      </c>
    </row>
    <row r="891" spans="2:10" x14ac:dyDescent="0.25">
      <c r="B891" s="53">
        <v>41467</v>
      </c>
      <c r="C891">
        <v>459.77743029999999</v>
      </c>
      <c r="D891" s="54">
        <f t="shared" si="103"/>
        <v>2.999218935897871E-3</v>
      </c>
      <c r="E891" s="54">
        <f t="shared" ca="1" si="104"/>
        <v>-5.6123369147234793E-2</v>
      </c>
      <c r="F891" s="64">
        <f t="shared" ca="1" si="105"/>
        <v>5.9122588083132664E-2</v>
      </c>
      <c r="G891">
        <f t="shared" ca="1" si="102"/>
        <v>2.5659007456155142E-2</v>
      </c>
      <c r="H891">
        <f t="shared" ca="1" si="106"/>
        <v>-2.2017896388206886</v>
      </c>
      <c r="I891">
        <f t="shared" ca="1" si="107"/>
        <v>3.7244952057064837E-2</v>
      </c>
      <c r="J891" s="57">
        <v>886</v>
      </c>
    </row>
    <row r="892" spans="2:10" x14ac:dyDescent="0.25">
      <c r="B892" s="53">
        <v>41470</v>
      </c>
      <c r="C892">
        <v>460.61928979999999</v>
      </c>
      <c r="D892" s="54">
        <f t="shared" si="103"/>
        <v>1.8310152793944096E-3</v>
      </c>
      <c r="E892" s="54">
        <f t="shared" ca="1" si="104"/>
        <v>3.4868671483027532E-2</v>
      </c>
      <c r="F892" s="64">
        <f t="shared" ca="1" si="105"/>
        <v>-3.3037656203633123E-2</v>
      </c>
      <c r="G892">
        <f t="shared" ca="1" si="102"/>
        <v>3.7227039855925272E-2</v>
      </c>
      <c r="H892">
        <f t="shared" ca="1" si="106"/>
        <v>0.74689184614124149</v>
      </c>
      <c r="I892">
        <f t="shared" ca="1" si="107"/>
        <v>1.8437760614182568</v>
      </c>
      <c r="J892" s="60">
        <v>887</v>
      </c>
    </row>
    <row r="893" spans="2:10" x14ac:dyDescent="0.25">
      <c r="B893" s="53">
        <v>41471</v>
      </c>
      <c r="C893">
        <v>458.08876780000003</v>
      </c>
      <c r="D893" s="54">
        <f t="shared" si="103"/>
        <v>-5.4937386601822732E-3</v>
      </c>
      <c r="E893" s="54">
        <f t="shared" ca="1" si="104"/>
        <v>5.9014914774617273E-3</v>
      </c>
      <c r="F893" s="64">
        <f t="shared" ca="1" si="105"/>
        <v>-1.1395230137644E-2</v>
      </c>
      <c r="G893">
        <f t="shared" ca="1" si="102"/>
        <v>1.5111971272115741E-2</v>
      </c>
      <c r="H893">
        <f t="shared" ca="1" si="106"/>
        <v>0.30138031280454836</v>
      </c>
      <c r="I893">
        <f t="shared" ca="1" si="107"/>
        <v>2.6524994182946329</v>
      </c>
      <c r="J893" s="57">
        <v>888</v>
      </c>
    </row>
    <row r="894" spans="2:10" x14ac:dyDescent="0.25">
      <c r="B894" s="53">
        <v>41472</v>
      </c>
      <c r="C894">
        <v>457.56075149999998</v>
      </c>
      <c r="D894" s="54">
        <f t="shared" si="103"/>
        <v>-1.152650615154522E-3</v>
      </c>
      <c r="E894" s="54">
        <f t="shared" ca="1" si="104"/>
        <v>5.6914456801654672E-3</v>
      </c>
      <c r="F894" s="64">
        <f t="shared" ca="1" si="105"/>
        <v>-6.844096295319989E-3</v>
      </c>
      <c r="G894">
        <f t="shared" ca="1" si="102"/>
        <v>6.1787671055167376E-3</v>
      </c>
      <c r="H894">
        <f t="shared" ca="1" si="106"/>
        <v>0.78805280065717287</v>
      </c>
      <c r="I894">
        <f t="shared" ca="1" si="107"/>
        <v>2.7262568420400548</v>
      </c>
      <c r="J894" s="60">
        <v>889</v>
      </c>
    </row>
    <row r="895" spans="2:10" x14ac:dyDescent="0.25">
      <c r="B895" s="53">
        <v>41473</v>
      </c>
      <c r="C895">
        <v>453.6404263</v>
      </c>
      <c r="D895" s="54">
        <f t="shared" si="103"/>
        <v>-8.5678791005307179E-3</v>
      </c>
      <c r="E895" s="54">
        <f t="shared" ca="1" si="104"/>
        <v>8.3242998148612152E-3</v>
      </c>
      <c r="F895" s="64">
        <f t="shared" ca="1" si="105"/>
        <v>-1.6892178915391933E-2</v>
      </c>
      <c r="G895">
        <f t="shared" ca="1" si="102"/>
        <v>1.3267353090747454E-2</v>
      </c>
      <c r="H895">
        <f t="shared" ca="1" si="106"/>
        <v>0.81340020637305455</v>
      </c>
      <c r="I895">
        <f t="shared" ca="1" si="107"/>
        <v>2.5187917652763958</v>
      </c>
      <c r="J895" s="57">
        <v>890</v>
      </c>
    </row>
    <row r="896" spans="2:10" x14ac:dyDescent="0.25">
      <c r="B896" s="53">
        <v>41474</v>
      </c>
      <c r="C896">
        <v>446.62671189999998</v>
      </c>
      <c r="D896" s="54">
        <f t="shared" si="103"/>
        <v>-1.5460955402951101E-2</v>
      </c>
      <c r="E896" s="54">
        <f t="shared" ca="1" si="104"/>
        <v>-5.8607939366695394E-4</v>
      </c>
      <c r="F896" s="64">
        <f t="shared" ca="1" si="105"/>
        <v>-1.4874876009284147E-2</v>
      </c>
      <c r="G896">
        <f t="shared" ca="1" si="102"/>
        <v>1.3945861221473791E-2</v>
      </c>
      <c r="H896">
        <f t="shared" ca="1" si="106"/>
        <v>-4.8941590100996645E-3</v>
      </c>
      <c r="I896">
        <f t="shared" ca="1" si="107"/>
        <v>2.5735314704316954</v>
      </c>
      <c r="J896" s="60">
        <v>891</v>
      </c>
    </row>
    <row r="897" spans="2:10" x14ac:dyDescent="0.25">
      <c r="B897" s="53">
        <v>41477</v>
      </c>
      <c r="C897">
        <v>453.650375</v>
      </c>
      <c r="D897" s="54">
        <f t="shared" si="103"/>
        <v>1.5726025588842577E-2</v>
      </c>
      <c r="E897" s="54">
        <f t="shared" ca="1" si="104"/>
        <v>-9.1998548749173265E-3</v>
      </c>
      <c r="F897" s="64">
        <f t="shared" ca="1" si="105"/>
        <v>2.4925880463759903E-2</v>
      </c>
      <c r="G897">
        <f t="shared" ca="1" si="102"/>
        <v>3.3345135079386034E-3</v>
      </c>
      <c r="H897">
        <f t="shared" ca="1" si="106"/>
        <v>-1.6049064762744689</v>
      </c>
      <c r="I897">
        <f t="shared" ca="1" si="107"/>
        <v>2.3089097762743287</v>
      </c>
      <c r="J897" s="57">
        <v>892</v>
      </c>
    </row>
    <row r="898" spans="2:10" x14ac:dyDescent="0.25">
      <c r="B898" s="53">
        <v>41478</v>
      </c>
      <c r="C898">
        <v>450.21326570000002</v>
      </c>
      <c r="D898" s="54">
        <f t="shared" si="103"/>
        <v>-7.5765600326021436E-3</v>
      </c>
      <c r="E898" s="54">
        <f t="shared" ca="1" si="104"/>
        <v>-1.6619383669384383E-2</v>
      </c>
      <c r="F898" s="64">
        <f t="shared" ca="1" si="105"/>
        <v>9.04282363678224E-3</v>
      </c>
      <c r="G898">
        <f t="shared" ca="1" si="102"/>
        <v>2.6818168826847007E-2</v>
      </c>
      <c r="H898">
        <f t="shared" ca="1" si="106"/>
        <v>-0.36079383407823623</v>
      </c>
      <c r="I898">
        <f t="shared" ca="1" si="107"/>
        <v>2.7214112764523382</v>
      </c>
      <c r="J898" s="60">
        <v>893</v>
      </c>
    </row>
    <row r="899" spans="2:10" x14ac:dyDescent="0.25">
      <c r="B899" s="53">
        <v>41479</v>
      </c>
      <c r="C899">
        <v>449.76493110000001</v>
      </c>
      <c r="D899" s="54">
        <f t="shared" si="103"/>
        <v>-9.9582716493911089E-4</v>
      </c>
      <c r="E899" s="54">
        <f t="shared" ca="1" si="104"/>
        <v>9.6777768110869224E-3</v>
      </c>
      <c r="F899" s="64">
        <f t="shared" ca="1" si="105"/>
        <v>-1.0673603976026033E-2</v>
      </c>
      <c r="G899">
        <f t="shared" ca="1" si="102"/>
        <v>8.6380284291525545E-3</v>
      </c>
      <c r="H899">
        <f t="shared" ca="1" si="106"/>
        <v>0.30273509101452756</v>
      </c>
      <c r="I899">
        <f t="shared" ca="1" si="107"/>
        <v>2.6664269091589685</v>
      </c>
      <c r="J899" s="57">
        <v>894</v>
      </c>
    </row>
    <row r="900" spans="2:10" x14ac:dyDescent="0.25">
      <c r="B900" s="53">
        <v>41480</v>
      </c>
      <c r="C900">
        <v>442.19332439999999</v>
      </c>
      <c r="D900" s="54">
        <f t="shared" si="103"/>
        <v>-1.6834586639474031E-2</v>
      </c>
      <c r="E900" s="54">
        <f t="shared" ca="1" si="104"/>
        <v>-3.9925948704146192E-3</v>
      </c>
      <c r="F900" s="64">
        <f t="shared" ca="1" si="105"/>
        <v>-1.2841991769059412E-2</v>
      </c>
      <c r="G900">
        <f t="shared" ca="1" si="102"/>
        <v>5.5158347436417877E-3</v>
      </c>
      <c r="H900">
        <f t="shared" ca="1" si="106"/>
        <v>-0.10692721579947753</v>
      </c>
      <c r="I900">
        <f t="shared" ca="1" si="107"/>
        <v>2.6220422899815969</v>
      </c>
      <c r="J900" s="60">
        <v>895</v>
      </c>
    </row>
    <row r="901" spans="2:10" x14ac:dyDescent="0.25">
      <c r="B901" s="53">
        <v>41481</v>
      </c>
      <c r="C901">
        <v>441.02269819999998</v>
      </c>
      <c r="D901" s="54">
        <f t="shared" si="103"/>
        <v>-2.6473176671954644E-3</v>
      </c>
      <c r="E901" s="54">
        <f t="shared" ca="1" si="104"/>
        <v>-2.8042400340374286E-3</v>
      </c>
      <c r="F901" s="64">
        <f t="shared" ca="1" si="105"/>
        <v>1.5692236684196424E-4</v>
      </c>
      <c r="G901">
        <f t="shared" ref="G901:G964" ca="1" si="108">SQRT(A_0+A_1*POWER(H900,2)+B_1*POWER(G900,2))</f>
        <v>2.4045884429423204E-3</v>
      </c>
      <c r="H901">
        <f t="shared" ca="1" si="106"/>
        <v>-0.98008621723316003</v>
      </c>
      <c r="I901">
        <f t="shared" ca="1" si="107"/>
        <v>2.7743796869826771</v>
      </c>
      <c r="J901" s="57">
        <v>896</v>
      </c>
    </row>
    <row r="902" spans="2:10" x14ac:dyDescent="0.25">
      <c r="B902" s="53">
        <v>41484</v>
      </c>
      <c r="C902">
        <v>439.48845490000002</v>
      </c>
      <c r="D902" s="54">
        <f t="shared" si="103"/>
        <v>-3.4788306957030846E-3</v>
      </c>
      <c r="E902" s="54">
        <f t="shared" ca="1" si="104"/>
        <v>1.4588329411573639E-2</v>
      </c>
      <c r="F902" s="64">
        <f t="shared" ca="1" si="105"/>
        <v>-1.8067160107276724E-2</v>
      </c>
      <c r="G902">
        <f t="shared" ca="1" si="108"/>
        <v>1.6399405894029832E-2</v>
      </c>
      <c r="H902">
        <f t="shared" ca="1" si="106"/>
        <v>1.3506053333000874</v>
      </c>
      <c r="I902">
        <f t="shared" ca="1" si="107"/>
        <v>2.4838783032706946</v>
      </c>
      <c r="J902" s="60">
        <v>897</v>
      </c>
    </row>
    <row r="903" spans="2:10" x14ac:dyDescent="0.25">
      <c r="B903" s="53">
        <v>41485</v>
      </c>
      <c r="C903">
        <v>443.79730030000002</v>
      </c>
      <c r="D903" s="54">
        <f t="shared" ref="D903:D966" si="109">(C903-C902)/C902</f>
        <v>9.804228875546727E-3</v>
      </c>
      <c r="E903" s="54">
        <f t="shared" ca="1" si="104"/>
        <v>-3.5229930381558118E-2</v>
      </c>
      <c r="F903" s="64">
        <f t="shared" ca="1" si="105"/>
        <v>4.5034159257104842E-2</v>
      </c>
      <c r="G903">
        <f t="shared" ca="1" si="108"/>
        <v>2.2873497044608233E-2</v>
      </c>
      <c r="H903">
        <f t="shared" ca="1" si="106"/>
        <v>-1.4882248646543914</v>
      </c>
      <c r="I903">
        <f t="shared" ca="1" si="107"/>
        <v>1.2019961397303158</v>
      </c>
      <c r="J903" s="57">
        <v>898</v>
      </c>
    </row>
    <row r="904" spans="2:10" x14ac:dyDescent="0.25">
      <c r="B904" s="53">
        <v>41486</v>
      </c>
      <c r="C904">
        <v>442.21822650000001</v>
      </c>
      <c r="D904" s="54">
        <f t="shared" si="109"/>
        <v>-3.5580969035471244E-3</v>
      </c>
      <c r="E904" s="54">
        <f t="shared" ref="E904:E967" ca="1" si="110">((E_1*D903)+(E_2*D902)+(G904*H904))</f>
        <v>-1.0976172505202724E-2</v>
      </c>
      <c r="F904" s="64">
        <f t="shared" ca="1" si="105"/>
        <v>7.4180756016556E-3</v>
      </c>
      <c r="G904">
        <f t="shared" ca="1" si="108"/>
        <v>2.5401586250151896E-2</v>
      </c>
      <c r="H904">
        <f t="shared" ca="1" si="106"/>
        <v>-0.37060397853167482</v>
      </c>
      <c r="I904">
        <f t="shared" ca="1" si="107"/>
        <v>2.7406272561074951</v>
      </c>
      <c r="J904" s="60">
        <v>899</v>
      </c>
    </row>
    <row r="905" spans="2:10" x14ac:dyDescent="0.25">
      <c r="B905" s="53">
        <v>41487</v>
      </c>
      <c r="C905">
        <v>450.4224949</v>
      </c>
      <c r="D905" s="54">
        <f t="shared" si="109"/>
        <v>1.8552533361037279E-2</v>
      </c>
      <c r="E905" s="54">
        <f t="shared" ca="1" si="110"/>
        <v>-8.3609115262162255E-4</v>
      </c>
      <c r="F905" s="64">
        <f t="shared" ref="F905:F968" ca="1" si="111">D905-E905</f>
        <v>1.93886245136589E-2</v>
      </c>
      <c r="G905">
        <f t="shared" ca="1" si="108"/>
        <v>8.5308244788530607E-3</v>
      </c>
      <c r="H905">
        <f t="shared" ref="H905:H968" ca="1" si="112">_xlfn.NORM.INV(RAND(),0,1)</f>
        <v>-0.61416166727163868</v>
      </c>
      <c r="I905">
        <f t="shared" ref="I905:I968" ca="1" si="113">LN(_xlfn.NORM.DIST(F905,AVERAGE($F$8:$F$1413),_xlfn.STDEV.S($F$8:$F$1413),FALSE))</f>
        <v>2.498999769729279</v>
      </c>
      <c r="J905" s="57">
        <v>900</v>
      </c>
    </row>
    <row r="906" spans="2:10" x14ac:dyDescent="0.25">
      <c r="B906" s="53">
        <v>41488</v>
      </c>
      <c r="C906">
        <v>451.59309020000001</v>
      </c>
      <c r="D906" s="54">
        <f t="shared" si="109"/>
        <v>2.5988828561057781E-3</v>
      </c>
      <c r="E906" s="54">
        <f t="shared" ca="1" si="110"/>
        <v>-3.2964372733084654E-3</v>
      </c>
      <c r="F906" s="64">
        <f t="shared" ca="1" si="111"/>
        <v>5.895320129414244E-3</v>
      </c>
      <c r="G906">
        <f t="shared" ca="1" si="108"/>
        <v>1.0482582528283249E-2</v>
      </c>
      <c r="H906">
        <f t="shared" ca="1" si="112"/>
        <v>-0.16205399871672899</v>
      </c>
      <c r="I906">
        <f t="shared" ca="1" si="113"/>
        <v>2.7547649191123202</v>
      </c>
      <c r="J906" s="60">
        <v>901</v>
      </c>
    </row>
    <row r="907" spans="2:10" x14ac:dyDescent="0.25">
      <c r="B907" s="53">
        <v>41491</v>
      </c>
      <c r="C907">
        <v>450.81101460000002</v>
      </c>
      <c r="D907" s="54">
        <f t="shared" si="109"/>
        <v>-1.7318148062310291E-3</v>
      </c>
      <c r="E907" s="54">
        <f t="shared" ca="1" si="110"/>
        <v>1.1274515383729377E-2</v>
      </c>
      <c r="F907" s="64">
        <f t="shared" ca="1" si="111"/>
        <v>-1.3006330189960407E-2</v>
      </c>
      <c r="G907">
        <f t="shared" ca="1" si="108"/>
        <v>3.7466885608547717E-3</v>
      </c>
      <c r="H907">
        <f t="shared" ca="1" si="112"/>
        <v>0.78526844130039974</v>
      </c>
      <c r="I907">
        <f t="shared" ca="1" si="113"/>
        <v>2.618368751150244</v>
      </c>
      <c r="J907" s="57">
        <v>902</v>
      </c>
    </row>
    <row r="908" spans="2:10" x14ac:dyDescent="0.25">
      <c r="B908" s="53">
        <v>41492</v>
      </c>
      <c r="C908">
        <v>446.61175800000001</v>
      </c>
      <c r="D908" s="54">
        <f t="shared" si="109"/>
        <v>-9.3148935230120099E-3</v>
      </c>
      <c r="E908" s="54">
        <f t="shared" ca="1" si="110"/>
        <v>5.9136762911698344E-3</v>
      </c>
      <c r="F908" s="64">
        <f t="shared" ca="1" si="111"/>
        <v>-1.5228569814181844E-2</v>
      </c>
      <c r="G908">
        <f t="shared" ca="1" si="108"/>
        <v>1.3173807037263102E-2</v>
      </c>
      <c r="H908">
        <f t="shared" ca="1" si="112"/>
        <v>0.3602979594907218</v>
      </c>
      <c r="I908">
        <f t="shared" ca="1" si="113"/>
        <v>2.5644093157404209</v>
      </c>
      <c r="J908" s="60">
        <v>903</v>
      </c>
    </row>
    <row r="909" spans="2:10" x14ac:dyDescent="0.25">
      <c r="B909" s="53">
        <v>41493</v>
      </c>
      <c r="C909">
        <v>443.66280890000002</v>
      </c>
      <c r="D909" s="54">
        <f t="shared" si="109"/>
        <v>-6.6029365487506779E-3</v>
      </c>
      <c r="E909" s="54">
        <f t="shared" ca="1" si="110"/>
        <v>-2.6159808707594771E-3</v>
      </c>
      <c r="F909" s="64">
        <f t="shared" ca="1" si="111"/>
        <v>-3.9869556779912009E-3</v>
      </c>
      <c r="G909">
        <f t="shared" ca="1" si="108"/>
        <v>6.7965446787608737E-3</v>
      </c>
      <c r="H909">
        <f t="shared" ca="1" si="112"/>
        <v>-0.27043559848837595</v>
      </c>
      <c r="I909">
        <f t="shared" ca="1" si="113"/>
        <v>2.755460894333126</v>
      </c>
      <c r="J909" s="57">
        <v>904</v>
      </c>
    </row>
    <row r="910" spans="2:10" x14ac:dyDescent="0.25">
      <c r="B910" s="53">
        <v>41494</v>
      </c>
      <c r="C910">
        <v>444.66406189999998</v>
      </c>
      <c r="D910" s="54">
        <f t="shared" si="109"/>
        <v>2.2567882182471634E-3</v>
      </c>
      <c r="E910" s="54">
        <f t="shared" ca="1" si="110"/>
        <v>-1.9085970023699369E-3</v>
      </c>
      <c r="F910" s="64">
        <f t="shared" ca="1" si="111"/>
        <v>4.1653852206170999E-3</v>
      </c>
      <c r="G910">
        <f t="shared" ca="1" si="108"/>
        <v>4.8776259772164094E-3</v>
      </c>
      <c r="H910">
        <f t="shared" ca="1" si="112"/>
        <v>0.46641994348322541</v>
      </c>
      <c r="I910">
        <f t="shared" ca="1" si="113"/>
        <v>2.7662802256841568</v>
      </c>
      <c r="J910" s="60">
        <v>905</v>
      </c>
    </row>
    <row r="911" spans="2:10" x14ac:dyDescent="0.25">
      <c r="B911" s="53">
        <v>41495</v>
      </c>
      <c r="C911">
        <v>443.54324100000002</v>
      </c>
      <c r="D911" s="54">
        <f t="shared" si="109"/>
        <v>-2.5206014968037057E-3</v>
      </c>
      <c r="E911" s="54">
        <f t="shared" ca="1" si="110"/>
        <v>-4.3343116409525267E-3</v>
      </c>
      <c r="F911" s="64">
        <f t="shared" ca="1" si="111"/>
        <v>1.813710144148821E-3</v>
      </c>
      <c r="G911">
        <f t="shared" ca="1" si="108"/>
        <v>7.9286167156678491E-3</v>
      </c>
      <c r="H911">
        <f t="shared" ca="1" si="112"/>
        <v>-0.17264543515471681</v>
      </c>
      <c r="I911">
        <f t="shared" ca="1" si="113"/>
        <v>2.7741796606630533</v>
      </c>
      <c r="J911" s="57">
        <v>906</v>
      </c>
    </row>
    <row r="912" spans="2:10" x14ac:dyDescent="0.25">
      <c r="B912" s="53">
        <v>41498</v>
      </c>
      <c r="C912">
        <v>441.1024104</v>
      </c>
      <c r="D912" s="54">
        <f t="shared" si="109"/>
        <v>-5.5030273812695218E-3</v>
      </c>
      <c r="E912" s="54">
        <f t="shared" ca="1" si="110"/>
        <v>3.1070637685057618E-3</v>
      </c>
      <c r="F912" s="64">
        <f t="shared" ca="1" si="111"/>
        <v>-8.6100911497752827E-3</v>
      </c>
      <c r="G912">
        <f t="shared" ca="1" si="108"/>
        <v>3.5474865781533554E-3</v>
      </c>
      <c r="H912">
        <f t="shared" ca="1" si="112"/>
        <v>0.59014695967543351</v>
      </c>
      <c r="I912">
        <f t="shared" ca="1" si="113"/>
        <v>2.7016100160808114</v>
      </c>
      <c r="J912" s="60">
        <v>907</v>
      </c>
    </row>
    <row r="913" spans="2:10" x14ac:dyDescent="0.25">
      <c r="B913" s="53">
        <v>41499</v>
      </c>
      <c r="C913">
        <v>438.9803364</v>
      </c>
      <c r="D913" s="54">
        <f t="shared" si="109"/>
        <v>-4.8108419948910755E-3</v>
      </c>
      <c r="E913" s="54">
        <f t="shared" ca="1" si="110"/>
        <v>-3.8525251954820523E-3</v>
      </c>
      <c r="F913" s="64">
        <f t="shared" ca="1" si="111"/>
        <v>-9.5831679940902321E-4</v>
      </c>
      <c r="G913">
        <f t="shared" ca="1" si="108"/>
        <v>9.9349213868419953E-3</v>
      </c>
      <c r="H913">
        <f t="shared" ca="1" si="112"/>
        <v>-0.27381975533438291</v>
      </c>
      <c r="I913">
        <f t="shared" ca="1" si="113"/>
        <v>2.7720168083684729</v>
      </c>
      <c r="J913" s="57">
        <v>908</v>
      </c>
    </row>
    <row r="914" spans="2:10" x14ac:dyDescent="0.25">
      <c r="B914" s="53">
        <v>41500</v>
      </c>
      <c r="C914">
        <v>433.28168790000001</v>
      </c>
      <c r="D914" s="54">
        <f t="shared" si="109"/>
        <v>-1.2981557549328058E-2</v>
      </c>
      <c r="E914" s="54">
        <f t="shared" ca="1" si="110"/>
        <v>-8.0030225928447076E-4</v>
      </c>
      <c r="F914" s="64">
        <f t="shared" ca="1" si="111"/>
        <v>-1.2181255290043588E-2</v>
      </c>
      <c r="G914">
        <f t="shared" ca="1" si="108"/>
        <v>5.1990304123966198E-3</v>
      </c>
      <c r="H914">
        <f t="shared" ca="1" si="112"/>
        <v>0.32146387486615541</v>
      </c>
      <c r="I914">
        <f t="shared" ca="1" si="113"/>
        <v>2.6363716439768288</v>
      </c>
      <c r="J914" s="60">
        <v>909</v>
      </c>
    </row>
    <row r="915" spans="2:10" x14ac:dyDescent="0.25">
      <c r="B915" s="53">
        <v>41501</v>
      </c>
      <c r="C915">
        <v>428.2256486</v>
      </c>
      <c r="D915" s="54">
        <f t="shared" si="109"/>
        <v>-1.1669173752773338E-2</v>
      </c>
      <c r="E915" s="54">
        <f t="shared" ca="1" si="110"/>
        <v>5.719380653260735E-3</v>
      </c>
      <c r="F915" s="64">
        <f t="shared" ca="1" si="111"/>
        <v>-1.7388554406034075E-2</v>
      </c>
      <c r="G915">
        <f t="shared" ca="1" si="108"/>
        <v>5.5867308047985098E-3</v>
      </c>
      <c r="H915">
        <f t="shared" ca="1" si="112"/>
        <v>1.4105297246695108</v>
      </c>
      <c r="I915">
        <f t="shared" ca="1" si="113"/>
        <v>2.5043145611565882</v>
      </c>
      <c r="J915" s="57">
        <v>910</v>
      </c>
    </row>
    <row r="916" spans="2:10" x14ac:dyDescent="0.25">
      <c r="B916" s="53">
        <v>41502</v>
      </c>
      <c r="C916">
        <v>426.85577330000001</v>
      </c>
      <c r="D916" s="54">
        <f t="shared" si="109"/>
        <v>-3.1989566820168971E-3</v>
      </c>
      <c r="E916" s="54">
        <f t="shared" ca="1" si="110"/>
        <v>-6.7122483024375139E-3</v>
      </c>
      <c r="F916" s="64">
        <f t="shared" ca="1" si="111"/>
        <v>3.5132916204206168E-3</v>
      </c>
      <c r="G916">
        <f t="shared" ca="1" si="108"/>
        <v>2.3599913351645182E-2</v>
      </c>
      <c r="H916">
        <f t="shared" ca="1" si="112"/>
        <v>-3.7363260358578683E-2</v>
      </c>
      <c r="I916">
        <f t="shared" ca="1" si="113"/>
        <v>2.7693660084547895</v>
      </c>
      <c r="J916" s="60">
        <v>911</v>
      </c>
    </row>
    <row r="917" spans="2:10" x14ac:dyDescent="0.25">
      <c r="B917" s="53">
        <v>41505</v>
      </c>
      <c r="C917">
        <v>431.20944909999997</v>
      </c>
      <c r="D917" s="54">
        <f t="shared" si="109"/>
        <v>1.0199407088586196E-2</v>
      </c>
      <c r="E917" s="54">
        <f t="shared" ca="1" si="110"/>
        <v>-1.3376811564881217E-2</v>
      </c>
      <c r="F917" s="64">
        <f t="shared" ca="1" si="111"/>
        <v>2.3576218653467415E-2</v>
      </c>
      <c r="G917">
        <f t="shared" ca="1" si="108"/>
        <v>5.5059327855613311E-3</v>
      </c>
      <c r="H917">
        <f t="shared" ca="1" si="112"/>
        <v>-1.4776600270169218</v>
      </c>
      <c r="I917">
        <f t="shared" ca="1" si="113"/>
        <v>2.3598086659820985</v>
      </c>
      <c r="J917" s="57">
        <v>912</v>
      </c>
    </row>
    <row r="918" spans="2:10" x14ac:dyDescent="0.25">
      <c r="B918" s="53">
        <v>41506</v>
      </c>
      <c r="C918">
        <v>431.09488599999997</v>
      </c>
      <c r="D918" s="54">
        <f t="shared" si="109"/>
        <v>-2.6567854725611584E-4</v>
      </c>
      <c r="E918" s="54">
        <f t="shared" ca="1" si="110"/>
        <v>-1.5245274463043065E-2</v>
      </c>
      <c r="F918" s="64">
        <f t="shared" ca="1" si="111"/>
        <v>1.497959591578695E-2</v>
      </c>
      <c r="G918">
        <f t="shared" ca="1" si="108"/>
        <v>2.4716947108814454E-2</v>
      </c>
      <c r="H918">
        <f t="shared" ca="1" si="112"/>
        <v>-0.55867476908190405</v>
      </c>
      <c r="I918">
        <f t="shared" ca="1" si="113"/>
        <v>2.6149304362337777</v>
      </c>
      <c r="J918" s="60">
        <v>913</v>
      </c>
    </row>
    <row r="919" spans="2:10" x14ac:dyDescent="0.25">
      <c r="B919" s="53">
        <v>41507</v>
      </c>
      <c r="C919">
        <v>433.0425821</v>
      </c>
      <c r="D919" s="54">
        <f t="shared" si="109"/>
        <v>4.5180218166634206E-3</v>
      </c>
      <c r="E919" s="54">
        <f t="shared" ca="1" si="110"/>
        <v>9.3590339957106434E-3</v>
      </c>
      <c r="F919" s="64">
        <f t="shared" ca="1" si="111"/>
        <v>-4.8410121790472228E-3</v>
      </c>
      <c r="G919">
        <f t="shared" ca="1" si="108"/>
        <v>1.0940130281430831E-2</v>
      </c>
      <c r="H919">
        <f t="shared" ca="1" si="112"/>
        <v>0.43676633186403913</v>
      </c>
      <c r="I919">
        <f t="shared" ca="1" si="113"/>
        <v>2.7481132880620547</v>
      </c>
      <c r="J919" s="57">
        <v>914</v>
      </c>
    </row>
    <row r="920" spans="2:10" x14ac:dyDescent="0.25">
      <c r="B920" s="53">
        <v>41508</v>
      </c>
      <c r="C920">
        <v>435.2244096</v>
      </c>
      <c r="D920" s="54">
        <f t="shared" si="109"/>
        <v>5.0383671033444937E-3</v>
      </c>
      <c r="E920" s="54">
        <f t="shared" ca="1" si="110"/>
        <v>3.4114651764175336E-3</v>
      </c>
      <c r="F920" s="64">
        <f t="shared" ca="1" si="111"/>
        <v>1.6269019269269601E-3</v>
      </c>
      <c r="G920">
        <f t="shared" ca="1" si="108"/>
        <v>7.7703619424882289E-3</v>
      </c>
      <c r="H920">
        <f t="shared" ca="1" si="112"/>
        <v>0.45438152019486777</v>
      </c>
      <c r="I920">
        <f t="shared" ca="1" si="113"/>
        <v>2.7744240601321657</v>
      </c>
      <c r="J920" s="60">
        <v>915</v>
      </c>
    </row>
    <row r="921" spans="2:10" x14ac:dyDescent="0.25">
      <c r="B921" s="53">
        <v>41509</v>
      </c>
      <c r="C921">
        <v>433.4809679</v>
      </c>
      <c r="D921" s="54">
        <f t="shared" si="109"/>
        <v>-4.0058454019211457E-3</v>
      </c>
      <c r="E921" s="54">
        <f t="shared" ca="1" si="110"/>
        <v>-5.2129087638114182E-3</v>
      </c>
      <c r="F921" s="64">
        <f t="shared" ca="1" si="111"/>
        <v>1.2070633618902725E-3</v>
      </c>
      <c r="G921">
        <f t="shared" ca="1" si="108"/>
        <v>7.8532578169234427E-3</v>
      </c>
      <c r="H921">
        <f t="shared" ca="1" si="112"/>
        <v>-0.92218157709247262</v>
      </c>
      <c r="I921">
        <f t="shared" ca="1" si="113"/>
        <v>2.7747675704355341</v>
      </c>
      <c r="J921" s="57">
        <v>916</v>
      </c>
    </row>
    <row r="922" spans="2:10" x14ac:dyDescent="0.25">
      <c r="B922" s="53">
        <v>41512</v>
      </c>
      <c r="C922">
        <v>431.5780714</v>
      </c>
      <c r="D922" s="54">
        <f t="shared" si="109"/>
        <v>-4.3898040304251084E-3</v>
      </c>
      <c r="E922" s="54">
        <f t="shared" ca="1" si="110"/>
        <v>-7.0826484649242627E-3</v>
      </c>
      <c r="F922" s="64">
        <f t="shared" ca="1" si="111"/>
        <v>2.6928444344991543E-3</v>
      </c>
      <c r="G922">
        <f t="shared" ca="1" si="108"/>
        <v>1.5529094797703704E-2</v>
      </c>
      <c r="H922">
        <f t="shared" ca="1" si="112"/>
        <v>-0.60180011317494742</v>
      </c>
      <c r="I922">
        <f t="shared" ca="1" si="113"/>
        <v>2.7722724325990233</v>
      </c>
      <c r="J922" s="60">
        <v>917</v>
      </c>
    </row>
    <row r="923" spans="2:10" x14ac:dyDescent="0.25">
      <c r="B923" s="53">
        <v>41513</v>
      </c>
      <c r="C923">
        <v>423.48839700000002</v>
      </c>
      <c r="D923" s="54">
        <f t="shared" si="109"/>
        <v>-1.8744405557395007E-2</v>
      </c>
      <c r="E923" s="54">
        <f t="shared" ca="1" si="110"/>
        <v>1.2483314199344783E-2</v>
      </c>
      <c r="F923" s="64">
        <f t="shared" ca="1" si="111"/>
        <v>-3.122771975673979E-2</v>
      </c>
      <c r="G923">
        <f t="shared" ca="1" si="108"/>
        <v>1.0697495757557064E-2</v>
      </c>
      <c r="H923">
        <f t="shared" ca="1" si="112"/>
        <v>1.3351251148144578</v>
      </c>
      <c r="I923">
        <f t="shared" ca="1" si="113"/>
        <v>1.940407966950773</v>
      </c>
      <c r="J923" s="57">
        <v>918</v>
      </c>
    </row>
    <row r="924" spans="2:10" x14ac:dyDescent="0.25">
      <c r="B924" s="53">
        <v>41514</v>
      </c>
      <c r="C924">
        <v>422.69136800000001</v>
      </c>
      <c r="D924" s="54">
        <f t="shared" si="109"/>
        <v>-1.882056286892812E-3</v>
      </c>
      <c r="E924" s="54">
        <f t="shared" ca="1" si="110"/>
        <v>-3.7635701322443014E-4</v>
      </c>
      <c r="F924" s="64">
        <f t="shared" ca="1" si="111"/>
        <v>-1.5056992736683819E-3</v>
      </c>
      <c r="G924">
        <f t="shared" ca="1" si="108"/>
        <v>2.2440898684941691E-2</v>
      </c>
      <c r="H924">
        <f t="shared" ca="1" si="112"/>
        <v>7.1098530907688098E-2</v>
      </c>
      <c r="I924">
        <f t="shared" ca="1" si="113"/>
        <v>2.7701218199266147</v>
      </c>
      <c r="J924" s="60">
        <v>919</v>
      </c>
    </row>
    <row r="925" spans="2:10" x14ac:dyDescent="0.25">
      <c r="B925" s="53">
        <v>41515</v>
      </c>
      <c r="C925">
        <v>426.11852859999999</v>
      </c>
      <c r="D925" s="54">
        <f t="shared" si="109"/>
        <v>8.1079502905769749E-3</v>
      </c>
      <c r="E925" s="54">
        <f t="shared" ca="1" si="110"/>
        <v>-8.6134699078712768E-3</v>
      </c>
      <c r="F925" s="64">
        <f t="shared" ca="1" si="111"/>
        <v>1.6721420198448252E-2</v>
      </c>
      <c r="G925">
        <f t="shared" ca="1" si="108"/>
        <v>5.3446191522578557E-3</v>
      </c>
      <c r="H925">
        <f t="shared" ca="1" si="112"/>
        <v>-3.6475848315091389E-2</v>
      </c>
      <c r="I925">
        <f t="shared" ca="1" si="113"/>
        <v>2.5728842650300989</v>
      </c>
      <c r="J925" s="57">
        <v>920</v>
      </c>
    </row>
    <row r="926" spans="2:10" x14ac:dyDescent="0.25">
      <c r="B926" s="53">
        <v>41516</v>
      </c>
      <c r="C926">
        <v>421.86946719999997</v>
      </c>
      <c r="D926" s="54">
        <f t="shared" si="109"/>
        <v>-9.9715480900588477E-3</v>
      </c>
      <c r="E926" s="54">
        <f t="shared" ca="1" si="110"/>
        <v>1.278804146046105E-3</v>
      </c>
      <c r="F926" s="64">
        <f t="shared" ca="1" si="111"/>
        <v>-1.1250352236104953E-2</v>
      </c>
      <c r="G926">
        <f t="shared" ca="1" si="108"/>
        <v>1.6943317493605852E-3</v>
      </c>
      <c r="H926">
        <f t="shared" ca="1" si="112"/>
        <v>1.2535523764405596</v>
      </c>
      <c r="I926">
        <f t="shared" ca="1" si="113"/>
        <v>2.6553630875260379</v>
      </c>
      <c r="J926" s="60">
        <v>921</v>
      </c>
    </row>
    <row r="927" spans="2:10" x14ac:dyDescent="0.25">
      <c r="B927" s="53">
        <v>41520</v>
      </c>
      <c r="C927">
        <v>428.58429189999998</v>
      </c>
      <c r="D927" s="54">
        <f t="shared" si="109"/>
        <v>1.591683025692078E-2</v>
      </c>
      <c r="E927" s="54">
        <f t="shared" ca="1" si="110"/>
        <v>2.0348832032570055E-2</v>
      </c>
      <c r="F927" s="64">
        <f t="shared" ca="1" si="111"/>
        <v>-4.4320017756492754E-3</v>
      </c>
      <c r="G927">
        <f t="shared" ca="1" si="108"/>
        <v>2.0951623174177397E-2</v>
      </c>
      <c r="H927">
        <f t="shared" ca="1" si="112"/>
        <v>0.79743516163097405</v>
      </c>
      <c r="I927">
        <f t="shared" ca="1" si="113"/>
        <v>2.7517791365383277</v>
      </c>
      <c r="J927" s="57">
        <v>922</v>
      </c>
    </row>
    <row r="928" spans="2:10" x14ac:dyDescent="0.25">
      <c r="B928" s="53">
        <v>41521</v>
      </c>
      <c r="C928">
        <v>434.18830559999998</v>
      </c>
      <c r="D928" s="54">
        <f t="shared" si="109"/>
        <v>1.307563950875633E-2</v>
      </c>
      <c r="E928" s="54">
        <f t="shared" ca="1" si="110"/>
        <v>-7.950695192307719E-3</v>
      </c>
      <c r="F928" s="64">
        <f t="shared" ca="1" si="111"/>
        <v>2.1026334701064048E-2</v>
      </c>
      <c r="G928">
        <f t="shared" ca="1" si="108"/>
        <v>1.4176403899598152E-2</v>
      </c>
      <c r="H928">
        <f t="shared" ca="1" si="112"/>
        <v>-0.24495263805439055</v>
      </c>
      <c r="I928">
        <f t="shared" ca="1" si="113"/>
        <v>2.4479377144352203</v>
      </c>
      <c r="J928" s="60">
        <v>923</v>
      </c>
    </row>
    <row r="929" spans="2:10" x14ac:dyDescent="0.25">
      <c r="B929" s="53">
        <v>41522</v>
      </c>
      <c r="C929">
        <v>438.13850780000001</v>
      </c>
      <c r="D929" s="54">
        <f t="shared" si="109"/>
        <v>9.0979009546129867E-3</v>
      </c>
      <c r="E929" s="54">
        <f t="shared" ca="1" si="110"/>
        <v>8.7331297650294661E-3</v>
      </c>
      <c r="F929" s="64">
        <f t="shared" ca="1" si="111"/>
        <v>3.647711895835206E-4</v>
      </c>
      <c r="G929">
        <f t="shared" ca="1" si="108"/>
        <v>5.3071515736947666E-3</v>
      </c>
      <c r="H929">
        <f t="shared" ca="1" si="112"/>
        <v>0.29852872064154296</v>
      </c>
      <c r="I929">
        <f t="shared" ca="1" si="113"/>
        <v>2.7745978928699664</v>
      </c>
      <c r="J929" s="57">
        <v>924</v>
      </c>
    </row>
    <row r="930" spans="2:10" x14ac:dyDescent="0.25">
      <c r="B930" s="53">
        <v>41523</v>
      </c>
      <c r="C930">
        <v>438.14845650000001</v>
      </c>
      <c r="D930" s="54">
        <f t="shared" si="109"/>
        <v>2.2706746434934952E-5</v>
      </c>
      <c r="E930" s="54">
        <f t="shared" ca="1" si="110"/>
        <v>-1.9490684423210947E-4</v>
      </c>
      <c r="F930" s="64">
        <f t="shared" ca="1" si="111"/>
        <v>2.1761359066704443E-4</v>
      </c>
      <c r="G930">
        <f t="shared" ca="1" si="108"/>
        <v>5.2257831235839785E-3</v>
      </c>
      <c r="H930">
        <f t="shared" ca="1" si="112"/>
        <v>-1.1610882190299481</v>
      </c>
      <c r="I930">
        <f t="shared" ca="1" si="113"/>
        <v>2.7744506177084736</v>
      </c>
      <c r="J930" s="60">
        <v>925</v>
      </c>
    </row>
    <row r="931" spans="2:10" x14ac:dyDescent="0.25">
      <c r="B931" s="53">
        <v>41526</v>
      </c>
      <c r="C931">
        <v>442.36767140000001</v>
      </c>
      <c r="D931" s="54">
        <f t="shared" si="109"/>
        <v>9.6296468409446442E-3</v>
      </c>
      <c r="E931" s="54">
        <f t="shared" ca="1" si="110"/>
        <v>-2.6899896933526804E-2</v>
      </c>
      <c r="F931" s="64">
        <f t="shared" ca="1" si="111"/>
        <v>3.652954377447145E-2</v>
      </c>
      <c r="G931">
        <f t="shared" ca="1" si="108"/>
        <v>1.944311253372193E-2</v>
      </c>
      <c r="H931">
        <f t="shared" ca="1" si="112"/>
        <v>-1.5936721451405582</v>
      </c>
      <c r="I931">
        <f t="shared" ca="1" si="113"/>
        <v>1.7498801704223879</v>
      </c>
      <c r="J931" s="57">
        <v>926</v>
      </c>
    </row>
    <row r="932" spans="2:10" x14ac:dyDescent="0.25">
      <c r="B932" s="53">
        <v>41527</v>
      </c>
      <c r="C932">
        <v>442.67650980000002</v>
      </c>
      <c r="D932" s="54">
        <f t="shared" si="109"/>
        <v>6.9814866674728997E-4</v>
      </c>
      <c r="E932" s="54">
        <f t="shared" ca="1" si="110"/>
        <v>-2.3626447501475262E-2</v>
      </c>
      <c r="F932" s="64">
        <f t="shared" ca="1" si="111"/>
        <v>2.4324596168222551E-2</v>
      </c>
      <c r="G932">
        <f t="shared" ca="1" si="108"/>
        <v>2.6986061937667172E-2</v>
      </c>
      <c r="H932">
        <f t="shared" ca="1" si="112"/>
        <v>-0.875889618979661</v>
      </c>
      <c r="I932">
        <f t="shared" ca="1" si="113"/>
        <v>2.33194914087828</v>
      </c>
      <c r="J932" s="60">
        <v>927</v>
      </c>
    </row>
    <row r="933" spans="2:10" x14ac:dyDescent="0.25">
      <c r="B933" s="53">
        <v>41528</v>
      </c>
      <c r="C933">
        <v>446.42245750000001</v>
      </c>
      <c r="D933" s="54">
        <f t="shared" si="109"/>
        <v>8.4620430880608423E-3</v>
      </c>
      <c r="E933" s="54">
        <f t="shared" ca="1" si="110"/>
        <v>5.8201597213955736E-3</v>
      </c>
      <c r="F933" s="64">
        <f t="shared" ca="1" si="111"/>
        <v>2.6418833666652687E-3</v>
      </c>
      <c r="G933">
        <f t="shared" ca="1" si="108"/>
        <v>1.5892172243134078E-2</v>
      </c>
      <c r="H933">
        <f t="shared" ca="1" si="112"/>
        <v>9.4089115348520116E-2</v>
      </c>
      <c r="I933">
        <f t="shared" ca="1" si="113"/>
        <v>2.7724170855425276</v>
      </c>
      <c r="J933" s="57">
        <v>928</v>
      </c>
    </row>
    <row r="934" spans="2:10" x14ac:dyDescent="0.25">
      <c r="B934" s="53">
        <v>41529</v>
      </c>
      <c r="C934">
        <v>444.86331159999997</v>
      </c>
      <c r="D934" s="54">
        <f t="shared" si="109"/>
        <v>-3.4925346469605704E-3</v>
      </c>
      <c r="E934" s="54">
        <f t="shared" ca="1" si="110"/>
        <v>-2.3409572774944973E-3</v>
      </c>
      <c r="F934" s="64">
        <f t="shared" ca="1" si="111"/>
        <v>-1.1515773694660732E-3</v>
      </c>
      <c r="G934">
        <f t="shared" ca="1" si="108"/>
        <v>4.0734649037568035E-3</v>
      </c>
      <c r="H934">
        <f t="shared" ca="1" si="112"/>
        <v>-0.65169474136636973</v>
      </c>
      <c r="I934">
        <f t="shared" ca="1" si="113"/>
        <v>2.7714030469883442</v>
      </c>
      <c r="J934" s="60">
        <v>929</v>
      </c>
    </row>
    <row r="935" spans="2:10" x14ac:dyDescent="0.25">
      <c r="B935" s="53">
        <v>41530</v>
      </c>
      <c r="C935">
        <v>442.87575939999999</v>
      </c>
      <c r="D935" s="54">
        <f t="shared" si="109"/>
        <v>-4.4677817841429343E-3</v>
      </c>
      <c r="E935" s="54">
        <f t="shared" ca="1" si="110"/>
        <v>-1.1916125193951262E-3</v>
      </c>
      <c r="F935" s="64">
        <f t="shared" ca="1" si="111"/>
        <v>-3.2761692647478081E-3</v>
      </c>
      <c r="G935">
        <f t="shared" ca="1" si="108"/>
        <v>1.0963827792779169E-2</v>
      </c>
      <c r="H935">
        <f t="shared" ca="1" si="112"/>
        <v>-0.4553177464249048</v>
      </c>
      <c r="I935">
        <f t="shared" ca="1" si="113"/>
        <v>2.7606773473886279</v>
      </c>
      <c r="J935" s="57">
        <v>930</v>
      </c>
    </row>
    <row r="936" spans="2:10" x14ac:dyDescent="0.25">
      <c r="B936" s="53">
        <v>41533</v>
      </c>
      <c r="C936">
        <v>442.22320089999999</v>
      </c>
      <c r="D936" s="54">
        <f t="shared" si="109"/>
        <v>-1.4734572533029854E-3</v>
      </c>
      <c r="E936" s="54">
        <f t="shared" ca="1" si="110"/>
        <v>-9.7860605025289083E-3</v>
      </c>
      <c r="F936" s="64">
        <f t="shared" ca="1" si="111"/>
        <v>8.3126032492259229E-3</v>
      </c>
      <c r="G936">
        <f t="shared" ca="1" si="108"/>
        <v>8.0632674482659823E-3</v>
      </c>
      <c r="H936">
        <f t="shared" ca="1" si="112"/>
        <v>-1.0191174111576986</v>
      </c>
      <c r="I936">
        <f t="shared" ca="1" si="113"/>
        <v>2.7305753366868952</v>
      </c>
      <c r="J936" s="60">
        <v>931</v>
      </c>
    </row>
    <row r="937" spans="2:10" x14ac:dyDescent="0.25">
      <c r="B937" s="53">
        <v>41534</v>
      </c>
      <c r="C937">
        <v>441.4012697</v>
      </c>
      <c r="D937" s="54">
        <f t="shared" si="109"/>
        <v>-1.8586342786340105E-3</v>
      </c>
      <c r="E937" s="54">
        <f t="shared" ca="1" si="110"/>
        <v>-4.7579947248889594E-2</v>
      </c>
      <c r="F937" s="64">
        <f t="shared" ca="1" si="111"/>
        <v>4.5721312970255584E-2</v>
      </c>
      <c r="G937">
        <f t="shared" ca="1" si="108"/>
        <v>1.713929090632765E-2</v>
      </c>
      <c r="H937">
        <f t="shared" ca="1" si="112"/>
        <v>-2.6589986612318715</v>
      </c>
      <c r="I937">
        <f t="shared" ca="1" si="113"/>
        <v>1.1526256832326229</v>
      </c>
      <c r="J937" s="57">
        <v>932</v>
      </c>
    </row>
    <row r="938" spans="2:10" x14ac:dyDescent="0.25">
      <c r="B938" s="53">
        <v>41535</v>
      </c>
      <c r="C938">
        <v>449.97416040000002</v>
      </c>
      <c r="D938" s="54">
        <f t="shared" si="109"/>
        <v>1.9421989215904642E-2</v>
      </c>
      <c r="E938" s="54">
        <f t="shared" ca="1" si="110"/>
        <v>5.9173849865331845E-3</v>
      </c>
      <c r="F938" s="64">
        <f t="shared" ca="1" si="111"/>
        <v>1.3504604229371458E-2</v>
      </c>
      <c r="G938">
        <f t="shared" ca="1" si="108"/>
        <v>4.4565743634529205E-2</v>
      </c>
      <c r="H938">
        <f t="shared" ca="1" si="112"/>
        <v>0.14762855153142365</v>
      </c>
      <c r="I938">
        <f t="shared" ca="1" si="113"/>
        <v>2.6467023078867138</v>
      </c>
      <c r="J938" s="60">
        <v>933</v>
      </c>
    </row>
    <row r="939" spans="2:10" x14ac:dyDescent="0.25">
      <c r="B939" s="53">
        <v>41536</v>
      </c>
      <c r="C939">
        <v>447.5183758</v>
      </c>
      <c r="D939" s="54">
        <f t="shared" si="109"/>
        <v>-5.4576124944973959E-3</v>
      </c>
      <c r="E939" s="54">
        <f t="shared" ca="1" si="110"/>
        <v>-5.5917123487657632E-3</v>
      </c>
      <c r="F939" s="64">
        <f t="shared" ca="1" si="111"/>
        <v>1.3409985426836735E-4</v>
      </c>
      <c r="G939">
        <f t="shared" ca="1" si="108"/>
        <v>1.0496609703250951E-2</v>
      </c>
      <c r="H939">
        <f t="shared" ca="1" si="112"/>
        <v>-0.45322226048433639</v>
      </c>
      <c r="I939">
        <f t="shared" ca="1" si="113"/>
        <v>2.7743514741727395</v>
      </c>
      <c r="J939" s="57">
        <v>934</v>
      </c>
    </row>
    <row r="940" spans="2:10" x14ac:dyDescent="0.25">
      <c r="B940" s="53">
        <v>41537</v>
      </c>
      <c r="C940">
        <v>449.86954600000001</v>
      </c>
      <c r="D940" s="54">
        <f t="shared" si="109"/>
        <v>5.2537958822293637E-3</v>
      </c>
      <c r="E940" s="54">
        <f t="shared" ca="1" si="110"/>
        <v>7.9117404736561443E-3</v>
      </c>
      <c r="F940" s="64">
        <f t="shared" ca="1" si="111"/>
        <v>-2.6579445914267806E-3</v>
      </c>
      <c r="G940">
        <f t="shared" ca="1" si="108"/>
        <v>7.9978383602973008E-3</v>
      </c>
      <c r="H940">
        <f t="shared" ca="1" si="112"/>
        <v>-0.10139862599564109</v>
      </c>
      <c r="I940">
        <f t="shared" ca="1" si="113"/>
        <v>2.7645507188617024</v>
      </c>
      <c r="J940" s="60">
        <v>935</v>
      </c>
    </row>
    <row r="941" spans="2:10" x14ac:dyDescent="0.25">
      <c r="B941" s="53">
        <v>41540</v>
      </c>
      <c r="C941">
        <v>441.59554500000002</v>
      </c>
      <c r="D941" s="54">
        <f t="shared" si="109"/>
        <v>-1.8392000689017519E-2</v>
      </c>
      <c r="E941" s="54">
        <f t="shared" ca="1" si="110"/>
        <v>-5.6925220019789407E-3</v>
      </c>
      <c r="F941" s="64">
        <f t="shared" ca="1" si="111"/>
        <v>-1.2699478687038579E-2</v>
      </c>
      <c r="G941">
        <f t="shared" ca="1" si="108"/>
        <v>2.6836752017568959E-3</v>
      </c>
      <c r="H941">
        <f t="shared" ca="1" si="112"/>
        <v>-1.2078546101873238</v>
      </c>
      <c r="I941">
        <f t="shared" ca="1" si="113"/>
        <v>2.625192627459731</v>
      </c>
      <c r="J941" s="57">
        <v>936</v>
      </c>
    </row>
    <row r="942" spans="2:10" x14ac:dyDescent="0.25">
      <c r="B942" s="53">
        <v>41541</v>
      </c>
      <c r="C942">
        <v>441.76491759999999</v>
      </c>
      <c r="D942" s="54">
        <f t="shared" si="109"/>
        <v>3.8354689470423487E-4</v>
      </c>
      <c r="E942" s="54">
        <f t="shared" ca="1" si="110"/>
        <v>6.4073301212373868E-2</v>
      </c>
      <c r="F942" s="64">
        <f t="shared" ca="1" si="111"/>
        <v>-6.3689754317669628E-2</v>
      </c>
      <c r="G942">
        <f t="shared" ca="1" si="108"/>
        <v>2.0195474507339457E-2</v>
      </c>
      <c r="H942">
        <f t="shared" ca="1" si="112"/>
        <v>3.0558347709160913</v>
      </c>
      <c r="I942">
        <f t="shared" ca="1" si="113"/>
        <v>-0.59658846090651929</v>
      </c>
      <c r="J942" s="60">
        <v>937</v>
      </c>
    </row>
    <row r="943" spans="2:10" x14ac:dyDescent="0.25">
      <c r="B943" s="53">
        <v>41542</v>
      </c>
      <c r="C943">
        <v>436.97786120000001</v>
      </c>
      <c r="D943" s="54">
        <f t="shared" si="109"/>
        <v>-1.0836207696181223E-2</v>
      </c>
      <c r="E943" s="54">
        <f t="shared" ca="1" si="110"/>
        <v>5.0419875951730142E-2</v>
      </c>
      <c r="F943" s="64">
        <f t="shared" ca="1" si="111"/>
        <v>-6.1256083647911366E-2</v>
      </c>
      <c r="G943">
        <f t="shared" ca="1" si="108"/>
        <v>5.1223740952746968E-2</v>
      </c>
      <c r="H943">
        <f t="shared" ca="1" si="112"/>
        <v>1.1455642270940596</v>
      </c>
      <c r="I943">
        <f t="shared" ca="1" si="113"/>
        <v>-0.34735166952488106</v>
      </c>
      <c r="J943" s="57">
        <v>938</v>
      </c>
    </row>
    <row r="944" spans="2:10" x14ac:dyDescent="0.25">
      <c r="B944" s="53">
        <v>41543</v>
      </c>
      <c r="C944">
        <v>437.44609309999998</v>
      </c>
      <c r="D944" s="54">
        <f t="shared" si="109"/>
        <v>1.0715231630136824E-3</v>
      </c>
      <c r="E944" s="54">
        <f t="shared" ca="1" si="110"/>
        <v>1.7868961143275162E-2</v>
      </c>
      <c r="F944" s="64">
        <f t="shared" ca="1" si="111"/>
        <v>-1.6797437980261478E-2</v>
      </c>
      <c r="G944">
        <f t="shared" ca="1" si="108"/>
        <v>2.242394681026965E-2</v>
      </c>
      <c r="H944">
        <f t="shared" ca="1" si="112"/>
        <v>0.78919600756610464</v>
      </c>
      <c r="I944">
        <f t="shared" ca="1" si="113"/>
        <v>2.5215097201168635</v>
      </c>
      <c r="J944" s="60">
        <v>939</v>
      </c>
    </row>
    <row r="945" spans="2:10" x14ac:dyDescent="0.25">
      <c r="B945" s="53">
        <v>41544</v>
      </c>
      <c r="C945">
        <v>436.55943409999998</v>
      </c>
      <c r="D945" s="54">
        <f t="shared" si="109"/>
        <v>-2.0268988887673501E-3</v>
      </c>
      <c r="E945" s="54">
        <f t="shared" ca="1" si="110"/>
        <v>-3.7064383386356476E-3</v>
      </c>
      <c r="F945" s="64">
        <f t="shared" ca="1" si="111"/>
        <v>1.6795394498682974E-3</v>
      </c>
      <c r="G945">
        <f t="shared" ca="1" si="108"/>
        <v>1.4164855612746222E-2</v>
      </c>
      <c r="H945">
        <f t="shared" ca="1" si="112"/>
        <v>8.1914079120757752E-2</v>
      </c>
      <c r="I945">
        <f t="shared" ca="1" si="113"/>
        <v>2.7743609004911423</v>
      </c>
      <c r="J945" s="57">
        <v>940</v>
      </c>
    </row>
    <row r="946" spans="2:10" x14ac:dyDescent="0.25">
      <c r="B946" s="53">
        <v>41547</v>
      </c>
      <c r="C946">
        <v>436.32032830000003</v>
      </c>
      <c r="D946" s="54">
        <f t="shared" si="109"/>
        <v>-5.4770503469449023E-4</v>
      </c>
      <c r="E946" s="54">
        <f t="shared" ca="1" si="110"/>
        <v>7.6383710786629396E-3</v>
      </c>
      <c r="F946" s="64">
        <f t="shared" ca="1" si="111"/>
        <v>-8.1860761133574298E-3</v>
      </c>
      <c r="G946">
        <f t="shared" ca="1" si="108"/>
        <v>3.6470923041649647E-3</v>
      </c>
      <c r="H946">
        <f t="shared" ca="1" si="112"/>
        <v>1.9624300398457233</v>
      </c>
      <c r="I946">
        <f t="shared" ca="1" si="113"/>
        <v>2.7079874110015569</v>
      </c>
      <c r="J946" s="60">
        <v>941</v>
      </c>
    </row>
    <row r="947" spans="2:10" x14ac:dyDescent="0.25">
      <c r="B947" s="53">
        <v>41548</v>
      </c>
      <c r="C947">
        <v>441.84462989999997</v>
      </c>
      <c r="D947" s="54">
        <f t="shared" si="109"/>
        <v>1.2661114419132931E-2</v>
      </c>
      <c r="E947" s="54">
        <f t="shared" ca="1" si="110"/>
        <v>-4.1657378179856238E-3</v>
      </c>
      <c r="F947" s="64">
        <f t="shared" ca="1" si="111"/>
        <v>1.6826852237118554E-2</v>
      </c>
      <c r="G947">
        <f t="shared" ca="1" si="108"/>
        <v>3.2782114814432772E-2</v>
      </c>
      <c r="H947">
        <f t="shared" ca="1" si="112"/>
        <v>-9.9304377130501498E-2</v>
      </c>
      <c r="I947">
        <f t="shared" ca="1" si="113"/>
        <v>2.5701818827250884</v>
      </c>
      <c r="J947" s="57">
        <v>942</v>
      </c>
    </row>
    <row r="948" spans="2:10" x14ac:dyDescent="0.25">
      <c r="B948" s="53">
        <v>41549</v>
      </c>
      <c r="C948">
        <v>442.33776399999999</v>
      </c>
      <c r="D948" s="54">
        <f t="shared" si="109"/>
        <v>1.1160803292135253E-3</v>
      </c>
      <c r="E948" s="54">
        <f t="shared" ca="1" si="110"/>
        <v>6.2789181604438105E-4</v>
      </c>
      <c r="F948" s="64">
        <f t="shared" ca="1" si="111"/>
        <v>4.881885131691443E-4</v>
      </c>
      <c r="G948">
        <f t="shared" ca="1" si="108"/>
        <v>7.7165897176819723E-3</v>
      </c>
      <c r="H948">
        <f t="shared" ca="1" si="112"/>
        <v>0.11321826788174447</v>
      </c>
      <c r="I948">
        <f t="shared" ca="1" si="113"/>
        <v>2.7746944309173807</v>
      </c>
      <c r="J948" s="60">
        <v>943</v>
      </c>
    </row>
    <row r="949" spans="2:10" x14ac:dyDescent="0.25">
      <c r="B949" s="53">
        <v>41550</v>
      </c>
      <c r="C949">
        <v>436.40998919999998</v>
      </c>
      <c r="D949" s="54">
        <f t="shared" si="109"/>
        <v>-1.3401014524276542E-2</v>
      </c>
      <c r="E949" s="54">
        <f t="shared" ca="1" si="110"/>
        <v>3.8174338435765418E-3</v>
      </c>
      <c r="F949" s="64">
        <f t="shared" ca="1" si="111"/>
        <v>-1.7218448367853082E-2</v>
      </c>
      <c r="G949">
        <f t="shared" ca="1" si="108"/>
        <v>2.7711828473495543E-3</v>
      </c>
      <c r="H949">
        <f t="shared" ca="1" si="112"/>
        <v>-0.6744215595384907</v>
      </c>
      <c r="I949">
        <f t="shared" ca="1" si="113"/>
        <v>2.5093206826467682</v>
      </c>
      <c r="J949" s="57">
        <v>944</v>
      </c>
    </row>
    <row r="950" spans="2:10" x14ac:dyDescent="0.25">
      <c r="B950" s="53">
        <v>41551</v>
      </c>
      <c r="C950">
        <v>434.54694890000002</v>
      </c>
      <c r="D950" s="54">
        <f t="shared" si="109"/>
        <v>-4.2690138771002408E-3</v>
      </c>
      <c r="E950" s="54">
        <f t="shared" ca="1" si="110"/>
        <v>6.5725748555513592E-3</v>
      </c>
      <c r="F950" s="64">
        <f t="shared" ca="1" si="111"/>
        <v>-1.08415887326516E-2</v>
      </c>
      <c r="G950">
        <f t="shared" ca="1" si="108"/>
        <v>1.1319879809829722E-2</v>
      </c>
      <c r="H950">
        <f t="shared" ca="1" si="112"/>
        <v>0.53636185846907514</v>
      </c>
      <c r="I950">
        <f t="shared" ca="1" si="113"/>
        <v>2.6632599137252337</v>
      </c>
      <c r="J950" s="60">
        <v>945</v>
      </c>
    </row>
    <row r="951" spans="2:10" x14ac:dyDescent="0.25">
      <c r="B951" s="53">
        <v>41554</v>
      </c>
      <c r="C951">
        <v>431.25430999999998</v>
      </c>
      <c r="D951" s="54">
        <f t="shared" si="109"/>
        <v>-7.5771764324543906E-3</v>
      </c>
      <c r="E951" s="54">
        <f t="shared" ca="1" si="110"/>
        <v>-5.5896262456884031E-3</v>
      </c>
      <c r="F951" s="64">
        <f t="shared" ca="1" si="111"/>
        <v>-1.9875501867659875E-3</v>
      </c>
      <c r="G951">
        <f t="shared" ca="1" si="108"/>
        <v>9.3712240265596426E-3</v>
      </c>
      <c r="H951">
        <f t="shared" ca="1" si="112"/>
        <v>4.5790320087297574E-2</v>
      </c>
      <c r="I951">
        <f t="shared" ca="1" si="113"/>
        <v>2.7680530407804453</v>
      </c>
      <c r="J951" s="57">
        <v>946</v>
      </c>
    </row>
    <row r="952" spans="2:10" x14ac:dyDescent="0.25">
      <c r="B952" s="53">
        <v>41555</v>
      </c>
      <c r="C952">
        <v>425.24181829999998</v>
      </c>
      <c r="D952" s="54">
        <f t="shared" si="109"/>
        <v>-1.3941870401248856E-2</v>
      </c>
      <c r="E952" s="54">
        <f t="shared" ca="1" si="110"/>
        <v>-5.1790225205181339E-3</v>
      </c>
      <c r="F952" s="64">
        <f t="shared" ca="1" si="111"/>
        <v>-8.7628478807307217E-3</v>
      </c>
      <c r="G952">
        <f t="shared" ca="1" si="108"/>
        <v>2.4819125419613939E-3</v>
      </c>
      <c r="H952">
        <f t="shared" ca="1" si="112"/>
        <v>-1.3141447374324406</v>
      </c>
      <c r="I952">
        <f t="shared" ca="1" si="113"/>
        <v>2.6992413012069973</v>
      </c>
      <c r="J952" s="60">
        <v>947</v>
      </c>
    </row>
    <row r="953" spans="2:10" x14ac:dyDescent="0.25">
      <c r="B953" s="53">
        <v>41556</v>
      </c>
      <c r="C953">
        <v>426.33273179999998</v>
      </c>
      <c r="D953" s="54">
        <f t="shared" si="109"/>
        <v>2.5653956244500405E-3</v>
      </c>
      <c r="E953" s="54">
        <f t="shared" ca="1" si="110"/>
        <v>-2.8805984611153046E-4</v>
      </c>
      <c r="F953" s="64">
        <f t="shared" ca="1" si="111"/>
        <v>2.853455470561571E-3</v>
      </c>
      <c r="G953">
        <f t="shared" ca="1" si="108"/>
        <v>2.19656091517938E-2</v>
      </c>
      <c r="H953">
        <f t="shared" ca="1" si="112"/>
        <v>0.14182361589169129</v>
      </c>
      <c r="I953">
        <f t="shared" ca="1" si="113"/>
        <v>2.7717890860805401</v>
      </c>
      <c r="J953" s="57">
        <v>948</v>
      </c>
    </row>
    <row r="954" spans="2:10" x14ac:dyDescent="0.25">
      <c r="B954" s="53">
        <v>41557</v>
      </c>
      <c r="C954">
        <v>432.49964319999998</v>
      </c>
      <c r="D954" s="54">
        <f t="shared" si="109"/>
        <v>1.4465019783873897E-2</v>
      </c>
      <c r="E954" s="54">
        <f t="shared" ca="1" si="110"/>
        <v>-4.8463383281904917E-3</v>
      </c>
      <c r="F954" s="64">
        <f t="shared" ca="1" si="111"/>
        <v>1.931135811206439E-2</v>
      </c>
      <c r="G954">
        <f t="shared" ca="1" si="108"/>
        <v>5.6271659280063367E-3</v>
      </c>
      <c r="H954">
        <f t="shared" ca="1" si="112"/>
        <v>0.25149261805873446</v>
      </c>
      <c r="I954">
        <f t="shared" ca="1" si="113"/>
        <v>2.5013018021044151</v>
      </c>
      <c r="J954" s="60">
        <v>949</v>
      </c>
    </row>
    <row r="955" spans="2:10" x14ac:dyDescent="0.25">
      <c r="B955" s="53">
        <v>41558</v>
      </c>
      <c r="C955">
        <v>434.36762700000003</v>
      </c>
      <c r="D955" s="54">
        <f t="shared" si="109"/>
        <v>4.3190412509455855E-3</v>
      </c>
      <c r="E955" s="54">
        <f t="shared" ca="1" si="110"/>
        <v>1.5791424560975667E-2</v>
      </c>
      <c r="F955" s="64">
        <f t="shared" ca="1" si="111"/>
        <v>-1.1472383310030081E-2</v>
      </c>
      <c r="G955">
        <f t="shared" ca="1" si="108"/>
        <v>4.5036189054140892E-3</v>
      </c>
      <c r="H955">
        <f t="shared" ca="1" si="112"/>
        <v>3.2504981061265164</v>
      </c>
      <c r="I955">
        <f t="shared" ca="1" si="113"/>
        <v>2.6509605627443977</v>
      </c>
      <c r="J955" s="57">
        <v>950</v>
      </c>
    </row>
    <row r="956" spans="2:10" x14ac:dyDescent="0.25">
      <c r="B956" s="53">
        <v>41561</v>
      </c>
      <c r="C956">
        <v>436.41993789999998</v>
      </c>
      <c r="D956" s="54">
        <f t="shared" si="109"/>
        <v>4.7248247162764547E-3</v>
      </c>
      <c r="E956" s="54">
        <f t="shared" ca="1" si="110"/>
        <v>-6.984083742771037E-2</v>
      </c>
      <c r="F956" s="64">
        <f t="shared" ca="1" si="111"/>
        <v>7.4565662143986827E-2</v>
      </c>
      <c r="G956">
        <f t="shared" ca="1" si="108"/>
        <v>5.4275021326332731E-2</v>
      </c>
      <c r="H956">
        <f t="shared" ca="1" si="112"/>
        <v>-1.4064930807993232</v>
      </c>
      <c r="I956">
        <f t="shared" ca="1" si="113"/>
        <v>-1.6079376888355101</v>
      </c>
      <c r="J956" s="60">
        <v>951</v>
      </c>
    </row>
    <row r="957" spans="2:10" x14ac:dyDescent="0.25">
      <c r="B957" s="53">
        <v>41562</v>
      </c>
      <c r="C957">
        <v>439.35893829999998</v>
      </c>
      <c r="D957" s="54">
        <f t="shared" si="109"/>
        <v>6.7343403560848128E-3</v>
      </c>
      <c r="E957" s="54">
        <f t="shared" ca="1" si="110"/>
        <v>1.378478759825273E-2</v>
      </c>
      <c r="F957" s="64">
        <f t="shared" ca="1" si="111"/>
        <v>-7.0504472421679173E-3</v>
      </c>
      <c r="G957">
        <f t="shared" ca="1" si="108"/>
        <v>2.6553138048909429E-2</v>
      </c>
      <c r="H957">
        <f t="shared" ca="1" si="112"/>
        <v>0.44608430920932962</v>
      </c>
      <c r="I957">
        <f t="shared" ca="1" si="113"/>
        <v>2.7236369394725579</v>
      </c>
      <c r="J957" s="57">
        <v>952</v>
      </c>
    </row>
    <row r="958" spans="2:10" x14ac:dyDescent="0.25">
      <c r="B958" s="53">
        <v>41563</v>
      </c>
      <c r="C958">
        <v>447.33902399999999</v>
      </c>
      <c r="D958" s="54">
        <f t="shared" si="109"/>
        <v>1.8163021175527132E-2</v>
      </c>
      <c r="E958" s="54">
        <f t="shared" ca="1" si="110"/>
        <v>-5.6652351401190832E-4</v>
      </c>
      <c r="F958" s="64">
        <f t="shared" ca="1" si="111"/>
        <v>1.8729544689539041E-2</v>
      </c>
      <c r="G958">
        <f t="shared" ca="1" si="108"/>
        <v>9.6464977516571449E-3</v>
      </c>
      <c r="H958">
        <f t="shared" ca="1" si="112"/>
        <v>-0.27871804358403512</v>
      </c>
      <c r="I958">
        <f t="shared" ca="1" si="113"/>
        <v>2.5183262401219553</v>
      </c>
      <c r="J958" s="60">
        <v>953</v>
      </c>
    </row>
    <row r="959" spans="2:10" x14ac:dyDescent="0.25">
      <c r="B959" s="53">
        <v>41564</v>
      </c>
      <c r="C959">
        <v>442.73626330000002</v>
      </c>
      <c r="D959" s="54">
        <f t="shared" si="109"/>
        <v>-1.0289200031875547E-2</v>
      </c>
      <c r="E959" s="54">
        <f t="shared" ca="1" si="110"/>
        <v>-2.3051689095163063E-3</v>
      </c>
      <c r="F959" s="64">
        <f t="shared" ca="1" si="111"/>
        <v>-7.9840311223592416E-3</v>
      </c>
      <c r="G959">
        <f t="shared" ca="1" si="108"/>
        <v>5.2431690146144145E-3</v>
      </c>
      <c r="H959">
        <f t="shared" ca="1" si="112"/>
        <v>-1.0165625099038764</v>
      </c>
      <c r="I959">
        <f t="shared" ca="1" si="113"/>
        <v>2.710924077217455</v>
      </c>
      <c r="J959" s="57">
        <v>954</v>
      </c>
    </row>
    <row r="960" spans="2:10" x14ac:dyDescent="0.25">
      <c r="B960" s="53">
        <v>41565</v>
      </c>
      <c r="C960">
        <v>503.81742259999999</v>
      </c>
      <c r="D960" s="54">
        <f t="shared" si="109"/>
        <v>0.13796285591047489</v>
      </c>
      <c r="E960" s="54">
        <f t="shared" ca="1" si="110"/>
        <v>8.5252664180630652E-3</v>
      </c>
      <c r="F960" s="64">
        <f t="shared" ca="1" si="111"/>
        <v>0.12943758949241183</v>
      </c>
      <c r="G960">
        <f t="shared" ca="1" si="108"/>
        <v>1.7039908733272723E-2</v>
      </c>
      <c r="H960">
        <f t="shared" ca="1" si="112"/>
        <v>2.1600300598236605E-2</v>
      </c>
      <c r="I960">
        <f t="shared" ca="1" si="113"/>
        <v>-10.570596715830595</v>
      </c>
      <c r="J960" s="60">
        <v>955</v>
      </c>
    </row>
    <row r="961" spans="2:10" x14ac:dyDescent="0.25">
      <c r="B961" s="53">
        <v>41568</v>
      </c>
      <c r="C961">
        <v>499.77755999999999</v>
      </c>
      <c r="D961" s="54">
        <f t="shared" si="109"/>
        <v>-8.0185051544106566E-3</v>
      </c>
      <c r="E961" s="54">
        <f t="shared" ca="1" si="110"/>
        <v>-9.4604094977770274E-3</v>
      </c>
      <c r="F961" s="64">
        <f t="shared" ca="1" si="111"/>
        <v>1.4419043433663709E-3</v>
      </c>
      <c r="G961">
        <f t="shared" ca="1" si="108"/>
        <v>4.0272238878293551E-3</v>
      </c>
      <c r="H961">
        <f t="shared" ca="1" si="112"/>
        <v>-1.2022428853007154</v>
      </c>
      <c r="I961">
        <f t="shared" ca="1" si="113"/>
        <v>2.7746105225755033</v>
      </c>
      <c r="J961" s="57">
        <v>956</v>
      </c>
    </row>
    <row r="962" spans="2:10" x14ac:dyDescent="0.25">
      <c r="B962" s="53">
        <v>41569</v>
      </c>
      <c r="C962">
        <v>501.62067209999998</v>
      </c>
      <c r="D962" s="54">
        <f t="shared" si="109"/>
        <v>3.6878648573176933E-3</v>
      </c>
      <c r="E962" s="54">
        <f t="shared" ca="1" si="110"/>
        <v>6.4456159458877324E-2</v>
      </c>
      <c r="F962" s="64">
        <f t="shared" ca="1" si="111"/>
        <v>-6.0768294601559629E-2</v>
      </c>
      <c r="G962">
        <f t="shared" ca="1" si="108"/>
        <v>2.011360387049585E-2</v>
      </c>
      <c r="H962">
        <f t="shared" ca="1" si="112"/>
        <v>0.12401635723753596</v>
      </c>
      <c r="I962">
        <f t="shared" ca="1" si="113"/>
        <v>-0.29854754249226101</v>
      </c>
      <c r="J962" s="60">
        <v>957</v>
      </c>
    </row>
    <row r="963" spans="2:10" x14ac:dyDescent="0.25">
      <c r="B963" s="53">
        <v>41570</v>
      </c>
      <c r="C963">
        <v>513.78011700000002</v>
      </c>
      <c r="D963" s="54">
        <f t="shared" si="109"/>
        <v>2.4240318583951835E-2</v>
      </c>
      <c r="E963" s="54">
        <f t="shared" ca="1" si="110"/>
        <v>-1.5314062398031413E-2</v>
      </c>
      <c r="F963" s="64">
        <f t="shared" ca="1" si="111"/>
        <v>3.9554380981983245E-2</v>
      </c>
      <c r="G963">
        <f t="shared" ca="1" si="108"/>
        <v>5.128456784859319E-3</v>
      </c>
      <c r="H963">
        <f t="shared" ca="1" si="112"/>
        <v>-2.2838945869206349</v>
      </c>
      <c r="I963">
        <f t="shared" ca="1" si="113"/>
        <v>1.5684050946492039</v>
      </c>
      <c r="J963" s="57">
        <v>958</v>
      </c>
    </row>
    <row r="964" spans="2:10" x14ac:dyDescent="0.25">
      <c r="B964" s="53">
        <v>41571</v>
      </c>
      <c r="C964">
        <v>510.86104440000003</v>
      </c>
      <c r="D964" s="54">
        <f t="shared" si="109"/>
        <v>-5.6815600748520061E-3</v>
      </c>
      <c r="E964" s="54">
        <f t="shared" ca="1" si="110"/>
        <v>-3.6935967338953761E-2</v>
      </c>
      <c r="F964" s="64">
        <f t="shared" ca="1" si="111"/>
        <v>3.1254407264101752E-2</v>
      </c>
      <c r="G964">
        <f t="shared" ca="1" si="108"/>
        <v>3.8153044143748774E-2</v>
      </c>
      <c r="H964">
        <f t="shared" ca="1" si="112"/>
        <v>-1.0115229313771865</v>
      </c>
      <c r="I964">
        <f t="shared" ca="1" si="113"/>
        <v>2.0309903488705152</v>
      </c>
      <c r="J964" s="60">
        <v>959</v>
      </c>
    </row>
    <row r="965" spans="2:10" x14ac:dyDescent="0.25">
      <c r="B965" s="53">
        <v>41572</v>
      </c>
      <c r="C965">
        <v>505.70536559999999</v>
      </c>
      <c r="D965" s="54">
        <f t="shared" si="109"/>
        <v>-1.0092135339963754E-2</v>
      </c>
      <c r="E965" s="54">
        <f t="shared" ca="1" si="110"/>
        <v>4.1198004911949648E-3</v>
      </c>
      <c r="F965" s="64">
        <f t="shared" ca="1" si="111"/>
        <v>-1.4211935831158718E-2</v>
      </c>
      <c r="G965">
        <f t="shared" ref="G965:G1028" ca="1" si="114">SQRT(A_0+A_1*POWER(H964,2)+B_1*POWER(G964,2))</f>
        <v>1.901683889255203E-2</v>
      </c>
      <c r="H965">
        <f t="shared" ca="1" si="112"/>
        <v>-0.35583801306396123</v>
      </c>
      <c r="I965">
        <f t="shared" ca="1" si="113"/>
        <v>2.5900849500173155</v>
      </c>
      <c r="J965" s="57">
        <v>960</v>
      </c>
    </row>
    <row r="966" spans="2:10" x14ac:dyDescent="0.25">
      <c r="B966" s="53">
        <v>41575</v>
      </c>
      <c r="C966">
        <v>505.60572509999997</v>
      </c>
      <c r="D966" s="54">
        <f t="shared" si="109"/>
        <v>-1.9703271267806555E-4</v>
      </c>
      <c r="E966" s="54">
        <f t="shared" ca="1" si="110"/>
        <v>-7.3084756458084415E-3</v>
      </c>
      <c r="F966" s="64">
        <f t="shared" ca="1" si="111"/>
        <v>7.1114429331303759E-3</v>
      </c>
      <c r="G966">
        <f t="shared" ca="1" si="114"/>
        <v>7.4206520735008649E-3</v>
      </c>
      <c r="H966">
        <f t="shared" ca="1" si="112"/>
        <v>-0.64099478779688401</v>
      </c>
      <c r="I966">
        <f t="shared" ca="1" si="113"/>
        <v>2.7437753734948624</v>
      </c>
      <c r="J966" s="60">
        <v>961</v>
      </c>
    </row>
    <row r="967" spans="2:10" x14ac:dyDescent="0.25">
      <c r="B967" s="53">
        <v>41576</v>
      </c>
      <c r="C967">
        <v>516.18606590000002</v>
      </c>
      <c r="D967" s="54">
        <f t="shared" ref="D967:D1030" si="115">(C967-C966)/C966</f>
        <v>2.0926070008221203E-2</v>
      </c>
      <c r="E967" s="54">
        <f t="shared" ca="1" si="110"/>
        <v>1.4244111888619678E-2</v>
      </c>
      <c r="F967" s="64">
        <f t="shared" ca="1" si="111"/>
        <v>6.6819581196015249E-3</v>
      </c>
      <c r="G967">
        <f t="shared" ca="1" si="114"/>
        <v>1.0878824891607412E-2</v>
      </c>
      <c r="H967">
        <f t="shared" ca="1" si="112"/>
        <v>1.7259856263535103</v>
      </c>
      <c r="I967">
        <f t="shared" ca="1" si="113"/>
        <v>2.7479293710771118</v>
      </c>
      <c r="J967" s="57">
        <v>962</v>
      </c>
    </row>
    <row r="968" spans="2:10" x14ac:dyDescent="0.25">
      <c r="B968" s="53">
        <v>41577</v>
      </c>
      <c r="C968">
        <v>513.28695200000004</v>
      </c>
      <c r="D968" s="54">
        <f t="shared" si="115"/>
        <v>-5.6164125526038822E-3</v>
      </c>
      <c r="E968" s="54">
        <f t="shared" ref="E968:E1031" ca="1" si="116">((E_1*D967)+(E_2*D966)+(G968*H968))</f>
        <v>2.3211725376160394E-2</v>
      </c>
      <c r="F968" s="64">
        <f t="shared" ca="1" si="111"/>
        <v>-2.8828137928764277E-2</v>
      </c>
      <c r="G968">
        <f t="shared" ca="1" si="114"/>
        <v>2.8933429671398038E-2</v>
      </c>
      <c r="H968">
        <f t="shared" ca="1" si="112"/>
        <v>0.80529188379716032</v>
      </c>
      <c r="I968">
        <f t="shared" ca="1" si="113"/>
        <v>2.0603604330557483</v>
      </c>
      <c r="J968" s="60">
        <v>963</v>
      </c>
    </row>
    <row r="969" spans="2:10" x14ac:dyDescent="0.25">
      <c r="B969" s="53">
        <v>41578</v>
      </c>
      <c r="C969">
        <v>513.3666637</v>
      </c>
      <c r="D969" s="54">
        <f t="shared" si="115"/>
        <v>1.5529656401622622E-4</v>
      </c>
      <c r="E969" s="54">
        <f t="shared" ca="1" si="116"/>
        <v>3.714732784097366E-2</v>
      </c>
      <c r="F969" s="64">
        <f t="shared" ref="F969:F1032" ca="1" si="117">D969-E969</f>
        <v>-3.6992031276957431E-2</v>
      </c>
      <c r="G969">
        <f t="shared" ca="1" si="114"/>
        <v>1.5004865620921317E-2</v>
      </c>
      <c r="H969">
        <f t="shared" ref="H969:H1032" ca="1" si="118">_xlfn.NORM.INV(RAND(),0,1)</f>
        <v>1.8493406189852872</v>
      </c>
      <c r="I969">
        <f t="shared" ref="I969:I1032" ca="1" si="119">LN(_xlfn.NORM.DIST(F969,AVERAGE($F$8:$F$1413),_xlfn.STDEV.S($F$8:$F$1413),FALSE))</f>
        <v>1.6142383911529574</v>
      </c>
      <c r="J969" s="57">
        <v>964</v>
      </c>
    </row>
    <row r="970" spans="2:10" x14ac:dyDescent="0.25">
      <c r="B970" s="53">
        <v>41579</v>
      </c>
      <c r="C970">
        <v>511.6032639</v>
      </c>
      <c r="D970" s="54">
        <f t="shared" si="115"/>
        <v>-3.4349713853459199E-3</v>
      </c>
      <c r="E970" s="54">
        <f t="shared" ca="1" si="116"/>
        <v>3.3771702316720033E-2</v>
      </c>
      <c r="F970" s="64">
        <f t="shared" ca="1" si="117"/>
        <v>-3.720667370206595E-2</v>
      </c>
      <c r="G970">
        <f t="shared" ca="1" si="114"/>
        <v>3.1073505532823464E-2</v>
      </c>
      <c r="H970">
        <f t="shared" ca="1" si="118"/>
        <v>1.1680092858249291</v>
      </c>
      <c r="I970">
        <f t="shared" ca="1" si="119"/>
        <v>1.6010562224541671</v>
      </c>
      <c r="J970" s="60">
        <v>965</v>
      </c>
    </row>
    <row r="971" spans="2:10" x14ac:dyDescent="0.25">
      <c r="B971" s="53">
        <v>41582</v>
      </c>
      <c r="C971">
        <v>511.14000629999998</v>
      </c>
      <c r="D971" s="54">
        <f t="shared" si="115"/>
        <v>-9.0550165076853397E-4</v>
      </c>
      <c r="E971" s="54">
        <f t="shared" ca="1" si="116"/>
        <v>-2.869158579642057E-2</v>
      </c>
      <c r="F971" s="64">
        <f t="shared" ca="1" si="117"/>
        <v>2.7786084145652038E-2</v>
      </c>
      <c r="G971">
        <f t="shared" ca="1" si="114"/>
        <v>2.07659838741832E-2</v>
      </c>
      <c r="H971">
        <f t="shared" ca="1" si="118"/>
        <v>-1.3850185751577699</v>
      </c>
      <c r="I971">
        <f t="shared" ca="1" si="119"/>
        <v>2.1913171563905074</v>
      </c>
      <c r="J971" s="57">
        <v>966</v>
      </c>
    </row>
    <row r="972" spans="2:10" x14ac:dyDescent="0.25">
      <c r="B972" s="53">
        <v>41583</v>
      </c>
      <c r="C972">
        <v>508.85356439999998</v>
      </c>
      <c r="D972" s="54">
        <f t="shared" si="115"/>
        <v>-4.47322039327525E-3</v>
      </c>
      <c r="E972" s="54">
        <f t="shared" ca="1" si="116"/>
        <v>-1.2989022160945801E-2</v>
      </c>
      <c r="F972" s="64">
        <f t="shared" ca="1" si="117"/>
        <v>8.5158017676705521E-3</v>
      </c>
      <c r="G972">
        <f t="shared" ca="1" si="114"/>
        <v>2.3618828275994385E-2</v>
      </c>
      <c r="H972">
        <f t="shared" ca="1" si="118"/>
        <v>-0.48462573909947687</v>
      </c>
      <c r="I972">
        <f t="shared" ca="1" si="119"/>
        <v>2.7281117678593536</v>
      </c>
      <c r="J972" s="60">
        <v>967</v>
      </c>
    </row>
    <row r="973" spans="2:10" x14ac:dyDescent="0.25">
      <c r="B973" s="53">
        <v>41584</v>
      </c>
      <c r="C973">
        <v>509.46626689999999</v>
      </c>
      <c r="D973" s="54">
        <f t="shared" si="115"/>
        <v>1.2040841272723758E-3</v>
      </c>
      <c r="E973" s="54">
        <f t="shared" ca="1" si="116"/>
        <v>6.2377875299406329E-3</v>
      </c>
      <c r="F973" s="64">
        <f t="shared" ca="1" si="117"/>
        <v>-5.0337034026682569E-3</v>
      </c>
      <c r="G973">
        <f t="shared" ca="1" si="114"/>
        <v>9.7676694777191903E-3</v>
      </c>
      <c r="H973">
        <f t="shared" ca="1" si="118"/>
        <v>0.68025884386442281</v>
      </c>
      <c r="I973">
        <f t="shared" ca="1" si="119"/>
        <v>2.7462925821630337</v>
      </c>
      <c r="J973" s="57">
        <v>968</v>
      </c>
    </row>
    <row r="974" spans="2:10" x14ac:dyDescent="0.25">
      <c r="B974" s="53">
        <v>41585</v>
      </c>
      <c r="C974">
        <v>502.09387839999999</v>
      </c>
      <c r="D974" s="54">
        <f t="shared" si="115"/>
        <v>-1.4470807939570767E-2</v>
      </c>
      <c r="E974" s="54">
        <f t="shared" ca="1" si="116"/>
        <v>9.9589233912007417E-3</v>
      </c>
      <c r="F974" s="64">
        <f t="shared" ca="1" si="117"/>
        <v>-2.4429731330771511E-2</v>
      </c>
      <c r="G974">
        <f t="shared" ca="1" si="114"/>
        <v>1.1614489354808232E-2</v>
      </c>
      <c r="H974">
        <f t="shared" ca="1" si="118"/>
        <v>1.0304297627769345</v>
      </c>
      <c r="I974">
        <f t="shared" ca="1" si="119"/>
        <v>2.2560762476869756</v>
      </c>
      <c r="J974" s="60">
        <v>969</v>
      </c>
    </row>
    <row r="975" spans="2:10" x14ac:dyDescent="0.25">
      <c r="B975" s="53">
        <v>41586</v>
      </c>
      <c r="C975">
        <v>506.11881840000001</v>
      </c>
      <c r="D975" s="54">
        <f t="shared" si="115"/>
        <v>8.0163096447742211E-3</v>
      </c>
      <c r="E975" s="54">
        <f t="shared" ca="1" si="116"/>
        <v>2.5181918119649108E-2</v>
      </c>
      <c r="F975" s="64">
        <f t="shared" ca="1" si="117"/>
        <v>-1.7165608474874888E-2</v>
      </c>
      <c r="G975">
        <f t="shared" ca="1" si="114"/>
        <v>1.7431065330047041E-2</v>
      </c>
      <c r="H975">
        <f t="shared" ca="1" si="118"/>
        <v>1.413647917551154</v>
      </c>
      <c r="I975">
        <f t="shared" ca="1" si="119"/>
        <v>2.5108662127591241</v>
      </c>
      <c r="J975" s="57">
        <v>970</v>
      </c>
    </row>
    <row r="976" spans="2:10" x14ac:dyDescent="0.25">
      <c r="B976" s="53">
        <v>41589</v>
      </c>
      <c r="C976">
        <v>503.40897460000002</v>
      </c>
      <c r="D976" s="54">
        <f t="shared" si="115"/>
        <v>-5.354165270057833E-3</v>
      </c>
      <c r="E976" s="54">
        <f t="shared" ca="1" si="116"/>
        <v>-1.1153554598406648E-2</v>
      </c>
      <c r="F976" s="64">
        <f t="shared" ca="1" si="117"/>
        <v>5.7993893283488154E-3</v>
      </c>
      <c r="G976">
        <f t="shared" ca="1" si="114"/>
        <v>2.3949120911268454E-2</v>
      </c>
      <c r="H976">
        <f t="shared" ca="1" si="118"/>
        <v>-0.19435214728484743</v>
      </c>
      <c r="I976">
        <f t="shared" ca="1" si="119"/>
        <v>2.7555301176408467</v>
      </c>
      <c r="J976" s="60">
        <v>971</v>
      </c>
    </row>
    <row r="977" spans="2:10" x14ac:dyDescent="0.25">
      <c r="B977" s="53">
        <v>41590</v>
      </c>
      <c r="C977">
        <v>504.00174920000001</v>
      </c>
      <c r="D977" s="54">
        <f t="shared" si="115"/>
        <v>1.1775209221706717E-3</v>
      </c>
      <c r="E977" s="54">
        <f t="shared" ca="1" si="116"/>
        <v>2.0844019251860177E-2</v>
      </c>
      <c r="F977" s="64">
        <f t="shared" ca="1" si="117"/>
        <v>-1.9666498329689506E-2</v>
      </c>
      <c r="G977">
        <f t="shared" ca="1" si="114"/>
        <v>6.427444108028888E-3</v>
      </c>
      <c r="H977">
        <f t="shared" ca="1" si="118"/>
        <v>2.6828434472078557</v>
      </c>
      <c r="I977">
        <f t="shared" ca="1" si="119"/>
        <v>2.4327708699186905</v>
      </c>
      <c r="J977" s="57">
        <v>972</v>
      </c>
    </row>
    <row r="978" spans="2:10" x14ac:dyDescent="0.25">
      <c r="B978" s="53">
        <v>41591</v>
      </c>
      <c r="C978">
        <v>514.30813290000003</v>
      </c>
      <c r="D978" s="54">
        <f t="shared" si="115"/>
        <v>2.0449103036565466E-2</v>
      </c>
      <c r="E978" s="54">
        <f t="shared" ca="1" si="116"/>
        <v>3.7489386798480198E-2</v>
      </c>
      <c r="F978" s="64">
        <f t="shared" ca="1" si="117"/>
        <v>-1.7040283761914733E-2</v>
      </c>
      <c r="G978">
        <f t="shared" ca="1" si="114"/>
        <v>4.4816182225923172E-2</v>
      </c>
      <c r="H978">
        <f t="shared" ca="1" si="118"/>
        <v>0.89017018814013416</v>
      </c>
      <c r="I978">
        <f t="shared" ca="1" si="119"/>
        <v>2.5145138348596152</v>
      </c>
      <c r="J978" s="60">
        <v>973</v>
      </c>
    </row>
    <row r="979" spans="2:10" x14ac:dyDescent="0.25">
      <c r="B979" s="53">
        <v>41592</v>
      </c>
      <c r="C979">
        <v>515.68295220000005</v>
      </c>
      <c r="D979" s="54">
        <f t="shared" si="115"/>
        <v>2.6731432230089332E-3</v>
      </c>
      <c r="E979" s="54">
        <f t="shared" ca="1" si="116"/>
        <v>2.899856046925799E-2</v>
      </c>
      <c r="F979" s="64">
        <f t="shared" ca="1" si="117"/>
        <v>-2.6325417246249056E-2</v>
      </c>
      <c r="G979">
        <f t="shared" ca="1" si="114"/>
        <v>1.8056552793272711E-2</v>
      </c>
      <c r="H979">
        <f t="shared" ca="1" si="118"/>
        <v>1.5766774619790365</v>
      </c>
      <c r="I979">
        <f t="shared" ca="1" si="119"/>
        <v>2.1755568062566315</v>
      </c>
      <c r="J979" s="57">
        <v>974</v>
      </c>
    </row>
    <row r="980" spans="2:10" x14ac:dyDescent="0.25">
      <c r="B980" s="53">
        <v>41593</v>
      </c>
      <c r="C980">
        <v>514.85110269999996</v>
      </c>
      <c r="D980" s="54">
        <f t="shared" si="115"/>
        <v>-1.6131025787283905E-3</v>
      </c>
      <c r="E980" s="54">
        <f t="shared" ca="1" si="116"/>
        <v>8.5898034287192754E-4</v>
      </c>
      <c r="F980" s="64">
        <f t="shared" ca="1" si="117"/>
        <v>-2.4720829216003182E-3</v>
      </c>
      <c r="G980">
        <f t="shared" ca="1" si="114"/>
        <v>2.6655909435592488E-2</v>
      </c>
      <c r="H980">
        <f t="shared" ca="1" si="118"/>
        <v>-0.3123197683809979</v>
      </c>
      <c r="I980">
        <f t="shared" ca="1" si="119"/>
        <v>2.7655944645779003</v>
      </c>
      <c r="J980" s="60">
        <v>975</v>
      </c>
    </row>
    <row r="981" spans="2:10" x14ac:dyDescent="0.25">
      <c r="B981" s="53">
        <v>41596</v>
      </c>
      <c r="C981">
        <v>513.84981919999996</v>
      </c>
      <c r="D981" s="54">
        <f t="shared" si="115"/>
        <v>-1.9448020888933402E-3</v>
      </c>
      <c r="E981" s="54">
        <f t="shared" ca="1" si="116"/>
        <v>9.0476305714554412E-3</v>
      </c>
      <c r="F981" s="64">
        <f t="shared" ca="1" si="117"/>
        <v>-1.0992432660348781E-2</v>
      </c>
      <c r="G981">
        <f t="shared" ca="1" si="114"/>
        <v>8.0668809027424609E-3</v>
      </c>
      <c r="H981">
        <f t="shared" ca="1" si="118"/>
        <v>0.97275468737275672</v>
      </c>
      <c r="I981">
        <f t="shared" ca="1" si="119"/>
        <v>2.6603772187574797</v>
      </c>
      <c r="J981" s="57">
        <v>976</v>
      </c>
    </row>
    <row r="982" spans="2:10" x14ac:dyDescent="0.25">
      <c r="B982" s="53">
        <v>41597</v>
      </c>
      <c r="C982">
        <v>510.68669740000001</v>
      </c>
      <c r="D982" s="54">
        <f t="shared" si="115"/>
        <v>-6.1557320481780611E-3</v>
      </c>
      <c r="E982" s="54">
        <f t="shared" ca="1" si="116"/>
        <v>-2.0013476716281151E-2</v>
      </c>
      <c r="F982" s="64">
        <f t="shared" ca="1" si="117"/>
        <v>1.385774466810309E-2</v>
      </c>
      <c r="G982">
        <f t="shared" ca="1" si="114"/>
        <v>1.6371596724877199E-2</v>
      </c>
      <c r="H982">
        <f t="shared" ca="1" si="118"/>
        <v>-1.1781970230996555</v>
      </c>
      <c r="I982">
        <f t="shared" ca="1" si="119"/>
        <v>2.6394155875655438</v>
      </c>
      <c r="J982" s="60">
        <v>977</v>
      </c>
    </row>
    <row r="983" spans="2:10" x14ac:dyDescent="0.25">
      <c r="B983" s="53">
        <v>41598</v>
      </c>
      <c r="C983">
        <v>509.24708889999999</v>
      </c>
      <c r="D983" s="54">
        <f t="shared" si="115"/>
        <v>-2.8189661241017861E-3</v>
      </c>
      <c r="E983" s="54">
        <f t="shared" ca="1" si="116"/>
        <v>-6.898765224774059E-3</v>
      </c>
      <c r="F983" s="64">
        <f t="shared" ca="1" si="117"/>
        <v>4.0797991006722729E-3</v>
      </c>
      <c r="G983">
        <f t="shared" ca="1" si="114"/>
        <v>2.0041952720697913E-2</v>
      </c>
      <c r="H983">
        <f t="shared" ca="1" si="118"/>
        <v>-0.30062986649685208</v>
      </c>
      <c r="I983">
        <f t="shared" ca="1" si="119"/>
        <v>2.7667243991101427</v>
      </c>
      <c r="J983" s="57">
        <v>978</v>
      </c>
    </row>
    <row r="984" spans="2:10" x14ac:dyDescent="0.25">
      <c r="B984" s="53">
        <v>41599</v>
      </c>
      <c r="C984">
        <v>515.10513149999997</v>
      </c>
      <c r="D984" s="54">
        <f t="shared" si="115"/>
        <v>1.1503340377759744E-2</v>
      </c>
      <c r="E984" s="54">
        <f t="shared" ca="1" si="116"/>
        <v>-8.3473632129561909E-3</v>
      </c>
      <c r="F984" s="64">
        <f t="shared" ca="1" si="117"/>
        <v>1.9850703590715935E-2</v>
      </c>
      <c r="G984">
        <f t="shared" ca="1" si="114"/>
        <v>6.859074580524066E-3</v>
      </c>
      <c r="H984">
        <f t="shared" ca="1" si="118"/>
        <v>-0.81390747609286274</v>
      </c>
      <c r="I984">
        <f t="shared" ca="1" si="119"/>
        <v>2.4850315028723742</v>
      </c>
      <c r="J984" s="60">
        <v>979</v>
      </c>
    </row>
    <row r="985" spans="2:10" x14ac:dyDescent="0.25">
      <c r="B985" s="53">
        <v>41600</v>
      </c>
      <c r="C985">
        <v>514.01919190000001</v>
      </c>
      <c r="D985" s="54">
        <f t="shared" si="115"/>
        <v>-2.1081902190290269E-3</v>
      </c>
      <c r="E985" s="54">
        <f t="shared" ca="1" si="116"/>
        <v>8.7339054202605643E-3</v>
      </c>
      <c r="F985" s="64">
        <f t="shared" ca="1" si="117"/>
        <v>-1.0842095639289591E-2</v>
      </c>
      <c r="G985">
        <f t="shared" ca="1" si="114"/>
        <v>1.3712130027257421E-2</v>
      </c>
      <c r="H985">
        <f t="shared" ca="1" si="118"/>
        <v>0.72926389288477389</v>
      </c>
      <c r="I985">
        <f t="shared" ca="1" si="119"/>
        <v>2.6632502880780953</v>
      </c>
      <c r="J985" s="57">
        <v>980</v>
      </c>
    </row>
    <row r="986" spans="2:10" x14ac:dyDescent="0.25">
      <c r="B986" s="53">
        <v>41603</v>
      </c>
      <c r="C986">
        <v>521.01303919999998</v>
      </c>
      <c r="D986" s="54">
        <f t="shared" si="115"/>
        <v>1.360619877664138E-2</v>
      </c>
      <c r="E986" s="54">
        <f t="shared" ca="1" si="116"/>
        <v>-4.059895030231438E-3</v>
      </c>
      <c r="F986" s="64">
        <f t="shared" ca="1" si="117"/>
        <v>1.7666093806872819E-2</v>
      </c>
      <c r="G986">
        <f t="shared" ca="1" si="114"/>
        <v>1.2607463197929615E-2</v>
      </c>
      <c r="H986">
        <f t="shared" ca="1" si="118"/>
        <v>-0.73180774838919627</v>
      </c>
      <c r="I986">
        <f t="shared" ca="1" si="119"/>
        <v>2.5480303637539694</v>
      </c>
      <c r="J986" s="60">
        <v>981</v>
      </c>
    </row>
    <row r="987" spans="2:10" x14ac:dyDescent="0.25">
      <c r="B987" s="53">
        <v>41604</v>
      </c>
      <c r="C987">
        <v>527.2297251</v>
      </c>
      <c r="D987" s="54">
        <f t="shared" si="115"/>
        <v>1.1931919994834587E-2</v>
      </c>
      <c r="E987" s="54">
        <f t="shared" ca="1" si="116"/>
        <v>-2.6884496576352473E-2</v>
      </c>
      <c r="F987" s="64">
        <f t="shared" ca="1" si="117"/>
        <v>3.8816416571187062E-2</v>
      </c>
      <c r="G987">
        <f t="shared" ca="1" si="114"/>
        <v>1.258866693387777E-2</v>
      </c>
      <c r="H987">
        <f t="shared" ca="1" si="118"/>
        <v>-2.0604167815106549</v>
      </c>
      <c r="I987">
        <f t="shared" ca="1" si="119"/>
        <v>1.614042655816226</v>
      </c>
      <c r="J987" s="57">
        <v>982</v>
      </c>
    </row>
    <row r="988" spans="2:10" x14ac:dyDescent="0.25">
      <c r="B988" s="53">
        <v>41605</v>
      </c>
      <c r="C988">
        <v>529.57097650000003</v>
      </c>
      <c r="D988" s="54">
        <f t="shared" si="115"/>
        <v>4.4406665416218067E-3</v>
      </c>
      <c r="E988" s="54">
        <f t="shared" ca="1" si="116"/>
        <v>1.5351351860807739E-2</v>
      </c>
      <c r="F988" s="64">
        <f t="shared" ca="1" si="117"/>
        <v>-1.0910685319185931E-2</v>
      </c>
      <c r="G988">
        <f t="shared" ca="1" si="114"/>
        <v>3.4525728213761778E-2</v>
      </c>
      <c r="H988">
        <f t="shared" ca="1" si="118"/>
        <v>0.26763605953175523</v>
      </c>
      <c r="I988">
        <f t="shared" ca="1" si="119"/>
        <v>2.6619440102827689</v>
      </c>
      <c r="J988" s="60">
        <v>983</v>
      </c>
    </row>
    <row r="989" spans="2:10" x14ac:dyDescent="0.25">
      <c r="B989" s="53">
        <v>41607</v>
      </c>
      <c r="C989">
        <v>527.81749449999995</v>
      </c>
      <c r="D989" s="54">
        <f t="shared" si="115"/>
        <v>-3.3111368972466265E-3</v>
      </c>
      <c r="E989" s="54">
        <f t="shared" ca="1" si="116"/>
        <v>-6.9682263599585396E-3</v>
      </c>
      <c r="F989" s="64">
        <f t="shared" ca="1" si="117"/>
        <v>3.6570894627119131E-3</v>
      </c>
      <c r="G989">
        <f t="shared" ca="1" si="114"/>
        <v>9.1019957830989762E-3</v>
      </c>
      <c r="H989">
        <f t="shared" ca="1" si="118"/>
        <v>-1.3543367222527727</v>
      </c>
      <c r="I989">
        <f t="shared" ca="1" si="119"/>
        <v>2.7687445893847471</v>
      </c>
      <c r="J989" s="57">
        <v>984</v>
      </c>
    </row>
    <row r="990" spans="2:10" x14ac:dyDescent="0.25">
      <c r="B990" s="53">
        <v>41610</v>
      </c>
      <c r="C990">
        <v>525.27207980000003</v>
      </c>
      <c r="D990" s="54">
        <f t="shared" si="115"/>
        <v>-4.8225281020879921E-3</v>
      </c>
      <c r="E990" s="54">
        <f t="shared" ca="1" si="116"/>
        <v>-2.8636737624627381E-3</v>
      </c>
      <c r="F990" s="64">
        <f t="shared" ca="1" si="117"/>
        <v>-1.958854339625254E-3</v>
      </c>
      <c r="G990">
        <f t="shared" ca="1" si="114"/>
        <v>2.2723328287843587E-2</v>
      </c>
      <c r="H990">
        <f t="shared" ca="1" si="118"/>
        <v>-0.21378949957317275</v>
      </c>
      <c r="I990">
        <f t="shared" ca="1" si="119"/>
        <v>2.7681867488920302</v>
      </c>
      <c r="J990" s="60">
        <v>985</v>
      </c>
    </row>
    <row r="991" spans="2:10" x14ac:dyDescent="0.25">
      <c r="B991" s="53">
        <v>41611</v>
      </c>
      <c r="C991">
        <v>524.6643517</v>
      </c>
      <c r="D991" s="54">
        <f t="shared" si="115"/>
        <v>-1.1569777328188217E-3</v>
      </c>
      <c r="E991" s="54">
        <f t="shared" ca="1" si="116"/>
        <v>-2.5764574448720809E-3</v>
      </c>
      <c r="F991" s="64">
        <f t="shared" ca="1" si="117"/>
        <v>1.4194797120532592E-3</v>
      </c>
      <c r="G991">
        <f t="shared" ca="1" si="114"/>
        <v>6.3681045601211963E-3</v>
      </c>
      <c r="H991">
        <f t="shared" ca="1" si="118"/>
        <v>-0.17105190852277985</v>
      </c>
      <c r="I991">
        <f t="shared" ca="1" si="119"/>
        <v>2.7746293670492448</v>
      </c>
      <c r="J991" s="57">
        <v>986</v>
      </c>
    </row>
    <row r="992" spans="2:10" x14ac:dyDescent="0.25">
      <c r="B992" s="53">
        <v>41612</v>
      </c>
      <c r="C992">
        <v>527.1151615</v>
      </c>
      <c r="D992" s="54">
        <f t="shared" si="115"/>
        <v>4.6711955787713984E-3</v>
      </c>
      <c r="E992" s="54">
        <f t="shared" ca="1" si="116"/>
        <v>1.8715625860750394E-3</v>
      </c>
      <c r="F992" s="64">
        <f t="shared" ca="1" si="117"/>
        <v>2.799632992696359E-3</v>
      </c>
      <c r="G992">
        <f t="shared" ca="1" si="114"/>
        <v>3.3576855111388205E-3</v>
      </c>
      <c r="H992">
        <f t="shared" ca="1" si="118"/>
        <v>1.2024582020935048</v>
      </c>
      <c r="I992">
        <f t="shared" ca="1" si="119"/>
        <v>2.7719557040351179</v>
      </c>
      <c r="J992" s="60">
        <v>987</v>
      </c>
    </row>
    <row r="993" spans="2:10" x14ac:dyDescent="0.25">
      <c r="B993" s="53">
        <v>41613</v>
      </c>
      <c r="C993">
        <v>526.69670389999999</v>
      </c>
      <c r="D993" s="54">
        <f t="shared" si="115"/>
        <v>-7.9386371435269496E-4</v>
      </c>
      <c r="E993" s="54">
        <f t="shared" ca="1" si="116"/>
        <v>-1.3738163352629383E-2</v>
      </c>
      <c r="F993" s="64">
        <f t="shared" ca="1" si="117"/>
        <v>1.2944299638276688E-2</v>
      </c>
      <c r="G993">
        <f t="shared" ca="1" si="114"/>
        <v>2.0110809830205172E-2</v>
      </c>
      <c r="H993">
        <f t="shared" ca="1" si="118"/>
        <v>-0.65728939276714105</v>
      </c>
      <c r="I993">
        <f t="shared" ca="1" si="119"/>
        <v>2.6578501890450381</v>
      </c>
      <c r="J993" s="57">
        <v>988</v>
      </c>
    </row>
    <row r="994" spans="2:10" x14ac:dyDescent="0.25">
      <c r="B994" s="53">
        <v>41614</v>
      </c>
      <c r="C994">
        <v>532.9383527</v>
      </c>
      <c r="D994" s="54">
        <f t="shared" si="115"/>
        <v>1.1850556029272329E-2</v>
      </c>
      <c r="E994" s="54">
        <f t="shared" ca="1" si="116"/>
        <v>1.4727316915667098E-2</v>
      </c>
      <c r="F994" s="64">
        <f t="shared" ca="1" si="117"/>
        <v>-2.8767608863947691E-3</v>
      </c>
      <c r="G994">
        <f t="shared" ca="1" si="114"/>
        <v>1.1932200199125737E-2</v>
      </c>
      <c r="H994">
        <f t="shared" ca="1" si="118"/>
        <v>1.0584303728570157</v>
      </c>
      <c r="I994">
        <f t="shared" ca="1" si="119"/>
        <v>2.7632503720257642</v>
      </c>
      <c r="J994" s="60">
        <v>989</v>
      </c>
    </row>
    <row r="995" spans="2:10" x14ac:dyDescent="0.25">
      <c r="B995" s="53">
        <v>41617</v>
      </c>
      <c r="C995">
        <v>537.05792750000001</v>
      </c>
      <c r="D995" s="54">
        <f t="shared" si="115"/>
        <v>7.7299274468223302E-3</v>
      </c>
      <c r="E995" s="54">
        <f t="shared" ca="1" si="116"/>
        <v>-1.5126629618187701E-3</v>
      </c>
      <c r="F995" s="64">
        <f t="shared" ca="1" si="117"/>
        <v>9.2425904086411003E-3</v>
      </c>
      <c r="G995">
        <f t="shared" ca="1" si="114"/>
        <v>1.7903239788138306E-2</v>
      </c>
      <c r="H995">
        <f t="shared" ca="1" si="118"/>
        <v>-6.4587589052295266E-2</v>
      </c>
      <c r="I995">
        <f t="shared" ca="1" si="119"/>
        <v>2.718754172317182</v>
      </c>
      <c r="J995" s="57">
        <v>990</v>
      </c>
    </row>
    <row r="996" spans="2:10" x14ac:dyDescent="0.25">
      <c r="B996" s="53">
        <v>41618</v>
      </c>
      <c r="C996">
        <v>540.30573600000002</v>
      </c>
      <c r="D996" s="54">
        <f t="shared" si="115"/>
        <v>6.0474081727431893E-3</v>
      </c>
      <c r="E996" s="54">
        <f t="shared" ca="1" si="116"/>
        <v>6.6432459033758211E-3</v>
      </c>
      <c r="F996" s="64">
        <f t="shared" ca="1" si="117"/>
        <v>-5.9583773063263176E-4</v>
      </c>
      <c r="G996">
        <f t="shared" ca="1" si="114"/>
        <v>4.3378135193098627E-3</v>
      </c>
      <c r="H996">
        <f t="shared" ca="1" si="118"/>
        <v>0.30448303592244547</v>
      </c>
      <c r="I996">
        <f t="shared" ca="1" si="119"/>
        <v>2.7730052362519713</v>
      </c>
      <c r="J996" s="60">
        <v>991</v>
      </c>
    </row>
    <row r="997" spans="2:10" x14ac:dyDescent="0.25">
      <c r="B997" s="53">
        <v>41619</v>
      </c>
      <c r="C997">
        <v>536.63446529999999</v>
      </c>
      <c r="D997" s="54">
        <f t="shared" si="115"/>
        <v>-6.7948023783335077E-3</v>
      </c>
      <c r="E997" s="54">
        <f t="shared" ca="1" si="116"/>
        <v>7.7392789788712077E-4</v>
      </c>
      <c r="F997" s="64">
        <f t="shared" ca="1" si="117"/>
        <v>-7.5687302762206289E-3</v>
      </c>
      <c r="G997">
        <f t="shared" ca="1" si="114"/>
        <v>5.2748351543060856E-3</v>
      </c>
      <c r="H997">
        <f t="shared" ca="1" si="118"/>
        <v>-0.51145514037423567</v>
      </c>
      <c r="I997">
        <f t="shared" ca="1" si="119"/>
        <v>2.7167532299943051</v>
      </c>
      <c r="J997" s="57">
        <v>992</v>
      </c>
    </row>
    <row r="998" spans="2:10" x14ac:dyDescent="0.25">
      <c r="B998" s="53">
        <v>41620</v>
      </c>
      <c r="C998">
        <v>532.98315279999997</v>
      </c>
      <c r="D998" s="54">
        <f t="shared" si="115"/>
        <v>-6.8040961512950693E-3</v>
      </c>
      <c r="E998" s="54">
        <f t="shared" ca="1" si="116"/>
        <v>-9.4113625844113348E-5</v>
      </c>
      <c r="F998" s="64">
        <f t="shared" ca="1" si="117"/>
        <v>-6.7099825254509559E-3</v>
      </c>
      <c r="G998">
        <f t="shared" ca="1" si="114"/>
        <v>8.6799698195763435E-3</v>
      </c>
      <c r="H998">
        <f t="shared" ca="1" si="118"/>
        <v>-0.32373484198739283</v>
      </c>
      <c r="I998">
        <f t="shared" ca="1" si="119"/>
        <v>2.7279227081978892</v>
      </c>
      <c r="J998" s="60">
        <v>993</v>
      </c>
    </row>
    <row r="999" spans="2:10" x14ac:dyDescent="0.25">
      <c r="B999" s="53">
        <v>41621</v>
      </c>
      <c r="C999">
        <v>528.41527380000002</v>
      </c>
      <c r="D999" s="54">
        <f t="shared" si="115"/>
        <v>-8.5704003513109705E-3</v>
      </c>
      <c r="E999" s="54">
        <f t="shared" ca="1" si="116"/>
        <v>2.995781001700169E-3</v>
      </c>
      <c r="F999" s="64">
        <f t="shared" ca="1" si="117"/>
        <v>-1.1566181353011139E-2</v>
      </c>
      <c r="G999">
        <f t="shared" ca="1" si="114"/>
        <v>5.8418688266628311E-3</v>
      </c>
      <c r="H999">
        <f t="shared" ca="1" si="118"/>
        <v>1.035213264176869</v>
      </c>
      <c r="I999">
        <f t="shared" ca="1" si="119"/>
        <v>2.6490767634032322</v>
      </c>
      <c r="J999" s="57">
        <v>994</v>
      </c>
    </row>
    <row r="1000" spans="2:10" x14ac:dyDescent="0.25">
      <c r="B1000" s="53">
        <v>41624</v>
      </c>
      <c r="C1000">
        <v>534.48754989999998</v>
      </c>
      <c r="D1000" s="54">
        <f t="shared" si="115"/>
        <v>1.1491484824676454E-2</v>
      </c>
      <c r="E1000" s="54">
        <f t="shared" ca="1" si="116"/>
        <v>1.5910800250748664E-2</v>
      </c>
      <c r="F1000" s="64">
        <f t="shared" ca="1" si="117"/>
        <v>-4.4193154260722105E-3</v>
      </c>
      <c r="G1000">
        <f t="shared" ca="1" si="114"/>
        <v>1.7359854105999876E-2</v>
      </c>
      <c r="H1000">
        <f t="shared" ca="1" si="118"/>
        <v>1.0925670048442022</v>
      </c>
      <c r="I1000">
        <f t="shared" ca="1" si="119"/>
        <v>2.7518885188605697</v>
      </c>
      <c r="J1000" s="60">
        <v>995</v>
      </c>
    </row>
    <row r="1001" spans="2:10" x14ac:dyDescent="0.25">
      <c r="B1001" s="53">
        <v>41625</v>
      </c>
      <c r="C1001">
        <v>532.93334800000002</v>
      </c>
      <c r="D1001" s="54">
        <f t="shared" si="115"/>
        <v>-2.9078355525600855E-3</v>
      </c>
      <c r="E1001" s="54">
        <f t="shared" ca="1" si="116"/>
        <v>-6.7440726852086574E-3</v>
      </c>
      <c r="F1001" s="64">
        <f t="shared" ca="1" si="117"/>
        <v>3.836237132648572E-3</v>
      </c>
      <c r="G1001">
        <f t="shared" ca="1" si="114"/>
        <v>1.8687854359679453E-2</v>
      </c>
      <c r="H1001">
        <f t="shared" ca="1" si="118"/>
        <v>-0.15492052852266819</v>
      </c>
      <c r="I1001">
        <f t="shared" ca="1" si="119"/>
        <v>2.7679236673048053</v>
      </c>
      <c r="J1001" s="57">
        <v>996</v>
      </c>
    </row>
    <row r="1002" spans="2:10" x14ac:dyDescent="0.25">
      <c r="B1002" s="53">
        <v>41626</v>
      </c>
      <c r="C1002">
        <v>540.35053600000003</v>
      </c>
      <c r="D1002" s="54">
        <f t="shared" si="115"/>
        <v>1.3917665366288938E-2</v>
      </c>
      <c r="E1002" s="54">
        <f t="shared" ca="1" si="116"/>
        <v>1.3029227088007109E-2</v>
      </c>
      <c r="F1002" s="64">
        <f t="shared" ca="1" si="117"/>
        <v>8.8843827828182821E-4</v>
      </c>
      <c r="G1002">
        <f t="shared" ca="1" si="114"/>
        <v>5.0824505977113557E-3</v>
      </c>
      <c r="H1002">
        <f t="shared" ca="1" si="118"/>
        <v>1.5481156300878307</v>
      </c>
      <c r="I1002">
        <f t="shared" ca="1" si="119"/>
        <v>2.7748381809480578</v>
      </c>
      <c r="J1002" s="60">
        <v>997</v>
      </c>
    </row>
    <row r="1003" spans="2:10" x14ac:dyDescent="0.25">
      <c r="B1003" s="53">
        <v>41627</v>
      </c>
      <c r="C1003">
        <v>541.08283719999997</v>
      </c>
      <c r="D1003" s="54">
        <f t="shared" si="115"/>
        <v>1.355233595992839E-3</v>
      </c>
      <c r="E1003" s="54">
        <f t="shared" ca="1" si="116"/>
        <v>4.1327350117534592E-2</v>
      </c>
      <c r="F1003" s="64">
        <f t="shared" ca="1" si="117"/>
        <v>-3.9972116521541756E-2</v>
      </c>
      <c r="G1003">
        <f t="shared" ca="1" si="114"/>
        <v>2.5886084160194358E-2</v>
      </c>
      <c r="H1003">
        <f t="shared" ca="1" si="118"/>
        <v>1.6469496579663179</v>
      </c>
      <c r="I1003">
        <f t="shared" ca="1" si="119"/>
        <v>1.4245598843408147</v>
      </c>
      <c r="J1003" s="57">
        <v>998</v>
      </c>
    </row>
    <row r="1004" spans="2:10" x14ac:dyDescent="0.25">
      <c r="B1004" s="53">
        <v>41628</v>
      </c>
      <c r="C1004">
        <v>548.25594509999996</v>
      </c>
      <c r="D1004" s="54">
        <f t="shared" si="115"/>
        <v>1.3256949595961036E-2</v>
      </c>
      <c r="E1004" s="54">
        <f t="shared" ca="1" si="116"/>
        <v>2.1055039393158389E-2</v>
      </c>
      <c r="F1004" s="64">
        <f t="shared" ca="1" si="117"/>
        <v>-7.7980897971973526E-3</v>
      </c>
      <c r="G1004">
        <f t="shared" ca="1" si="114"/>
        <v>2.813377268996212E-2</v>
      </c>
      <c r="H1004">
        <f t="shared" ca="1" si="118"/>
        <v>0.52621146607515557</v>
      </c>
      <c r="I1004">
        <f t="shared" ca="1" si="119"/>
        <v>2.7135683989936994</v>
      </c>
      <c r="J1004" s="60">
        <v>999</v>
      </c>
    </row>
    <row r="1005" spans="2:10" x14ac:dyDescent="0.25">
      <c r="B1005" s="53">
        <v>41631</v>
      </c>
      <c r="C1005">
        <v>555.46890919999998</v>
      </c>
      <c r="D1005" s="54">
        <f t="shared" si="115"/>
        <v>1.3156198604803824E-2</v>
      </c>
      <c r="E1005" s="54">
        <f t="shared" ca="1" si="116"/>
        <v>9.5753725526820464E-3</v>
      </c>
      <c r="F1005" s="64">
        <f t="shared" ca="1" si="117"/>
        <v>3.5808260521217779E-3</v>
      </c>
      <c r="G1005">
        <f t="shared" ca="1" si="114"/>
        <v>1.0920039935518355E-2</v>
      </c>
      <c r="H1005">
        <f t="shared" ca="1" si="118"/>
        <v>0.82110336511899362</v>
      </c>
      <c r="I1005">
        <f t="shared" ca="1" si="119"/>
        <v>2.7690783208436418</v>
      </c>
      <c r="J1005" s="57">
        <v>1000</v>
      </c>
    </row>
    <row r="1006" spans="2:10" x14ac:dyDescent="0.25">
      <c r="B1006" s="53">
        <v>41632</v>
      </c>
      <c r="C1006">
        <v>553.84500500000001</v>
      </c>
      <c r="D1006" s="54">
        <f t="shared" si="115"/>
        <v>-2.9234835165459698E-3</v>
      </c>
      <c r="E1006" s="54">
        <f t="shared" ca="1" si="116"/>
        <v>1.4947494264365323E-2</v>
      </c>
      <c r="F1006" s="64">
        <f t="shared" ca="1" si="117"/>
        <v>-1.7870977780911294E-2</v>
      </c>
      <c r="G1006">
        <f t="shared" ca="1" si="114"/>
        <v>1.396595940809967E-2</v>
      </c>
      <c r="H1006">
        <f t="shared" ca="1" si="118"/>
        <v>0.6439447298769041</v>
      </c>
      <c r="I1006">
        <f t="shared" ca="1" si="119"/>
        <v>2.4898628073144904</v>
      </c>
      <c r="J1006" s="60">
        <v>1001</v>
      </c>
    </row>
    <row r="1007" spans="2:10" x14ac:dyDescent="0.25">
      <c r="B1007" s="53">
        <v>41634</v>
      </c>
      <c r="C1007">
        <v>556.64450920000002</v>
      </c>
      <c r="D1007" s="54">
        <f t="shared" si="115"/>
        <v>5.0546708460429308E-3</v>
      </c>
      <c r="E1007" s="54">
        <f t="shared" ca="1" si="116"/>
        <v>1.3909804923753316E-2</v>
      </c>
      <c r="F1007" s="64">
        <f t="shared" ca="1" si="117"/>
        <v>-8.8551340777103856E-3</v>
      </c>
      <c r="G1007">
        <f t="shared" ca="1" si="114"/>
        <v>1.125480780774712E-2</v>
      </c>
      <c r="H1007">
        <f t="shared" ca="1" si="118"/>
        <v>0.71090889790133682</v>
      </c>
      <c r="I1007">
        <f t="shared" ca="1" si="119"/>
        <v>2.697792000404617</v>
      </c>
      <c r="J1007" s="57">
        <v>1002</v>
      </c>
    </row>
    <row r="1008" spans="2:10" x14ac:dyDescent="0.25">
      <c r="B1008" s="53">
        <v>41635</v>
      </c>
      <c r="C1008">
        <v>557.11277159999997</v>
      </c>
      <c r="D1008" s="54">
        <f t="shared" si="115"/>
        <v>8.4122342403581145E-4</v>
      </c>
      <c r="E1008" s="54">
        <f t="shared" ca="1" si="116"/>
        <v>1.337841516238176E-2</v>
      </c>
      <c r="F1008" s="64">
        <f t="shared" ca="1" si="117"/>
        <v>-1.2537191738345948E-2</v>
      </c>
      <c r="G1008">
        <f t="shared" ca="1" si="114"/>
        <v>1.2181904548442963E-2</v>
      </c>
      <c r="H1008">
        <f t="shared" ca="1" si="118"/>
        <v>1.2059955809338037</v>
      </c>
      <c r="I1008">
        <f t="shared" ca="1" si="119"/>
        <v>2.6287401165866462</v>
      </c>
      <c r="J1008" s="60">
        <v>1003</v>
      </c>
    </row>
    <row r="1009" spans="2:10" x14ac:dyDescent="0.25">
      <c r="B1009" s="53">
        <v>41638</v>
      </c>
      <c r="C1009">
        <v>552.65945620000002</v>
      </c>
      <c r="D1009" s="54">
        <f t="shared" si="115"/>
        <v>-7.9935618550087302E-3</v>
      </c>
      <c r="E1009" s="54">
        <f t="shared" ca="1" si="116"/>
        <v>1.9515003069175051E-2</v>
      </c>
      <c r="F1009" s="64">
        <f t="shared" ca="1" si="117"/>
        <v>-2.7508564924183781E-2</v>
      </c>
      <c r="G1009">
        <f t="shared" ca="1" si="114"/>
        <v>2.0345412495481045E-2</v>
      </c>
      <c r="H1009">
        <f t="shared" ca="1" si="118"/>
        <v>0.84760309784577093</v>
      </c>
      <c r="I1009">
        <f t="shared" ca="1" si="119"/>
        <v>2.1223596375970359</v>
      </c>
      <c r="J1009" s="57">
        <v>1004</v>
      </c>
    </row>
    <row r="1010" spans="2:10" x14ac:dyDescent="0.25">
      <c r="B1010" s="53">
        <v>41639</v>
      </c>
      <c r="C1010">
        <v>558.26346950000004</v>
      </c>
      <c r="D1010" s="54">
        <f t="shared" si="115"/>
        <v>1.014008398324049E-2</v>
      </c>
      <c r="E1010" s="54">
        <f t="shared" ca="1" si="116"/>
        <v>-7.7765817420908422E-3</v>
      </c>
      <c r="F1010" s="64">
        <f t="shared" ca="1" si="117"/>
        <v>1.7916665725331331E-2</v>
      </c>
      <c r="G1010">
        <f t="shared" ca="1" si="114"/>
        <v>1.4921932563503699E-2</v>
      </c>
      <c r="H1010">
        <f t="shared" ca="1" si="118"/>
        <v>-0.54646100554545773</v>
      </c>
      <c r="I1010">
        <f t="shared" ca="1" si="119"/>
        <v>2.5411959845327461</v>
      </c>
      <c r="J1010" s="60">
        <v>1005</v>
      </c>
    </row>
    <row r="1011" spans="2:10" x14ac:dyDescent="0.25">
      <c r="B1011" s="53">
        <v>41641</v>
      </c>
      <c r="C1011">
        <v>554.48264040000004</v>
      </c>
      <c r="D1011" s="54">
        <f t="shared" si="115"/>
        <v>-6.7724816445293226E-3</v>
      </c>
      <c r="E1011" s="54">
        <f t="shared" ca="1" si="116"/>
        <v>5.0399664508027527E-4</v>
      </c>
      <c r="F1011" s="64">
        <f t="shared" ca="1" si="117"/>
        <v>-7.2764782896095979E-3</v>
      </c>
      <c r="G1011">
        <f t="shared" ca="1" si="114"/>
        <v>9.7863632543220801E-3</v>
      </c>
      <c r="H1011">
        <f t="shared" ca="1" si="118"/>
        <v>0.4183260438061725</v>
      </c>
      <c r="I1011">
        <f t="shared" ca="1" si="119"/>
        <v>2.7206882165639046</v>
      </c>
      <c r="J1011" s="57">
        <v>1006</v>
      </c>
    </row>
    <row r="1012" spans="2:10" x14ac:dyDescent="0.25">
      <c r="B1012" s="53">
        <v>41642</v>
      </c>
      <c r="C1012">
        <v>550.43777260000002</v>
      </c>
      <c r="D1012" s="54">
        <f t="shared" si="115"/>
        <v>-7.2948501996060325E-3</v>
      </c>
      <c r="E1012" s="54">
        <f t="shared" ca="1" si="116"/>
        <v>3.4540947877331795E-3</v>
      </c>
      <c r="F1012" s="64">
        <f t="shared" ca="1" si="117"/>
        <v>-1.0748944987339212E-2</v>
      </c>
      <c r="G1012">
        <f t="shared" ca="1" si="114"/>
        <v>7.3989282973020536E-3</v>
      </c>
      <c r="H1012">
        <f t="shared" ca="1" si="118"/>
        <v>-0.14865711101242421</v>
      </c>
      <c r="I1012">
        <f t="shared" ca="1" si="119"/>
        <v>2.6650121534367726</v>
      </c>
      <c r="J1012" s="60">
        <v>1007</v>
      </c>
    </row>
    <row r="1013" spans="2:10" x14ac:dyDescent="0.25">
      <c r="B1013" s="53">
        <v>41645</v>
      </c>
      <c r="C1013">
        <v>556.57480699999996</v>
      </c>
      <c r="D1013" s="54">
        <f t="shared" si="115"/>
        <v>1.114937002054126E-2</v>
      </c>
      <c r="E1013" s="54">
        <f t="shared" ca="1" si="116"/>
        <v>-2.219369565362444E-3</v>
      </c>
      <c r="F1013" s="64">
        <f t="shared" ca="1" si="117"/>
        <v>1.3368739585903705E-2</v>
      </c>
      <c r="G1013">
        <f t="shared" ca="1" si="114"/>
        <v>3.1647861063495396E-3</v>
      </c>
      <c r="H1013">
        <f t="shared" ca="1" si="118"/>
        <v>0.25986378574760355</v>
      </c>
      <c r="I1013">
        <f t="shared" ca="1" si="119"/>
        <v>2.6494520728424016</v>
      </c>
      <c r="J1013" s="57">
        <v>1008</v>
      </c>
    </row>
    <row r="1014" spans="2:10" x14ac:dyDescent="0.25">
      <c r="B1014" s="53">
        <v>41646</v>
      </c>
      <c r="C1014">
        <v>567.30456170000002</v>
      </c>
      <c r="D1014" s="54">
        <f t="shared" si="115"/>
        <v>1.9278189679181899E-2</v>
      </c>
      <c r="E1014" s="54">
        <f t="shared" ca="1" si="116"/>
        <v>-3.6446225509528382E-3</v>
      </c>
      <c r="F1014" s="64">
        <f t="shared" ca="1" si="117"/>
        <v>2.2922812230134738E-2</v>
      </c>
      <c r="G1014">
        <f t="shared" ca="1" si="114"/>
        <v>4.5112643754802667E-3</v>
      </c>
      <c r="H1014">
        <f t="shared" ca="1" si="118"/>
        <v>-8.1695802759355174E-2</v>
      </c>
      <c r="I1014">
        <f t="shared" ca="1" si="119"/>
        <v>2.3833927829982859</v>
      </c>
      <c r="J1014" s="60">
        <v>1009</v>
      </c>
    </row>
    <row r="1015" spans="2:10" x14ac:dyDescent="0.25">
      <c r="B1015" s="53">
        <v>41647</v>
      </c>
      <c r="C1015">
        <v>568.48516649999999</v>
      </c>
      <c r="D1015" s="54">
        <f t="shared" si="115"/>
        <v>2.0810775722693597E-3</v>
      </c>
      <c r="E1015" s="54">
        <f t="shared" ca="1" si="116"/>
        <v>5.548280534593877E-3</v>
      </c>
      <c r="F1015" s="64">
        <f t="shared" ca="1" si="117"/>
        <v>-3.4672029623245173E-3</v>
      </c>
      <c r="G1015">
        <f t="shared" ca="1" si="114"/>
        <v>1.9832411305074874E-3</v>
      </c>
      <c r="H1015">
        <f t="shared" ca="1" si="118"/>
        <v>0.27255532168958502</v>
      </c>
      <c r="I1015">
        <f t="shared" ca="1" si="119"/>
        <v>2.7593555674613204</v>
      </c>
      <c r="J1015" s="57">
        <v>1010</v>
      </c>
    </row>
    <row r="1016" spans="2:10" x14ac:dyDescent="0.25">
      <c r="B1016" s="53">
        <v>41648</v>
      </c>
      <c r="C1016">
        <v>563.01066979999996</v>
      </c>
      <c r="D1016" s="54">
        <f t="shared" si="115"/>
        <v>-9.6299728165379177E-3</v>
      </c>
      <c r="E1016" s="54">
        <f t="shared" ca="1" si="116"/>
        <v>7.1827233441261445E-3</v>
      </c>
      <c r="F1016" s="64">
        <f t="shared" ca="1" si="117"/>
        <v>-1.681269616066406E-2</v>
      </c>
      <c r="G1016">
        <f t="shared" ca="1" si="114"/>
        <v>4.6817097215494843E-3</v>
      </c>
      <c r="H1016">
        <f t="shared" ca="1" si="118"/>
        <v>-0.31516982123226828</v>
      </c>
      <c r="I1016">
        <f t="shared" ca="1" si="119"/>
        <v>2.5210729688662159</v>
      </c>
      <c r="J1016" s="60">
        <v>1011</v>
      </c>
    </row>
    <row r="1017" spans="2:10" x14ac:dyDescent="0.25">
      <c r="B1017" s="53">
        <v>41649</v>
      </c>
      <c r="C1017">
        <v>562.98076289999995</v>
      </c>
      <c r="D1017" s="54">
        <f t="shared" si="115"/>
        <v>-5.3119597201663024E-5</v>
      </c>
      <c r="E1017" s="54">
        <f t="shared" ca="1" si="116"/>
        <v>2.3725257883735057E-3</v>
      </c>
      <c r="F1017" s="64">
        <f t="shared" ca="1" si="117"/>
        <v>-2.4256453855751687E-3</v>
      </c>
      <c r="G1017">
        <f t="shared" ca="1" si="114"/>
        <v>5.4616718396999714E-3</v>
      </c>
      <c r="H1017">
        <f t="shared" ca="1" si="118"/>
        <v>0.26329632576508216</v>
      </c>
      <c r="I1017">
        <f t="shared" ca="1" si="119"/>
        <v>2.7658465295624932</v>
      </c>
      <c r="J1017" s="57">
        <v>1012</v>
      </c>
    </row>
    <row r="1018" spans="2:10" x14ac:dyDescent="0.25">
      <c r="B1018" s="53">
        <v>41652</v>
      </c>
      <c r="C1018">
        <v>559.39420870000004</v>
      </c>
      <c r="D1018" s="54">
        <f t="shared" si="115"/>
        <v>-6.370651426036337E-3</v>
      </c>
      <c r="E1018" s="54">
        <f t="shared" ca="1" si="116"/>
        <v>-6.1704114296743974E-3</v>
      </c>
      <c r="F1018" s="64">
        <f t="shared" ca="1" si="117"/>
        <v>-2.0023999636193963E-4</v>
      </c>
      <c r="G1018">
        <f t="shared" ca="1" si="114"/>
        <v>4.6776354759152138E-3</v>
      </c>
      <c r="H1018">
        <f t="shared" ca="1" si="118"/>
        <v>-0.39451489091599046</v>
      </c>
      <c r="I1018">
        <f t="shared" ca="1" si="119"/>
        <v>2.7738416975758478</v>
      </c>
      <c r="J1018" s="60">
        <v>1013</v>
      </c>
    </row>
    <row r="1019" spans="2:10" x14ac:dyDescent="0.25">
      <c r="B1019" s="53">
        <v>41653</v>
      </c>
      <c r="C1019">
        <v>572.554937</v>
      </c>
      <c r="D1019" s="54">
        <f t="shared" si="115"/>
        <v>2.3526751073424116E-2</v>
      </c>
      <c r="E1019" s="54">
        <f t="shared" ca="1" si="116"/>
        <v>1.1781714994252674E-2</v>
      </c>
      <c r="F1019" s="64">
        <f t="shared" ca="1" si="117"/>
        <v>1.1745036079171442E-2</v>
      </c>
      <c r="G1019">
        <f t="shared" ca="1" si="114"/>
        <v>6.7465797140990377E-3</v>
      </c>
      <c r="H1019">
        <f t="shared" ca="1" si="118"/>
        <v>1.7498765830985923</v>
      </c>
      <c r="I1019">
        <f t="shared" ca="1" si="119"/>
        <v>2.6800061014414776</v>
      </c>
      <c r="J1019" s="57">
        <v>1014</v>
      </c>
    </row>
    <row r="1020" spans="2:10" x14ac:dyDescent="0.25">
      <c r="B1020" s="53">
        <v>41654</v>
      </c>
      <c r="C1020">
        <v>572.16638639999996</v>
      </c>
      <c r="D1020" s="54">
        <f t="shared" si="115"/>
        <v>-6.7862588354561772E-4</v>
      </c>
      <c r="E1020" s="54">
        <f t="shared" ca="1" si="116"/>
        <v>-2.6048690783887905E-2</v>
      </c>
      <c r="F1020" s="64">
        <f t="shared" ca="1" si="117"/>
        <v>2.5370064900342288E-2</v>
      </c>
      <c r="G1020">
        <f t="shared" ca="1" si="114"/>
        <v>2.9266005950788376E-2</v>
      </c>
      <c r="H1020">
        <f t="shared" ca="1" si="118"/>
        <v>-0.79231546392875385</v>
      </c>
      <c r="I1020">
        <f t="shared" ca="1" si="119"/>
        <v>2.2915148333750124</v>
      </c>
      <c r="J1020" s="60">
        <v>1015</v>
      </c>
    </row>
    <row r="1021" spans="2:10" x14ac:dyDescent="0.25">
      <c r="B1021" s="53">
        <v>41655</v>
      </c>
      <c r="C1021">
        <v>575.95215940000003</v>
      </c>
      <c r="D1021" s="54">
        <f t="shared" si="115"/>
        <v>6.6165596057113345E-3</v>
      </c>
      <c r="E1021" s="54">
        <f t="shared" ca="1" si="116"/>
        <v>-9.975392994169309E-4</v>
      </c>
      <c r="F1021" s="64">
        <f t="shared" ca="1" si="117"/>
        <v>7.6140989051282654E-3</v>
      </c>
      <c r="G1021">
        <f t="shared" ca="1" si="114"/>
        <v>1.4845024629018365E-2</v>
      </c>
      <c r="H1021">
        <f t="shared" ca="1" si="118"/>
        <v>-0.77897228217746495</v>
      </c>
      <c r="I1021">
        <f t="shared" ca="1" si="119"/>
        <v>2.7385351343888509</v>
      </c>
      <c r="J1021" s="57">
        <v>1016</v>
      </c>
    </row>
    <row r="1022" spans="2:10" x14ac:dyDescent="0.25">
      <c r="B1022" s="53">
        <v>41656</v>
      </c>
      <c r="C1022">
        <v>573.11780380000005</v>
      </c>
      <c r="D1022" s="54">
        <f t="shared" si="115"/>
        <v>-4.9211649852180074E-3</v>
      </c>
      <c r="E1022" s="54">
        <f t="shared" ca="1" si="116"/>
        <v>2.548422532257795E-3</v>
      </c>
      <c r="F1022" s="64">
        <f t="shared" ca="1" si="117"/>
        <v>-7.4695875174758024E-3</v>
      </c>
      <c r="G1022">
        <f t="shared" ca="1" si="114"/>
        <v>1.3472759125841661E-2</v>
      </c>
      <c r="H1022">
        <f t="shared" ca="1" si="118"/>
        <v>0.21176753442879095</v>
      </c>
      <c r="I1022">
        <f t="shared" ca="1" si="119"/>
        <v>2.7181035910672353</v>
      </c>
      <c r="J1022" s="60">
        <v>1017</v>
      </c>
    </row>
    <row r="1023" spans="2:10" x14ac:dyDescent="0.25">
      <c r="B1023" s="53">
        <v>41660</v>
      </c>
      <c r="C1023">
        <v>579.67824010000004</v>
      </c>
      <c r="D1023" s="54">
        <f t="shared" si="115"/>
        <v>1.1446924622654677E-2</v>
      </c>
      <c r="E1023" s="54">
        <f t="shared" ca="1" si="116"/>
        <v>-4.8219551249028365E-4</v>
      </c>
      <c r="F1023" s="64">
        <f t="shared" ca="1" si="117"/>
        <v>1.1929120135144961E-2</v>
      </c>
      <c r="G1023">
        <f t="shared" ca="1" si="114"/>
        <v>4.7888777643489058E-3</v>
      </c>
      <c r="H1023">
        <f t="shared" ca="1" si="118"/>
        <v>-0.7212003128091331</v>
      </c>
      <c r="I1023">
        <f t="shared" ca="1" si="119"/>
        <v>2.6767561967811861</v>
      </c>
      <c r="J1023" s="57">
        <v>1018</v>
      </c>
    </row>
    <row r="1024" spans="2:10" x14ac:dyDescent="0.25">
      <c r="B1024" s="53">
        <v>41661</v>
      </c>
      <c r="C1024">
        <v>580.33577309999998</v>
      </c>
      <c r="D1024" s="54">
        <f t="shared" si="115"/>
        <v>1.1343068525161704E-3</v>
      </c>
      <c r="E1024" s="54">
        <f t="shared" ca="1" si="116"/>
        <v>-1.8860060003910353E-3</v>
      </c>
      <c r="F1024" s="64">
        <f t="shared" ca="1" si="117"/>
        <v>3.0203128529072056E-3</v>
      </c>
      <c r="G1024">
        <f t="shared" ca="1" si="114"/>
        <v>1.2129325581305795E-2</v>
      </c>
      <c r="H1024">
        <f t="shared" ca="1" si="118"/>
        <v>2.6711335680799975E-2</v>
      </c>
      <c r="I1024">
        <f t="shared" ca="1" si="119"/>
        <v>2.7712427989657189</v>
      </c>
      <c r="J1024" s="60">
        <v>1019</v>
      </c>
    </row>
    <row r="1025" spans="2:10" x14ac:dyDescent="0.25">
      <c r="B1025" s="53">
        <v>41662</v>
      </c>
      <c r="C1025">
        <v>577.88496329999998</v>
      </c>
      <c r="D1025" s="54">
        <f t="shared" si="115"/>
        <v>-4.2230893107078771E-3</v>
      </c>
      <c r="E1025" s="54">
        <f t="shared" ca="1" si="116"/>
        <v>4.2513401474078873E-3</v>
      </c>
      <c r="F1025" s="64">
        <f t="shared" ca="1" si="117"/>
        <v>-8.4744294581157644E-3</v>
      </c>
      <c r="G1025">
        <f t="shared" ca="1" si="114"/>
        <v>2.9753186904457915E-3</v>
      </c>
      <c r="H1025">
        <f t="shared" ca="1" si="118"/>
        <v>-0.29903435720962446</v>
      </c>
      <c r="I1025">
        <f t="shared" ca="1" si="119"/>
        <v>2.7036820375700326</v>
      </c>
      <c r="J1025" s="57">
        <v>1020</v>
      </c>
    </row>
    <row r="1026" spans="2:10" x14ac:dyDescent="0.25">
      <c r="B1026" s="53">
        <v>41663</v>
      </c>
      <c r="C1026">
        <v>559.81761019999999</v>
      </c>
      <c r="D1026" s="54">
        <f t="shared" si="115"/>
        <v>-3.1264618821065612E-2</v>
      </c>
      <c r="E1026" s="54">
        <f t="shared" ca="1" si="116"/>
        <v>2.4881676613236195E-3</v>
      </c>
      <c r="F1026" s="64">
        <f t="shared" ca="1" si="117"/>
        <v>-3.3752786482389233E-2</v>
      </c>
      <c r="G1026">
        <f t="shared" ca="1" si="114"/>
        <v>5.1371710822353664E-3</v>
      </c>
      <c r="H1026">
        <f t="shared" ca="1" si="118"/>
        <v>0.38519264442359857</v>
      </c>
      <c r="I1026">
        <f t="shared" ca="1" si="119"/>
        <v>1.8041366722537193</v>
      </c>
      <c r="J1026" s="60">
        <v>1021</v>
      </c>
    </row>
    <row r="1027" spans="2:10" x14ac:dyDescent="0.25">
      <c r="B1027" s="53">
        <v>41666</v>
      </c>
      <c r="C1027">
        <v>548.55977829999995</v>
      </c>
      <c r="D1027" s="54">
        <f t="shared" si="115"/>
        <v>-2.010982093967726E-2</v>
      </c>
      <c r="E1027" s="54">
        <f t="shared" ca="1" si="116"/>
        <v>6.9257705987808976E-3</v>
      </c>
      <c r="F1027" s="64">
        <f t="shared" ca="1" si="117"/>
        <v>-2.7035591538458158E-2</v>
      </c>
      <c r="G1027">
        <f t="shared" ca="1" si="114"/>
        <v>6.6125139337422159E-3</v>
      </c>
      <c r="H1027">
        <f t="shared" ca="1" si="118"/>
        <v>1.3342857914969841</v>
      </c>
      <c r="I1027">
        <f t="shared" ca="1" si="119"/>
        <v>2.1438970198662264</v>
      </c>
      <c r="J1027" s="57">
        <v>1022</v>
      </c>
    </row>
    <row r="1028" spans="2:10" x14ac:dyDescent="0.25">
      <c r="B1028" s="53">
        <v>41667</v>
      </c>
      <c r="C1028">
        <v>559.4091621</v>
      </c>
      <c r="D1028" s="54">
        <f t="shared" si="115"/>
        <v>1.9777942585624046E-2</v>
      </c>
      <c r="E1028" s="54">
        <f t="shared" ca="1" si="116"/>
        <v>-3.5150871431405675E-2</v>
      </c>
      <c r="F1028" s="64">
        <f t="shared" ca="1" si="117"/>
        <v>5.4928814017029717E-2</v>
      </c>
      <c r="G1028">
        <f t="shared" ca="1" si="114"/>
        <v>2.2345009130088304E-2</v>
      </c>
      <c r="H1028">
        <f t="shared" ca="1" si="118"/>
        <v>-0.94468336325429281</v>
      </c>
      <c r="I1028">
        <f t="shared" ca="1" si="119"/>
        <v>0.41748587344104676</v>
      </c>
      <c r="J1028" s="60">
        <v>1023</v>
      </c>
    </row>
    <row r="1029" spans="2:10" x14ac:dyDescent="0.25">
      <c r="B1029" s="53">
        <v>41668</v>
      </c>
      <c r="C1029">
        <v>551.39419520000001</v>
      </c>
      <c r="D1029" s="54">
        <f t="shared" si="115"/>
        <v>-1.4327557435620324E-2</v>
      </c>
      <c r="E1029" s="54">
        <f t="shared" ca="1" si="116"/>
        <v>-1.3440847914352461E-2</v>
      </c>
      <c r="F1029" s="64">
        <f t="shared" ca="1" si="117"/>
        <v>-8.8670952126786336E-4</v>
      </c>
      <c r="G1029">
        <f t="shared" ref="G1029:G1092" ca="1" si="120">SQRT(A_0+A_1*POWER(H1028,2)+B_1*POWER(G1028,2))</f>
        <v>1.6600349853389797E-2</v>
      </c>
      <c r="H1029">
        <f t="shared" ca="1" si="118"/>
        <v>-0.26562484795188251</v>
      </c>
      <c r="I1029">
        <f t="shared" ca="1" si="119"/>
        <v>2.7722288978867455</v>
      </c>
      <c r="J1029" s="57">
        <v>1024</v>
      </c>
    </row>
    <row r="1030" spans="2:10" x14ac:dyDescent="0.25">
      <c r="B1030" s="53">
        <v>41669</v>
      </c>
      <c r="C1030">
        <v>565.57604309999999</v>
      </c>
      <c r="D1030" s="54">
        <f t="shared" si="115"/>
        <v>2.5719980412300104E-2</v>
      </c>
      <c r="E1030" s="54">
        <f t="shared" ca="1" si="116"/>
        <v>1.7386471942843387E-2</v>
      </c>
      <c r="F1030" s="64">
        <f t="shared" ca="1" si="117"/>
        <v>8.3335084694567164E-3</v>
      </c>
      <c r="G1030">
        <f t="shared" ca="1" si="120"/>
        <v>5.9142796555447319E-3</v>
      </c>
      <c r="H1030">
        <f t="shared" ca="1" si="118"/>
        <v>1.4378841069844162</v>
      </c>
      <c r="I1030">
        <f t="shared" ca="1" si="119"/>
        <v>2.7303249615416587</v>
      </c>
      <c r="J1030" s="60">
        <v>1025</v>
      </c>
    </row>
    <row r="1031" spans="2:10" x14ac:dyDescent="0.25">
      <c r="B1031" s="53">
        <v>41670</v>
      </c>
      <c r="C1031">
        <v>588.28097700000001</v>
      </c>
      <c r="D1031" s="54">
        <f t="shared" ref="D1031:D1094" si="121">(C1031-C1030)/C1030</f>
        <v>4.0144794280095659E-2</v>
      </c>
      <c r="E1031" s="54">
        <f t="shared" ca="1" si="116"/>
        <v>-5.5618608399662775E-2</v>
      </c>
      <c r="F1031" s="64">
        <f t="shared" ca="1" si="117"/>
        <v>9.5763402679758441E-2</v>
      </c>
      <c r="G1031">
        <f t="shared" ca="1" si="120"/>
        <v>2.4059503256187158E-2</v>
      </c>
      <c r="H1031">
        <f t="shared" ca="1" si="118"/>
        <v>-2.0442757324777037</v>
      </c>
      <c r="I1031">
        <f t="shared" ca="1" si="119"/>
        <v>-4.4936551860303142</v>
      </c>
      <c r="J1031" s="57">
        <v>1026</v>
      </c>
    </row>
    <row r="1032" spans="2:10" x14ac:dyDescent="0.25">
      <c r="B1032" s="53">
        <v>41673</v>
      </c>
      <c r="C1032">
        <v>564.59972310000001</v>
      </c>
      <c r="D1032" s="54">
        <f t="shared" si="121"/>
        <v>-4.0255005390051904E-2</v>
      </c>
      <c r="E1032" s="54">
        <f t="shared" ref="E1032:E1095" ca="1" si="122">((E_1*D1031)+(E_2*D1030)+(G1032*H1032))</f>
        <v>1.4163502178683585E-2</v>
      </c>
      <c r="F1032" s="64">
        <f t="shared" ca="1" si="117"/>
        <v>-5.4418507568735487E-2</v>
      </c>
      <c r="G1032">
        <f t="shared" ca="1" si="120"/>
        <v>3.4574371388165159E-2</v>
      </c>
      <c r="H1032">
        <f t="shared" ca="1" si="118"/>
        <v>7.5531438656190455E-2</v>
      </c>
      <c r="I1032">
        <f t="shared" ca="1" si="119"/>
        <v>0.30168387199901675</v>
      </c>
      <c r="J1032" s="60">
        <v>1027</v>
      </c>
    </row>
    <row r="1033" spans="2:10" x14ac:dyDescent="0.25">
      <c r="B1033" s="53">
        <v>41674</v>
      </c>
      <c r="C1033">
        <v>566.95586719999994</v>
      </c>
      <c r="D1033" s="54">
        <f t="shared" si="121"/>
        <v>4.1731230172470796E-3</v>
      </c>
      <c r="E1033" s="54">
        <f t="shared" ca="1" si="122"/>
        <v>2.3557919874125598E-2</v>
      </c>
      <c r="F1033" s="64">
        <f t="shared" ref="F1033:F1096" ca="1" si="123">D1033-E1033</f>
        <v>-1.9384796856878519E-2</v>
      </c>
      <c r="G1033">
        <f t="shared" ca="1" si="120"/>
        <v>8.0407567238439809E-3</v>
      </c>
      <c r="H1033">
        <f t="shared" ref="H1033:H1096" ca="1" si="124">_xlfn.NORM.INV(RAND(),0,1)</f>
        <v>0.68759479374730803</v>
      </c>
      <c r="I1033">
        <f t="shared" ref="I1033:I1096" ca="1" si="125">LN(_xlfn.NORM.DIST(F1033,AVERAGE($F$8:$F$1413),_xlfn.STDEV.S($F$8:$F$1413),FALSE))</f>
        <v>2.4420726098453249</v>
      </c>
      <c r="J1033" s="57">
        <v>1028</v>
      </c>
    </row>
    <row r="1034" spans="2:10" x14ac:dyDescent="0.25">
      <c r="B1034" s="53">
        <v>41675</v>
      </c>
      <c r="C1034">
        <v>569.46649179999997</v>
      </c>
      <c r="D1034" s="54">
        <f t="shared" si="121"/>
        <v>4.4282540233671801E-3</v>
      </c>
      <c r="E1034" s="54">
        <f t="shared" ca="1" si="122"/>
        <v>-3.511740573136031E-2</v>
      </c>
      <c r="F1034" s="64">
        <f t="shared" ca="1" si="123"/>
        <v>3.9545659754727493E-2</v>
      </c>
      <c r="G1034">
        <f t="shared" ca="1" si="120"/>
        <v>1.1666010058073764E-2</v>
      </c>
      <c r="H1034">
        <f t="shared" ca="1" si="124"/>
        <v>-1.4604949250443784</v>
      </c>
      <c r="I1034">
        <f t="shared" ca="1" si="125"/>
        <v>1.5689495751104505</v>
      </c>
      <c r="J1034" s="60">
        <v>1029</v>
      </c>
    </row>
    <row r="1035" spans="2:10" x14ac:dyDescent="0.25">
      <c r="B1035" s="53">
        <v>41676</v>
      </c>
      <c r="C1035">
        <v>577.81519979999996</v>
      </c>
      <c r="D1035" s="54">
        <f t="shared" si="121"/>
        <v>1.4660578137988326E-2</v>
      </c>
      <c r="E1035" s="54">
        <f t="shared" ca="1" si="122"/>
        <v>7.168925780877794E-2</v>
      </c>
      <c r="F1035" s="64">
        <f t="shared" ca="1" si="123"/>
        <v>-5.7028679670789617E-2</v>
      </c>
      <c r="G1035">
        <f t="shared" ca="1" si="120"/>
        <v>2.4543161138398727E-2</v>
      </c>
      <c r="H1035">
        <f t="shared" ca="1" si="124"/>
        <v>2.8445784947151171</v>
      </c>
      <c r="I1035">
        <f t="shared" ca="1" si="125"/>
        <v>6.2835735715380051E-2</v>
      </c>
      <c r="J1035" s="57">
        <v>1030</v>
      </c>
    </row>
    <row r="1036" spans="2:10" x14ac:dyDescent="0.25">
      <c r="B1036" s="53">
        <v>41677</v>
      </c>
      <c r="C1036">
        <v>586.52255100000002</v>
      </c>
      <c r="D1036" s="54">
        <f t="shared" si="121"/>
        <v>1.5069439507672956E-2</v>
      </c>
      <c r="E1036" s="54">
        <f t="shared" ca="1" si="122"/>
        <v>-2.1403974337087059E-2</v>
      </c>
      <c r="F1036" s="64">
        <f t="shared" ca="1" si="123"/>
        <v>3.6473413844760015E-2</v>
      </c>
      <c r="G1036">
        <f t="shared" ca="1" si="120"/>
        <v>4.7819263937689697E-2</v>
      </c>
      <c r="H1036">
        <f t="shared" ca="1" si="124"/>
        <v>-0.48919708577969773</v>
      </c>
      <c r="I1036">
        <f t="shared" ca="1" si="125"/>
        <v>1.7531079755607597</v>
      </c>
      <c r="J1036" s="60">
        <v>1031</v>
      </c>
    </row>
    <row r="1037" spans="2:10" x14ac:dyDescent="0.25">
      <c r="B1037" s="53">
        <v>41680</v>
      </c>
      <c r="C1037">
        <v>584.27596519999997</v>
      </c>
      <c r="D1037" s="54">
        <f t="shared" si="121"/>
        <v>-3.8303485452855978E-3</v>
      </c>
      <c r="E1037" s="54">
        <f t="shared" ca="1" si="122"/>
        <v>1.2693517365817631E-2</v>
      </c>
      <c r="F1037" s="64">
        <f t="shared" ca="1" si="123"/>
        <v>-1.652386591110323E-2</v>
      </c>
      <c r="G1037">
        <f t="shared" ca="1" si="120"/>
        <v>1.3652223288326859E-2</v>
      </c>
      <c r="H1037">
        <f t="shared" ca="1" si="124"/>
        <v>0.44746546174435098</v>
      </c>
      <c r="I1037">
        <f t="shared" ca="1" si="125"/>
        <v>2.5292766317117659</v>
      </c>
      <c r="J1037" s="57">
        <v>1032</v>
      </c>
    </row>
    <row r="1038" spans="2:10" x14ac:dyDescent="0.25">
      <c r="B1038" s="53">
        <v>41681</v>
      </c>
      <c r="C1038">
        <v>592.86881459999995</v>
      </c>
      <c r="D1038" s="54">
        <f t="shared" si="121"/>
        <v>1.4706833605689413E-2</v>
      </c>
      <c r="E1038" s="54">
        <f t="shared" ca="1" si="122"/>
        <v>2.0180820608759052E-2</v>
      </c>
      <c r="F1038" s="64">
        <f t="shared" ca="1" si="123"/>
        <v>-5.4739870030696396E-3</v>
      </c>
      <c r="G1038">
        <f t="shared" ca="1" si="120"/>
        <v>8.1532950298288248E-3</v>
      </c>
      <c r="H1038">
        <f t="shared" ca="1" si="124"/>
        <v>1.6450894356774264</v>
      </c>
      <c r="I1038">
        <f t="shared" ca="1" si="125"/>
        <v>2.7419072735549674</v>
      </c>
      <c r="J1038" s="60">
        <v>1033</v>
      </c>
    </row>
    <row r="1039" spans="2:10" x14ac:dyDescent="0.25">
      <c r="B1039" s="53">
        <v>41682</v>
      </c>
      <c r="C1039">
        <v>591.13028610000003</v>
      </c>
      <c r="D1039" s="54">
        <f t="shared" si="121"/>
        <v>-2.932399979872235E-3</v>
      </c>
      <c r="E1039" s="54">
        <f t="shared" ca="1" si="122"/>
        <v>1.1059777207612057E-3</v>
      </c>
      <c r="F1039" s="64">
        <f t="shared" ca="1" si="123"/>
        <v>-4.0383777006334411E-3</v>
      </c>
      <c r="G1039">
        <f t="shared" ca="1" si="120"/>
        <v>2.7540375426608178E-2</v>
      </c>
      <c r="H1039">
        <f t="shared" ca="1" si="124"/>
        <v>0.10261336218330096</v>
      </c>
      <c r="I1039">
        <f t="shared" ca="1" si="125"/>
        <v>2.7550518446338357</v>
      </c>
      <c r="J1039" s="57">
        <v>1034</v>
      </c>
    </row>
    <row r="1040" spans="2:10" x14ac:dyDescent="0.25">
      <c r="B1040" s="53">
        <v>41683</v>
      </c>
      <c r="C1040">
        <v>597.71068060000005</v>
      </c>
      <c r="D1040" s="54">
        <f t="shared" si="121"/>
        <v>1.1131885228575181E-2</v>
      </c>
      <c r="E1040" s="54">
        <f t="shared" ca="1" si="122"/>
        <v>5.6195921177687579E-3</v>
      </c>
      <c r="F1040" s="64">
        <f t="shared" ca="1" si="123"/>
        <v>5.5122931108064228E-3</v>
      </c>
      <c r="G1040">
        <f t="shared" ca="1" si="120"/>
        <v>6.5817725272326539E-3</v>
      </c>
      <c r="H1040">
        <f t="shared" ca="1" si="124"/>
        <v>-0.1497303149207253</v>
      </c>
      <c r="I1040">
        <f t="shared" ca="1" si="125"/>
        <v>2.7577313216155468</v>
      </c>
      <c r="J1040" s="60">
        <v>1035</v>
      </c>
    </row>
    <row r="1041" spans="2:10" x14ac:dyDescent="0.25">
      <c r="B1041" s="53">
        <v>41684</v>
      </c>
      <c r="C1041">
        <v>599.15526299999999</v>
      </c>
      <c r="D1041" s="54">
        <f t="shared" si="121"/>
        <v>2.4168589367515223E-3</v>
      </c>
      <c r="E1041" s="54">
        <f t="shared" ca="1" si="122"/>
        <v>2.9120539284726342E-3</v>
      </c>
      <c r="F1041" s="64">
        <f t="shared" ca="1" si="123"/>
        <v>-4.9519499172111193E-4</v>
      </c>
      <c r="G1041">
        <f t="shared" ca="1" si="120"/>
        <v>3.0841697350046994E-3</v>
      </c>
      <c r="H1041">
        <f t="shared" ca="1" si="124"/>
        <v>1.3711507514068861</v>
      </c>
      <c r="I1041">
        <f t="shared" ca="1" si="125"/>
        <v>2.7732420194951177</v>
      </c>
      <c r="J1041" s="57">
        <v>1036</v>
      </c>
    </row>
    <row r="1042" spans="2:10" x14ac:dyDescent="0.25">
      <c r="B1042" s="53">
        <v>41688</v>
      </c>
      <c r="C1042">
        <v>603.18017259999999</v>
      </c>
      <c r="D1042" s="54">
        <f t="shared" si="121"/>
        <v>6.7176403989962132E-3</v>
      </c>
      <c r="E1042" s="54">
        <f t="shared" ca="1" si="122"/>
        <v>-1.712112490877072E-2</v>
      </c>
      <c r="F1042" s="64">
        <f t="shared" ca="1" si="123"/>
        <v>2.3838765307766935E-2</v>
      </c>
      <c r="G1042">
        <f t="shared" ca="1" si="120"/>
        <v>2.2919661025166072E-2</v>
      </c>
      <c r="H1042">
        <f t="shared" ca="1" si="124"/>
        <v>-0.96514163735655711</v>
      </c>
      <c r="I1042">
        <f t="shared" ca="1" si="125"/>
        <v>2.3501380026367173</v>
      </c>
      <c r="J1042" s="60">
        <v>1037</v>
      </c>
    </row>
    <row r="1043" spans="2:10" x14ac:dyDescent="0.25">
      <c r="B1043" s="53">
        <v>41689</v>
      </c>
      <c r="C1043">
        <v>598.92613679999999</v>
      </c>
      <c r="D1043" s="54">
        <f t="shared" si="121"/>
        <v>-7.0526784421030171E-3</v>
      </c>
      <c r="E1043" s="54">
        <f t="shared" ca="1" si="122"/>
        <v>-8.432836776478039E-3</v>
      </c>
      <c r="F1043" s="64">
        <f t="shared" ca="1" si="123"/>
        <v>1.3801583343750218E-3</v>
      </c>
      <c r="G1043">
        <f t="shared" ca="1" si="120"/>
        <v>1.6964889400624097E-2</v>
      </c>
      <c r="H1043">
        <f t="shared" ca="1" si="124"/>
        <v>-0.5610653906582318</v>
      </c>
      <c r="I1043">
        <f t="shared" ca="1" si="125"/>
        <v>2.7746604491847489</v>
      </c>
      <c r="J1043" s="57">
        <v>1038</v>
      </c>
    </row>
    <row r="1044" spans="2:10" x14ac:dyDescent="0.25">
      <c r="B1044" s="53">
        <v>41690</v>
      </c>
      <c r="C1044">
        <v>599.80779110000003</v>
      </c>
      <c r="D1044" s="54">
        <f t="shared" si="121"/>
        <v>1.4720584823875338E-3</v>
      </c>
      <c r="E1044" s="54">
        <f t="shared" ca="1" si="122"/>
        <v>1.8098024176042407E-2</v>
      </c>
      <c r="F1044" s="64">
        <f t="shared" ca="1" si="123"/>
        <v>-1.6625965693654873E-2</v>
      </c>
      <c r="G1044">
        <f t="shared" ca="1" si="120"/>
        <v>1.0181385852323352E-2</v>
      </c>
      <c r="H1044">
        <f t="shared" ca="1" si="124"/>
        <v>1.481244212748309</v>
      </c>
      <c r="I1044">
        <f t="shared" ca="1" si="125"/>
        <v>2.5263920877294508</v>
      </c>
      <c r="J1044" s="60">
        <v>1039</v>
      </c>
    </row>
    <row r="1045" spans="2:10" x14ac:dyDescent="0.25">
      <c r="B1045" s="53">
        <v>41691</v>
      </c>
      <c r="C1045">
        <v>599.64842799999997</v>
      </c>
      <c r="D1045" s="54">
        <f t="shared" si="121"/>
        <v>-2.6569028006089224E-4</v>
      </c>
      <c r="E1045" s="54">
        <f t="shared" ca="1" si="122"/>
        <v>-1.7151869029696471E-2</v>
      </c>
      <c r="F1045" s="64">
        <f t="shared" ca="1" si="123"/>
        <v>1.6886178749635578E-2</v>
      </c>
      <c r="G1045">
        <f t="shared" ca="1" si="120"/>
        <v>2.4853353965999282E-2</v>
      </c>
      <c r="H1045">
        <f t="shared" ca="1" si="124"/>
        <v>-0.56267638063655234</v>
      </c>
      <c r="I1045">
        <f t="shared" ca="1" si="125"/>
        <v>2.5686533580411344</v>
      </c>
      <c r="J1045" s="57">
        <v>1040</v>
      </c>
    </row>
    <row r="1046" spans="2:10" x14ac:dyDescent="0.25">
      <c r="B1046" s="53">
        <v>41694</v>
      </c>
      <c r="C1046">
        <v>603.99212469999998</v>
      </c>
      <c r="D1046" s="54">
        <f t="shared" si="121"/>
        <v>7.2437389930087668E-3</v>
      </c>
      <c r="E1046" s="54">
        <f t="shared" ca="1" si="122"/>
        <v>-4.1472486012176816E-3</v>
      </c>
      <c r="F1046" s="64">
        <f t="shared" ca="1" si="123"/>
        <v>1.1390987594226448E-2</v>
      </c>
      <c r="G1046">
        <f t="shared" ca="1" si="120"/>
        <v>1.101306482117826E-2</v>
      </c>
      <c r="H1046">
        <f t="shared" ca="1" si="124"/>
        <v>-0.43660643498614898</v>
      </c>
      <c r="I1046">
        <f t="shared" ca="1" si="125"/>
        <v>2.6861027160210051</v>
      </c>
      <c r="J1046" s="60">
        <v>1041</v>
      </c>
    </row>
    <row r="1047" spans="2:10" x14ac:dyDescent="0.25">
      <c r="B1047" s="53">
        <v>41695</v>
      </c>
      <c r="C1047">
        <v>607.72314889999996</v>
      </c>
      <c r="D1047" s="54">
        <f t="shared" si="121"/>
        <v>6.1772729269494384E-3</v>
      </c>
      <c r="E1047" s="54">
        <f t="shared" ca="1" si="122"/>
        <v>3.2093448092892058E-3</v>
      </c>
      <c r="F1047" s="64">
        <f t="shared" ca="1" si="123"/>
        <v>2.9679281176602326E-3</v>
      </c>
      <c r="G1047">
        <f t="shared" ca="1" si="120"/>
        <v>7.7732055840242856E-3</v>
      </c>
      <c r="H1047">
        <f t="shared" ca="1" si="124"/>
        <v>0.42820774063494682</v>
      </c>
      <c r="I1047">
        <f t="shared" ca="1" si="125"/>
        <v>2.7714191498646152</v>
      </c>
      <c r="J1047" s="57">
        <v>1042</v>
      </c>
    </row>
    <row r="1048" spans="2:10" x14ac:dyDescent="0.25">
      <c r="B1048" s="53">
        <v>41696</v>
      </c>
      <c r="C1048">
        <v>607.8078051</v>
      </c>
      <c r="D1048" s="54">
        <f t="shared" si="121"/>
        <v>1.3930060119195892E-4</v>
      </c>
      <c r="E1048" s="54">
        <f t="shared" ca="1" si="122"/>
        <v>-2.6702138651620308E-3</v>
      </c>
      <c r="F1048" s="64">
        <f t="shared" ca="1" si="123"/>
        <v>2.8095144663539896E-3</v>
      </c>
      <c r="G1048">
        <f t="shared" ca="1" si="120"/>
        <v>7.4323545891394147E-3</v>
      </c>
      <c r="H1048">
        <f t="shared" ca="1" si="124"/>
        <v>-0.7970056476913957</v>
      </c>
      <c r="I1048">
        <f t="shared" ca="1" si="125"/>
        <v>2.7719254647911198</v>
      </c>
      <c r="J1048" s="60">
        <v>1043</v>
      </c>
    </row>
    <row r="1049" spans="2:10" x14ac:dyDescent="0.25">
      <c r="B1049" s="53">
        <v>41697</v>
      </c>
      <c r="C1049">
        <v>607.32965490000004</v>
      </c>
      <c r="D1049" s="54">
        <f t="shared" si="121"/>
        <v>-7.8667992741766641E-4</v>
      </c>
      <c r="E1049" s="54">
        <f t="shared" ca="1" si="122"/>
        <v>-1.9708236710212771E-2</v>
      </c>
      <c r="F1049" s="64">
        <f t="shared" ca="1" si="123"/>
        <v>1.8921556782795106E-2</v>
      </c>
      <c r="G1049">
        <f t="shared" ca="1" si="120"/>
        <v>1.3448493668577097E-2</v>
      </c>
      <c r="H1049">
        <f t="shared" ca="1" si="124"/>
        <v>-1.6717542244655283</v>
      </c>
      <c r="I1049">
        <f t="shared" ca="1" si="125"/>
        <v>2.5127682424129389</v>
      </c>
      <c r="J1049" s="57">
        <v>1044</v>
      </c>
    </row>
    <row r="1050" spans="2:10" x14ac:dyDescent="0.25">
      <c r="B1050" s="53">
        <v>41698</v>
      </c>
      <c r="C1050">
        <v>605.55627489999995</v>
      </c>
      <c r="D1050" s="54">
        <f t="shared" si="121"/>
        <v>-2.9199628005849385E-3</v>
      </c>
      <c r="E1050" s="54">
        <f t="shared" ca="1" si="122"/>
        <v>-4.2682027517333493E-2</v>
      </c>
      <c r="F1050" s="64">
        <f t="shared" ca="1" si="123"/>
        <v>3.9762064716748556E-2</v>
      </c>
      <c r="G1050">
        <f t="shared" ca="1" si="120"/>
        <v>2.8090042457813186E-2</v>
      </c>
      <c r="H1050">
        <f t="shared" ca="1" si="124"/>
        <v>-1.5216985419036888</v>
      </c>
      <c r="I1050">
        <f t="shared" ca="1" si="125"/>
        <v>1.5554027509409354</v>
      </c>
      <c r="J1050" s="60">
        <v>1045</v>
      </c>
    </row>
    <row r="1051" spans="2:10" x14ac:dyDescent="0.25">
      <c r="B1051" s="53">
        <v>41701</v>
      </c>
      <c r="C1051">
        <v>599.10045339999999</v>
      </c>
      <c r="D1051" s="54">
        <f t="shared" si="121"/>
        <v>-1.0660976968764883E-2</v>
      </c>
      <c r="E1051" s="54">
        <f t="shared" ca="1" si="122"/>
        <v>-1.5850896134629051E-2</v>
      </c>
      <c r="F1051" s="64">
        <f t="shared" ca="1" si="123"/>
        <v>5.1899191658641673E-3</v>
      </c>
      <c r="G1051">
        <f t="shared" ca="1" si="120"/>
        <v>2.6212793087013263E-2</v>
      </c>
      <c r="H1051">
        <f t="shared" ca="1" si="124"/>
        <v>-0.59122017446789166</v>
      </c>
      <c r="I1051">
        <f t="shared" ca="1" si="125"/>
        <v>2.7600442754552792</v>
      </c>
      <c r="J1051" s="57">
        <v>1046</v>
      </c>
    </row>
    <row r="1052" spans="2:10" x14ac:dyDescent="0.25">
      <c r="B1052" s="53">
        <v>41702</v>
      </c>
      <c r="C1052">
        <v>605.18762219999996</v>
      </c>
      <c r="D1052" s="54">
        <f t="shared" si="121"/>
        <v>1.0160514427011736E-2</v>
      </c>
      <c r="E1052" s="54">
        <f t="shared" ca="1" si="122"/>
        <v>-1.1525401714587682E-2</v>
      </c>
      <c r="F1052" s="64">
        <f t="shared" ca="1" si="123"/>
        <v>2.1685916141599419E-2</v>
      </c>
      <c r="G1052">
        <f t="shared" ca="1" si="120"/>
        <v>1.157874573251695E-2</v>
      </c>
      <c r="H1052">
        <f t="shared" ca="1" si="124"/>
        <v>-0.88211663413198249</v>
      </c>
      <c r="I1052">
        <f t="shared" ca="1" si="125"/>
        <v>2.426148536292676</v>
      </c>
      <c r="J1052" s="60">
        <v>1047</v>
      </c>
    </row>
    <row r="1053" spans="2:10" x14ac:dyDescent="0.25">
      <c r="B1053" s="53">
        <v>41703</v>
      </c>
      <c r="C1053">
        <v>606.85638730000005</v>
      </c>
      <c r="D1053" s="54">
        <f t="shared" si="121"/>
        <v>2.7574342877895149E-3</v>
      </c>
      <c r="E1053" s="54">
        <f t="shared" ca="1" si="122"/>
        <v>1.4312748097658966E-2</v>
      </c>
      <c r="F1053" s="64">
        <f t="shared" ca="1" si="123"/>
        <v>-1.155531380986945E-2</v>
      </c>
      <c r="G1053">
        <f t="shared" ca="1" si="120"/>
        <v>1.4992331972909678E-2</v>
      </c>
      <c r="H1053">
        <f t="shared" ca="1" si="124"/>
        <v>1.2740267031200567</v>
      </c>
      <c r="I1053">
        <f t="shared" ca="1" si="125"/>
        <v>2.6492957505388093</v>
      </c>
      <c r="J1053" s="57">
        <v>1048</v>
      </c>
    </row>
    <row r="1054" spans="2:10" x14ac:dyDescent="0.25">
      <c r="B1054" s="53">
        <v>41704</v>
      </c>
      <c r="C1054">
        <v>607.5288736</v>
      </c>
      <c r="D1054" s="54">
        <f t="shared" si="121"/>
        <v>1.1081473542561588E-3</v>
      </c>
      <c r="E1054" s="54">
        <f t="shared" ca="1" si="122"/>
        <v>9.9131051777988227E-3</v>
      </c>
      <c r="F1054" s="64">
        <f t="shared" ca="1" si="123"/>
        <v>-8.8049578235426633E-3</v>
      </c>
      <c r="G1054">
        <f t="shared" ca="1" si="120"/>
        <v>2.1561688162942912E-2</v>
      </c>
      <c r="H1054">
        <f t="shared" ca="1" si="124"/>
        <v>0.24811448386274332</v>
      </c>
      <c r="I1054">
        <f t="shared" ca="1" si="125"/>
        <v>2.6985816961333042</v>
      </c>
      <c r="J1054" s="60">
        <v>1049</v>
      </c>
    </row>
    <row r="1055" spans="2:10" x14ac:dyDescent="0.25">
      <c r="B1055" s="53">
        <v>41705</v>
      </c>
      <c r="C1055">
        <v>605.12786870000002</v>
      </c>
      <c r="D1055" s="54">
        <f t="shared" si="121"/>
        <v>-3.9520836034878052E-3</v>
      </c>
      <c r="E1055" s="54">
        <f t="shared" ca="1" si="122"/>
        <v>4.3090294324854821E-3</v>
      </c>
      <c r="F1055" s="64">
        <f t="shared" ca="1" si="123"/>
        <v>-8.2611130359732873E-3</v>
      </c>
      <c r="G1055">
        <f t="shared" ca="1" si="120"/>
        <v>6.5038357567751386E-3</v>
      </c>
      <c r="H1055">
        <f t="shared" ca="1" si="124"/>
        <v>0.47212006644781229</v>
      </c>
      <c r="I1055">
        <f t="shared" ca="1" si="125"/>
        <v>2.7068799739445968</v>
      </c>
      <c r="J1055" s="57">
        <v>1050</v>
      </c>
    </row>
    <row r="1056" spans="2:10" x14ac:dyDescent="0.25">
      <c r="B1056" s="53">
        <v>41708</v>
      </c>
      <c r="C1056">
        <v>603.52386190000004</v>
      </c>
      <c r="D1056" s="54">
        <f t="shared" si="121"/>
        <v>-2.6506906770727267E-3</v>
      </c>
      <c r="E1056" s="54">
        <f t="shared" ca="1" si="122"/>
        <v>5.4777656992268699E-3</v>
      </c>
      <c r="F1056" s="64">
        <f t="shared" ca="1" si="123"/>
        <v>-8.1284563762995966E-3</v>
      </c>
      <c r="G1056">
        <f t="shared" ca="1" si="120"/>
        <v>8.081717577391713E-3</v>
      </c>
      <c r="H1056">
        <f t="shared" ca="1" si="124"/>
        <v>0.61622329516797547</v>
      </c>
      <c r="I1056">
        <f t="shared" ca="1" si="125"/>
        <v>2.7088316203444247</v>
      </c>
      <c r="J1056" s="60">
        <v>1051</v>
      </c>
    </row>
    <row r="1057" spans="2:10" x14ac:dyDescent="0.25">
      <c r="B1057" s="53">
        <v>41709</v>
      </c>
      <c r="C1057">
        <v>597.75548070000002</v>
      </c>
      <c r="D1057" s="54">
        <f t="shared" si="121"/>
        <v>-9.5578345184896846E-3</v>
      </c>
      <c r="E1057" s="54">
        <f t="shared" ca="1" si="122"/>
        <v>-1.7634019752881657E-2</v>
      </c>
      <c r="F1057" s="64">
        <f t="shared" ca="1" si="123"/>
        <v>8.0761852343919725E-3</v>
      </c>
      <c r="G1057">
        <f t="shared" ca="1" si="120"/>
        <v>1.0497809256534756E-2</v>
      </c>
      <c r="H1057">
        <f t="shared" ca="1" si="124"/>
        <v>-1.5106974974061016</v>
      </c>
      <c r="I1057">
        <f t="shared" ca="1" si="125"/>
        <v>2.7333576919886409</v>
      </c>
      <c r="J1057" s="57">
        <v>1052</v>
      </c>
    </row>
    <row r="1058" spans="2:10" x14ac:dyDescent="0.25">
      <c r="B1058" s="53">
        <v>41710</v>
      </c>
      <c r="C1058">
        <v>601.39684399999999</v>
      </c>
      <c r="D1058" s="54">
        <f t="shared" si="121"/>
        <v>6.0917271653214405E-3</v>
      </c>
      <c r="E1058" s="54">
        <f t="shared" ca="1" si="122"/>
        <v>7.575524019355356E-3</v>
      </c>
      <c r="F1058" s="64">
        <f t="shared" ca="1" si="123"/>
        <v>-1.4837968540339155E-3</v>
      </c>
      <c r="G1058">
        <f t="shared" ca="1" si="120"/>
        <v>2.5349172531482035E-2</v>
      </c>
      <c r="H1058">
        <f t="shared" ca="1" si="124"/>
        <v>0.34581669264692771</v>
      </c>
      <c r="I1058">
        <f t="shared" ca="1" si="125"/>
        <v>2.7702069421759168</v>
      </c>
      <c r="J1058" s="60">
        <v>1053</v>
      </c>
    </row>
    <row r="1059" spans="2:10" x14ac:dyDescent="0.25">
      <c r="B1059" s="53">
        <v>41711</v>
      </c>
      <c r="C1059">
        <v>592.31089139999995</v>
      </c>
      <c r="D1059" s="54">
        <f t="shared" si="121"/>
        <v>-1.5108081611416042E-2</v>
      </c>
      <c r="E1059" s="54">
        <f t="shared" ca="1" si="122"/>
        <v>-8.7243898662937996E-3</v>
      </c>
      <c r="F1059" s="64">
        <f t="shared" ca="1" si="123"/>
        <v>-6.3836917451222421E-3</v>
      </c>
      <c r="G1059">
        <f t="shared" ca="1" si="120"/>
        <v>8.2273523344478464E-3</v>
      </c>
      <c r="H1059">
        <f t="shared" ca="1" si="124"/>
        <v>-0.53867632714733371</v>
      </c>
      <c r="I1059">
        <f t="shared" ca="1" si="125"/>
        <v>2.7318542973201638</v>
      </c>
      <c r="J1059" s="57">
        <v>1054</v>
      </c>
    </row>
    <row r="1060" spans="2:10" x14ac:dyDescent="0.25">
      <c r="B1060" s="53">
        <v>41712</v>
      </c>
      <c r="C1060">
        <v>584.21126770000001</v>
      </c>
      <c r="D1060" s="54">
        <f t="shared" si="121"/>
        <v>-1.3674615506149949E-2</v>
      </c>
      <c r="E1060" s="54">
        <f t="shared" ca="1" si="122"/>
        <v>2.6821516390917823E-3</v>
      </c>
      <c r="F1060" s="64">
        <f t="shared" ca="1" si="123"/>
        <v>-1.6356767145241733E-2</v>
      </c>
      <c r="G1060">
        <f t="shared" ca="1" si="120"/>
        <v>9.2398790976581432E-3</v>
      </c>
      <c r="H1060">
        <f t="shared" ca="1" si="124"/>
        <v>-5.7906248577175362E-3</v>
      </c>
      <c r="I1060">
        <f t="shared" ca="1" si="125"/>
        <v>2.5339611998680041</v>
      </c>
      <c r="J1060" s="60">
        <v>1055</v>
      </c>
    </row>
    <row r="1061" spans="2:10" x14ac:dyDescent="0.25">
      <c r="B1061" s="53">
        <v>41715</v>
      </c>
      <c r="C1061">
        <v>593.8252367</v>
      </c>
      <c r="D1061" s="54">
        <f t="shared" si="121"/>
        <v>1.6456322449667118E-2</v>
      </c>
      <c r="E1061" s="54">
        <f t="shared" ca="1" si="122"/>
        <v>-8.2077748140008174E-3</v>
      </c>
      <c r="F1061" s="64">
        <f t="shared" ca="1" si="123"/>
        <v>2.4664097263667938E-2</v>
      </c>
      <c r="G1061">
        <f t="shared" ca="1" si="120"/>
        <v>2.3362741482952291E-3</v>
      </c>
      <c r="H1061">
        <f t="shared" ca="1" si="124"/>
        <v>-0.60874581510202774</v>
      </c>
      <c r="I1061">
        <f t="shared" ca="1" si="125"/>
        <v>2.319012303655557</v>
      </c>
      <c r="J1061" s="57">
        <v>1056</v>
      </c>
    </row>
    <row r="1062" spans="2:10" x14ac:dyDescent="0.25">
      <c r="B1062" s="53">
        <v>41716</v>
      </c>
      <c r="C1062">
        <v>603.36944270000004</v>
      </c>
      <c r="D1062" s="54">
        <f t="shared" si="121"/>
        <v>1.6072415603349904E-2</v>
      </c>
      <c r="E1062" s="54">
        <f t="shared" ca="1" si="122"/>
        <v>-1.296980518603128E-3</v>
      </c>
      <c r="F1062" s="64">
        <f t="shared" ca="1" si="123"/>
        <v>1.7369396121953033E-2</v>
      </c>
      <c r="G1062">
        <f t="shared" ca="1" si="120"/>
        <v>1.0224734204809495E-2</v>
      </c>
      <c r="H1062">
        <f t="shared" ca="1" si="124"/>
        <v>0.47378049043055009</v>
      </c>
      <c r="I1062">
        <f t="shared" ca="1" si="125"/>
        <v>2.5559916512525547</v>
      </c>
      <c r="J1062" s="60">
        <v>1057</v>
      </c>
    </row>
    <row r="1063" spans="2:10" x14ac:dyDescent="0.25">
      <c r="B1063" s="53">
        <v>41717</v>
      </c>
      <c r="C1063">
        <v>597.38688879999995</v>
      </c>
      <c r="D1063" s="54">
        <f t="shared" si="121"/>
        <v>-9.9152417683416837E-3</v>
      </c>
      <c r="E1063" s="54">
        <f t="shared" ca="1" si="122"/>
        <v>1.5066701864224336E-2</v>
      </c>
      <c r="F1063" s="64">
        <f t="shared" ca="1" si="123"/>
        <v>-2.498194363256602E-2</v>
      </c>
      <c r="G1063">
        <f t="shared" ca="1" si="120"/>
        <v>8.3055765023720678E-3</v>
      </c>
      <c r="H1063">
        <f t="shared" ca="1" si="124"/>
        <v>0.92414546693615696</v>
      </c>
      <c r="I1063">
        <f t="shared" ca="1" si="125"/>
        <v>2.2332203253719149</v>
      </c>
      <c r="J1063" s="57">
        <v>1058</v>
      </c>
    </row>
    <row r="1064" spans="2:10" x14ac:dyDescent="0.25">
      <c r="B1064" s="53">
        <v>41718</v>
      </c>
      <c r="C1064">
        <v>596.3457492</v>
      </c>
      <c r="D1064" s="54">
        <f t="shared" si="121"/>
        <v>-1.7428229837640713E-3</v>
      </c>
      <c r="E1064" s="54">
        <f t="shared" ca="1" si="122"/>
        <v>2.6671576710816932E-2</v>
      </c>
      <c r="F1064" s="64">
        <f t="shared" ca="1" si="123"/>
        <v>-2.8414399694581004E-2</v>
      </c>
      <c r="G1064">
        <f t="shared" ca="1" si="120"/>
        <v>1.5573772464057778E-2</v>
      </c>
      <c r="H1064">
        <f t="shared" ca="1" si="124"/>
        <v>1.2491067195038101</v>
      </c>
      <c r="I1064">
        <f t="shared" ca="1" si="125"/>
        <v>2.0801024055033399</v>
      </c>
      <c r="J1064" s="60">
        <v>1059</v>
      </c>
    </row>
    <row r="1065" spans="2:10" x14ac:dyDescent="0.25">
      <c r="B1065" s="53">
        <v>41719</v>
      </c>
      <c r="C1065">
        <v>589.31210650000003</v>
      </c>
      <c r="D1065" s="54">
        <f t="shared" si="121"/>
        <v>-1.1794571705148617E-2</v>
      </c>
      <c r="E1065" s="54">
        <f t="shared" ca="1" si="122"/>
        <v>-1.2944435064465685E-2</v>
      </c>
      <c r="F1065" s="64">
        <f t="shared" ca="1" si="123"/>
        <v>1.1498633593170684E-3</v>
      </c>
      <c r="G1065">
        <f t="shared" ca="1" si="120"/>
        <v>2.1173354590986401E-2</v>
      </c>
      <c r="H1065">
        <f t="shared" ca="1" si="124"/>
        <v>-0.40103571347834382</v>
      </c>
      <c r="I1065">
        <f t="shared" ca="1" si="125"/>
        <v>2.7747923270970176</v>
      </c>
      <c r="J1065" s="57">
        <v>1060</v>
      </c>
    </row>
    <row r="1066" spans="2:10" x14ac:dyDescent="0.25">
      <c r="B1066" s="53">
        <v>41722</v>
      </c>
      <c r="C1066">
        <v>576.80396759999996</v>
      </c>
      <c r="D1066" s="54">
        <f t="shared" si="121"/>
        <v>-2.1224982080017836E-2</v>
      </c>
      <c r="E1066" s="54">
        <f t="shared" ca="1" si="122"/>
        <v>-8.1475935417792116E-3</v>
      </c>
      <c r="F1066" s="64">
        <f t="shared" ca="1" si="123"/>
        <v>-1.3077388538238624E-2</v>
      </c>
      <c r="G1066">
        <f t="shared" ca="1" si="120"/>
        <v>8.3123801654990132E-3</v>
      </c>
      <c r="H1066">
        <f t="shared" ca="1" si="124"/>
        <v>-0.88598613462914189</v>
      </c>
      <c r="I1066">
        <f t="shared" ca="1" si="125"/>
        <v>2.6167668351432836</v>
      </c>
      <c r="J1066" s="60">
        <v>1061</v>
      </c>
    </row>
    <row r="1067" spans="2:10" x14ac:dyDescent="0.25">
      <c r="B1067" s="53">
        <v>41723</v>
      </c>
      <c r="C1067">
        <v>577.19752300000005</v>
      </c>
      <c r="D1067" s="54">
        <f t="shared" si="121"/>
        <v>6.8230355910624295E-4</v>
      </c>
      <c r="E1067" s="54">
        <f t="shared" ca="1" si="122"/>
        <v>-1.7402905121259413E-3</v>
      </c>
      <c r="F1067" s="64">
        <f t="shared" ca="1" si="123"/>
        <v>2.4225940712321843E-3</v>
      </c>
      <c r="G1067">
        <f t="shared" ca="1" si="120"/>
        <v>1.4943352878540029E-2</v>
      </c>
      <c r="H1067">
        <f t="shared" ca="1" si="124"/>
        <v>0.23804923004688447</v>
      </c>
      <c r="I1067">
        <f t="shared" ca="1" si="125"/>
        <v>2.7729916609119107</v>
      </c>
      <c r="J1067" s="57">
        <v>1062</v>
      </c>
    </row>
    <row r="1068" spans="2:10" x14ac:dyDescent="0.25">
      <c r="B1068" s="53">
        <v>41724</v>
      </c>
      <c r="C1068">
        <v>563.87242670000001</v>
      </c>
      <c r="D1068" s="54">
        <f t="shared" si="121"/>
        <v>-2.3085851496282391E-2</v>
      </c>
      <c r="E1068" s="54">
        <f t="shared" ca="1" si="122"/>
        <v>-1.3233886441425181E-2</v>
      </c>
      <c r="F1068" s="64">
        <f t="shared" ca="1" si="123"/>
        <v>-9.8519650548572098E-3</v>
      </c>
      <c r="G1068">
        <f t="shared" ca="1" si="120"/>
        <v>5.328798709398566E-3</v>
      </c>
      <c r="H1068">
        <f t="shared" ca="1" si="124"/>
        <v>-0.69459062867230092</v>
      </c>
      <c r="I1068">
        <f t="shared" ca="1" si="125"/>
        <v>2.6812602703974013</v>
      </c>
      <c r="J1068" s="60">
        <v>1063</v>
      </c>
    </row>
    <row r="1069" spans="2:10" x14ac:dyDescent="0.25">
      <c r="B1069" s="53">
        <v>41725</v>
      </c>
      <c r="C1069">
        <v>556.93349009999997</v>
      </c>
      <c r="D1069" s="54">
        <f t="shared" si="121"/>
        <v>-1.2305862587765427E-2</v>
      </c>
      <c r="E1069" s="54">
        <f t="shared" ca="1" si="122"/>
        <v>2.7107230991597975E-3</v>
      </c>
      <c r="F1069" s="64">
        <f t="shared" ca="1" si="123"/>
        <v>-1.5016585686925224E-2</v>
      </c>
      <c r="G1069">
        <f t="shared" ca="1" si="120"/>
        <v>1.1700762602065788E-2</v>
      </c>
      <c r="H1069">
        <f t="shared" ca="1" si="124"/>
        <v>0.20551521610378271</v>
      </c>
      <c r="I1069">
        <f t="shared" ca="1" si="125"/>
        <v>2.5699008897243196</v>
      </c>
      <c r="J1069" s="57">
        <v>1064</v>
      </c>
    </row>
    <row r="1070" spans="2:10" x14ac:dyDescent="0.25">
      <c r="B1070" s="53">
        <v>41726</v>
      </c>
      <c r="C1070">
        <v>558.45931499999995</v>
      </c>
      <c r="D1070" s="54">
        <f t="shared" si="121"/>
        <v>2.7396896166650099E-3</v>
      </c>
      <c r="E1070" s="54">
        <f t="shared" ca="1" si="122"/>
        <v>-7.1924732739247783E-3</v>
      </c>
      <c r="F1070" s="64">
        <f t="shared" ca="1" si="123"/>
        <v>9.9321628905897873E-3</v>
      </c>
      <c r="G1070">
        <f t="shared" ca="1" si="120"/>
        <v>4.4599445034420029E-3</v>
      </c>
      <c r="H1070">
        <f t="shared" ca="1" si="124"/>
        <v>0.71212928225780658</v>
      </c>
      <c r="I1070">
        <f t="shared" ca="1" si="125"/>
        <v>2.7090867065743907</v>
      </c>
      <c r="J1070" s="60">
        <v>1065</v>
      </c>
    </row>
    <row r="1071" spans="2:10" x14ac:dyDescent="0.25">
      <c r="B1071" s="53">
        <v>41729</v>
      </c>
      <c r="C1071">
        <v>555.4475218</v>
      </c>
      <c r="D1071" s="54">
        <f t="shared" si="121"/>
        <v>-5.3930395985962616E-3</v>
      </c>
      <c r="E1071" s="54">
        <f t="shared" ca="1" si="122"/>
        <v>-1.1880880024832601E-2</v>
      </c>
      <c r="F1071" s="64">
        <f t="shared" ca="1" si="123"/>
        <v>6.4878404262363396E-3</v>
      </c>
      <c r="G1071">
        <f t="shared" ca="1" si="120"/>
        <v>1.1972477641093949E-2</v>
      </c>
      <c r="H1071">
        <f t="shared" ca="1" si="124"/>
        <v>-0.53072706209686349</v>
      </c>
      <c r="I1071">
        <f t="shared" ca="1" si="125"/>
        <v>2.7497090915761504</v>
      </c>
      <c r="J1071" s="57">
        <v>1066</v>
      </c>
    </row>
    <row r="1072" spans="2:10" x14ac:dyDescent="0.25">
      <c r="B1072" s="53">
        <v>41730</v>
      </c>
      <c r="C1072">
        <v>565.60967659999994</v>
      </c>
      <c r="D1072" s="54">
        <f t="shared" si="121"/>
        <v>1.8295436384463744E-2</v>
      </c>
      <c r="E1072" s="54">
        <f t="shared" ca="1" si="122"/>
        <v>-7.6014173080033252E-3</v>
      </c>
      <c r="F1072" s="64">
        <f t="shared" ca="1" si="123"/>
        <v>2.5896853692467067E-2</v>
      </c>
      <c r="G1072">
        <f t="shared" ca="1" si="120"/>
        <v>9.3238190135105196E-3</v>
      </c>
      <c r="H1072">
        <f t="shared" ca="1" si="124"/>
        <v>-0.9472270786040613</v>
      </c>
      <c r="I1072">
        <f t="shared" ca="1" si="125"/>
        <v>2.2704717512148602</v>
      </c>
      <c r="J1072" s="60">
        <v>1067</v>
      </c>
    </row>
    <row r="1073" spans="2:10" x14ac:dyDescent="0.25">
      <c r="B1073" s="53">
        <v>41731</v>
      </c>
      <c r="C1073">
        <v>565.45013070000005</v>
      </c>
      <c r="D1073" s="54">
        <f t="shared" si="121"/>
        <v>-2.8207774124191533E-4</v>
      </c>
      <c r="E1073" s="54">
        <f t="shared" ca="1" si="122"/>
        <v>-6.4343879479896175E-4</v>
      </c>
      <c r="F1073" s="64">
        <f t="shared" ca="1" si="123"/>
        <v>3.6136105355704642E-4</v>
      </c>
      <c r="G1073">
        <f t="shared" ca="1" si="120"/>
        <v>1.5984631736153602E-2</v>
      </c>
      <c r="H1073">
        <f t="shared" ca="1" si="124"/>
        <v>0.1112548626854379</v>
      </c>
      <c r="I1073">
        <f t="shared" ca="1" si="125"/>
        <v>2.7745948760285342</v>
      </c>
      <c r="J1073" s="57">
        <v>1068</v>
      </c>
    </row>
    <row r="1074" spans="2:10" x14ac:dyDescent="0.25">
      <c r="B1074" s="53">
        <v>41732</v>
      </c>
      <c r="C1074">
        <v>568.18262560000005</v>
      </c>
      <c r="D1074" s="54">
        <f t="shared" si="121"/>
        <v>4.8324242079797715E-3</v>
      </c>
      <c r="E1074" s="54">
        <f t="shared" ca="1" si="122"/>
        <v>1.0228868518839239E-2</v>
      </c>
      <c r="F1074" s="64">
        <f t="shared" ca="1" si="123"/>
        <v>-5.3964443108594677E-3</v>
      </c>
      <c r="G1074">
        <f t="shared" ca="1" si="120"/>
        <v>4.2104822616761675E-3</v>
      </c>
      <c r="H1074">
        <f t="shared" ca="1" si="124"/>
        <v>0.47786128682197837</v>
      </c>
      <c r="I1074">
        <f t="shared" ca="1" si="125"/>
        <v>2.7427023373799675</v>
      </c>
      <c r="J1074" s="60">
        <v>1069</v>
      </c>
    </row>
    <row r="1075" spans="2:10" x14ac:dyDescent="0.25">
      <c r="B1075" s="53">
        <v>41733</v>
      </c>
      <c r="C1075">
        <v>541.65534530000002</v>
      </c>
      <c r="D1075" s="54">
        <f t="shared" si="121"/>
        <v>-4.6687946981812861E-2</v>
      </c>
      <c r="E1075" s="54">
        <f t="shared" ca="1" si="122"/>
        <v>-8.0331173929593623E-3</v>
      </c>
      <c r="F1075" s="64">
        <f t="shared" ca="1" si="123"/>
        <v>-3.8654829588853495E-2</v>
      </c>
      <c r="G1075">
        <f t="shared" ca="1" si="120"/>
        <v>8.0968082704636572E-3</v>
      </c>
      <c r="H1075">
        <f t="shared" ca="1" si="124"/>
        <v>-0.97649760808884156</v>
      </c>
      <c r="I1075">
        <f t="shared" ca="1" si="125"/>
        <v>1.5101730200054366</v>
      </c>
      <c r="J1075" s="57">
        <v>1070</v>
      </c>
    </row>
    <row r="1076" spans="2:10" x14ac:dyDescent="0.25">
      <c r="B1076" s="53">
        <v>41736</v>
      </c>
      <c r="C1076">
        <v>536.67900380000003</v>
      </c>
      <c r="D1076" s="54">
        <f t="shared" si="121"/>
        <v>-9.1872840232820087E-3</v>
      </c>
      <c r="E1076" s="54">
        <f t="shared" ca="1" si="122"/>
        <v>-1.2060957688833139E-2</v>
      </c>
      <c r="F1076" s="64">
        <f t="shared" ca="1" si="123"/>
        <v>2.87367366555113E-3</v>
      </c>
      <c r="G1076">
        <f t="shared" ca="1" si="120"/>
        <v>1.6434323502831482E-2</v>
      </c>
      <c r="H1076">
        <f t="shared" ca="1" si="124"/>
        <v>-0.86590066140112243</v>
      </c>
      <c r="I1076">
        <f t="shared" ca="1" si="125"/>
        <v>2.7717252873600327</v>
      </c>
      <c r="J1076" s="60">
        <v>1071</v>
      </c>
    </row>
    <row r="1077" spans="2:10" x14ac:dyDescent="0.25">
      <c r="B1077" s="53">
        <v>41737</v>
      </c>
      <c r="C1077">
        <v>553.38318149999998</v>
      </c>
      <c r="D1077" s="54">
        <f t="shared" si="121"/>
        <v>3.1125081439230221E-2</v>
      </c>
      <c r="E1077" s="54">
        <f t="shared" ca="1" si="122"/>
        <v>-2.7218270894037746E-2</v>
      </c>
      <c r="F1077" s="64">
        <f t="shared" ca="1" si="123"/>
        <v>5.834335233326797E-2</v>
      </c>
      <c r="G1077">
        <f t="shared" ca="1" si="120"/>
        <v>1.4964383215136774E-2</v>
      </c>
      <c r="H1077">
        <f t="shared" ca="1" si="124"/>
        <v>-0.41763301578457263</v>
      </c>
      <c r="I1077">
        <f t="shared" ca="1" si="125"/>
        <v>0.11004620139314898</v>
      </c>
      <c r="J1077" s="57">
        <v>1072</v>
      </c>
    </row>
    <row r="1078" spans="2:10" x14ac:dyDescent="0.25">
      <c r="B1078" s="53">
        <v>41738</v>
      </c>
      <c r="C1078">
        <v>562.59794429999999</v>
      </c>
      <c r="D1078" s="54">
        <f t="shared" si="121"/>
        <v>1.6651685681922043E-2</v>
      </c>
      <c r="E1078" s="54">
        <f t="shared" ca="1" si="122"/>
        <v>2.2099377514392827E-3</v>
      </c>
      <c r="F1078" s="64">
        <f t="shared" ca="1" si="123"/>
        <v>1.444174793048276E-2</v>
      </c>
      <c r="G1078">
        <f t="shared" ca="1" si="120"/>
        <v>7.8252733528425284E-3</v>
      </c>
      <c r="H1078">
        <f t="shared" ca="1" si="124"/>
        <v>0.80963237114066189</v>
      </c>
      <c r="I1078">
        <f t="shared" ca="1" si="125"/>
        <v>2.6269230845368718</v>
      </c>
      <c r="J1078" s="60">
        <v>1073</v>
      </c>
    </row>
    <row r="1079" spans="2:10" x14ac:dyDescent="0.25">
      <c r="B1079" s="53">
        <v>41739</v>
      </c>
      <c r="C1079">
        <v>539.47131449999995</v>
      </c>
      <c r="D1079" s="54">
        <f t="shared" si="121"/>
        <v>-4.1106850876916803E-2</v>
      </c>
      <c r="E1079" s="54">
        <f t="shared" ca="1" si="122"/>
        <v>1.2882644827715735E-2</v>
      </c>
      <c r="F1079" s="64">
        <f t="shared" ca="1" si="123"/>
        <v>-5.3989495704632538E-2</v>
      </c>
      <c r="G1079">
        <f t="shared" ca="1" si="120"/>
        <v>1.36684005256461E-2</v>
      </c>
      <c r="H1079">
        <f t="shared" ca="1" si="124"/>
        <v>-8.0224426852200922E-2</v>
      </c>
      <c r="I1079">
        <f t="shared" ca="1" si="125"/>
        <v>0.3398879713868293</v>
      </c>
      <c r="J1079" s="57">
        <v>1074</v>
      </c>
    </row>
    <row r="1080" spans="2:10" x14ac:dyDescent="0.25">
      <c r="B1080" s="53">
        <v>41740</v>
      </c>
      <c r="C1080">
        <v>529.14961170000004</v>
      </c>
      <c r="D1080" s="54">
        <f t="shared" si="121"/>
        <v>-1.9132996551570886E-2</v>
      </c>
      <c r="E1080" s="54">
        <f t="shared" ca="1" si="122"/>
        <v>6.341840066324397E-3</v>
      </c>
      <c r="F1080" s="64">
        <f t="shared" ca="1" si="123"/>
        <v>-2.5474836617895284E-2</v>
      </c>
      <c r="G1080">
        <f t="shared" ca="1" si="120"/>
        <v>3.5366269383380251E-3</v>
      </c>
      <c r="H1080">
        <f t="shared" ca="1" si="124"/>
        <v>-0.32122615299151641</v>
      </c>
      <c r="I1080">
        <f t="shared" ca="1" si="125"/>
        <v>2.2124034574688243</v>
      </c>
      <c r="J1080" s="60">
        <v>1075</v>
      </c>
    </row>
    <row r="1081" spans="2:10" x14ac:dyDescent="0.25">
      <c r="B1081" s="53">
        <v>41743</v>
      </c>
      <c r="C1081">
        <v>531.06435480000005</v>
      </c>
      <c r="D1081" s="54">
        <f t="shared" si="121"/>
        <v>3.6185287821501192E-3</v>
      </c>
      <c r="E1081" s="54">
        <f t="shared" ca="1" si="122"/>
        <v>-9.8892045322099293E-3</v>
      </c>
      <c r="F1081" s="64">
        <f t="shared" ca="1" si="123"/>
        <v>1.3507733314360049E-2</v>
      </c>
      <c r="G1081">
        <f t="shared" ca="1" si="120"/>
        <v>5.5149992431092259E-3</v>
      </c>
      <c r="H1081">
        <f t="shared" ca="1" si="124"/>
        <v>1.5544943617479985</v>
      </c>
      <c r="I1081">
        <f t="shared" ca="1" si="125"/>
        <v>2.6466386269621105</v>
      </c>
      <c r="J1081" s="57">
        <v>1076</v>
      </c>
    </row>
    <row r="1082" spans="2:10" x14ac:dyDescent="0.25">
      <c r="B1082" s="53">
        <v>41744</v>
      </c>
      <c r="C1082">
        <v>534.97367380000003</v>
      </c>
      <c r="D1082" s="54">
        <f t="shared" si="121"/>
        <v>7.3612905190600488E-3</v>
      </c>
      <c r="E1082" s="54">
        <f t="shared" ca="1" si="122"/>
        <v>-3.9716640180474785E-2</v>
      </c>
      <c r="F1082" s="64">
        <f t="shared" ca="1" si="123"/>
        <v>4.7077930699534837E-2</v>
      </c>
      <c r="G1082">
        <f t="shared" ca="1" si="120"/>
        <v>2.5996945023854797E-2</v>
      </c>
      <c r="H1082">
        <f t="shared" ca="1" si="124"/>
        <v>-1.1972056931073245</v>
      </c>
      <c r="I1082">
        <f t="shared" ca="1" si="125"/>
        <v>1.0529158084439341</v>
      </c>
      <c r="J1082" s="60">
        <v>1077</v>
      </c>
    </row>
    <row r="1083" spans="2:10" x14ac:dyDescent="0.25">
      <c r="B1083" s="53">
        <v>41745</v>
      </c>
      <c r="C1083">
        <v>555.01868620000005</v>
      </c>
      <c r="D1083" s="54">
        <f t="shared" si="121"/>
        <v>3.7469156673855038E-2</v>
      </c>
      <c r="E1083" s="54">
        <f t="shared" ca="1" si="122"/>
        <v>2.352335935318503E-2</v>
      </c>
      <c r="F1083" s="64">
        <f t="shared" ca="1" si="123"/>
        <v>1.3945797320670007E-2</v>
      </c>
      <c r="G1083">
        <f t="shared" ca="1" si="120"/>
        <v>2.0866900953624288E-2</v>
      </c>
      <c r="H1083">
        <f t="shared" ca="1" si="124"/>
        <v>1.0494169111116676</v>
      </c>
      <c r="I1083">
        <f t="shared" ca="1" si="125"/>
        <v>2.6375673195210463</v>
      </c>
      <c r="J1083" s="57">
        <v>1078</v>
      </c>
    </row>
    <row r="1084" spans="2:10" x14ac:dyDescent="0.25">
      <c r="B1084" s="53">
        <v>41746</v>
      </c>
      <c r="C1084">
        <v>534.63456080000003</v>
      </c>
      <c r="D1084" s="54">
        <f t="shared" si="121"/>
        <v>-3.672691732158119E-2</v>
      </c>
      <c r="E1084" s="54">
        <f t="shared" ca="1" si="122"/>
        <v>1.9813751460934356E-4</v>
      </c>
      <c r="F1084" s="64">
        <f t="shared" ca="1" si="123"/>
        <v>-3.6925054836190532E-2</v>
      </c>
      <c r="G1084">
        <f t="shared" ca="1" si="120"/>
        <v>1.8178106490033083E-2</v>
      </c>
      <c r="H1084">
        <f t="shared" ca="1" si="124"/>
        <v>-0.17100852708155531</v>
      </c>
      <c r="I1084">
        <f t="shared" ca="1" si="125"/>
        <v>1.6183364813615118</v>
      </c>
      <c r="J1084" s="60">
        <v>1079</v>
      </c>
    </row>
    <row r="1085" spans="2:10" x14ac:dyDescent="0.25">
      <c r="B1085" s="53">
        <v>41750</v>
      </c>
      <c r="C1085">
        <v>527.17505489999996</v>
      </c>
      <c r="D1085" s="54">
        <f t="shared" si="121"/>
        <v>-1.3952532153622918E-2</v>
      </c>
      <c r="E1085" s="54">
        <f t="shared" ca="1" si="122"/>
        <v>1.4829092111974338E-3</v>
      </c>
      <c r="F1085" s="64">
        <f t="shared" ca="1" si="123"/>
        <v>-1.5435441364820352E-2</v>
      </c>
      <c r="G1085">
        <f t="shared" ca="1" si="120"/>
        <v>5.1299883414401455E-3</v>
      </c>
      <c r="H1085">
        <f t="shared" ca="1" si="124"/>
        <v>-2.9911581750429694</v>
      </c>
      <c r="I1085">
        <f t="shared" ca="1" si="125"/>
        <v>2.5589801842714661</v>
      </c>
      <c r="J1085" s="57">
        <v>1080</v>
      </c>
    </row>
    <row r="1086" spans="2:10" x14ac:dyDescent="0.25">
      <c r="B1086" s="53">
        <v>41751</v>
      </c>
      <c r="C1086">
        <v>533.34811769999999</v>
      </c>
      <c r="D1086" s="54">
        <f t="shared" si="121"/>
        <v>1.1709702010029658E-2</v>
      </c>
      <c r="E1086" s="54">
        <f t="shared" ca="1" si="122"/>
        <v>6.8730319576407878E-4</v>
      </c>
      <c r="F1086" s="64">
        <f t="shared" ca="1" si="123"/>
        <v>1.102239881426558E-2</v>
      </c>
      <c r="G1086">
        <f t="shared" ca="1" si="120"/>
        <v>4.995101668826625E-2</v>
      </c>
      <c r="H1086">
        <f t="shared" ca="1" si="124"/>
        <v>0.34398374518716052</v>
      </c>
      <c r="I1086">
        <f t="shared" ca="1" si="125"/>
        <v>2.6922345280816997</v>
      </c>
      <c r="J1086" s="60">
        <v>1081</v>
      </c>
    </row>
    <row r="1087" spans="2:10" x14ac:dyDescent="0.25">
      <c r="B1087" s="53">
        <v>41752</v>
      </c>
      <c r="C1087">
        <v>525.49963179999997</v>
      </c>
      <c r="D1087" s="54">
        <f t="shared" si="121"/>
        <v>-1.4715503138636116E-2</v>
      </c>
      <c r="E1087" s="54">
        <f t="shared" ca="1" si="122"/>
        <v>-1.4866204606432528E-2</v>
      </c>
      <c r="F1087" s="64">
        <f t="shared" ca="1" si="123"/>
        <v>1.5070146779641233E-4</v>
      </c>
      <c r="G1087">
        <f t="shared" ca="1" si="120"/>
        <v>1.2786430757940358E-2</v>
      </c>
      <c r="H1087">
        <f t="shared" ca="1" si="124"/>
        <v>-0.67259150979654669</v>
      </c>
      <c r="I1087">
        <f t="shared" ca="1" si="125"/>
        <v>2.7743720802457355</v>
      </c>
      <c r="J1087" s="57">
        <v>1082</v>
      </c>
    </row>
    <row r="1088" spans="2:10" x14ac:dyDescent="0.25">
      <c r="B1088" s="53">
        <v>41753</v>
      </c>
      <c r="C1088">
        <v>523.72447739999996</v>
      </c>
      <c r="D1088" s="54">
        <f t="shared" si="121"/>
        <v>-3.3780316722954924E-3</v>
      </c>
      <c r="E1088" s="54">
        <f t="shared" ca="1" si="122"/>
        <v>3.4727206234681949E-3</v>
      </c>
      <c r="F1088" s="64">
        <f t="shared" ca="1" si="123"/>
        <v>-6.8507522957636877E-3</v>
      </c>
      <c r="G1088">
        <f t="shared" ca="1" si="120"/>
        <v>1.1642182602241631E-2</v>
      </c>
      <c r="H1088">
        <f t="shared" ca="1" si="124"/>
        <v>-0.15341517458069201</v>
      </c>
      <c r="I1088">
        <f t="shared" ca="1" si="125"/>
        <v>2.726173408972604</v>
      </c>
      <c r="J1088" s="60">
        <v>1083</v>
      </c>
    </row>
    <row r="1089" spans="2:10" x14ac:dyDescent="0.25">
      <c r="B1089" s="53">
        <v>41754</v>
      </c>
      <c r="C1089">
        <v>514.76905360000001</v>
      </c>
      <c r="D1089" s="54">
        <f t="shared" si="121"/>
        <v>-1.7099494460252527E-2</v>
      </c>
      <c r="E1089" s="54">
        <f t="shared" ca="1" si="122"/>
        <v>-7.1666876547513232E-3</v>
      </c>
      <c r="F1089" s="64">
        <f t="shared" ca="1" si="123"/>
        <v>-9.9328068055012028E-3</v>
      </c>
      <c r="G1089">
        <f t="shared" ca="1" si="120"/>
        <v>3.8223112032459748E-3</v>
      </c>
      <c r="H1089">
        <f t="shared" ca="1" si="124"/>
        <v>-0.14588091407327017</v>
      </c>
      <c r="I1089">
        <f t="shared" ca="1" si="125"/>
        <v>2.6798491848687815</v>
      </c>
      <c r="J1089" s="57">
        <v>1084</v>
      </c>
    </row>
    <row r="1090" spans="2:10" x14ac:dyDescent="0.25">
      <c r="B1090" s="53">
        <v>41757</v>
      </c>
      <c r="C1090">
        <v>515.73640469999998</v>
      </c>
      <c r="D1090" s="54">
        <f t="shared" si="121"/>
        <v>1.879194355672459E-3</v>
      </c>
      <c r="E1090" s="54">
        <f t="shared" ca="1" si="122"/>
        <v>-2.7549891554738593E-3</v>
      </c>
      <c r="F1090" s="64">
        <f t="shared" ca="1" si="123"/>
        <v>4.634183511146318E-3</v>
      </c>
      <c r="G1090">
        <f t="shared" ca="1" si="120"/>
        <v>2.7757671842364015E-3</v>
      </c>
      <c r="H1090">
        <f t="shared" ca="1" si="124"/>
        <v>-0.44584171117260996</v>
      </c>
      <c r="I1090">
        <f t="shared" ca="1" si="125"/>
        <v>2.763637301913715</v>
      </c>
      <c r="J1090" s="60">
        <v>1085</v>
      </c>
    </row>
    <row r="1091" spans="2:10" x14ac:dyDescent="0.25">
      <c r="B1091" s="53">
        <v>41758</v>
      </c>
      <c r="C1091">
        <v>526.25756980000006</v>
      </c>
      <c r="D1091" s="54">
        <f t="shared" si="121"/>
        <v>2.0400276195589023E-2</v>
      </c>
      <c r="E1091" s="54">
        <f t="shared" ca="1" si="122"/>
        <v>-1.2627690396857898E-2</v>
      </c>
      <c r="F1091" s="64">
        <f t="shared" ca="1" si="123"/>
        <v>3.3027966592446917E-2</v>
      </c>
      <c r="G1091">
        <f t="shared" ca="1" si="120"/>
        <v>7.5364280467217857E-3</v>
      </c>
      <c r="H1091">
        <f t="shared" ca="1" si="124"/>
        <v>-0.65654409673464498</v>
      </c>
      <c r="I1091">
        <f t="shared" ca="1" si="125"/>
        <v>1.9414951011111028</v>
      </c>
      <c r="J1091" s="57">
        <v>1086</v>
      </c>
    </row>
    <row r="1092" spans="2:10" x14ac:dyDescent="0.25">
      <c r="B1092" s="53">
        <v>41759</v>
      </c>
      <c r="C1092">
        <v>525.22039540000003</v>
      </c>
      <c r="D1092" s="54">
        <f t="shared" si="121"/>
        <v>-1.9708493701937552E-3</v>
      </c>
      <c r="E1092" s="54">
        <f t="shared" ca="1" si="122"/>
        <v>-9.7848055510064546E-3</v>
      </c>
      <c r="F1092" s="64">
        <f t="shared" ca="1" si="123"/>
        <v>7.8139561808126985E-3</v>
      </c>
      <c r="G1092">
        <f t="shared" ca="1" si="120"/>
        <v>1.1138217040926143E-2</v>
      </c>
      <c r="H1092">
        <f t="shared" ca="1" si="124"/>
        <v>-0.95429465074496544</v>
      </c>
      <c r="I1092">
        <f t="shared" ca="1" si="125"/>
        <v>2.7363381746304816</v>
      </c>
      <c r="J1092" s="60">
        <v>1087</v>
      </c>
    </row>
    <row r="1093" spans="2:10" x14ac:dyDescent="0.25">
      <c r="B1093" s="53">
        <v>41760</v>
      </c>
      <c r="C1093">
        <v>529.89760109999997</v>
      </c>
      <c r="D1093" s="54">
        <f t="shared" si="121"/>
        <v>8.9052248179316319E-3</v>
      </c>
      <c r="E1093" s="54">
        <f t="shared" ca="1" si="122"/>
        <v>1.6067461646360338E-2</v>
      </c>
      <c r="F1093" s="64">
        <f t="shared" ca="1" si="123"/>
        <v>-7.1622368284287065E-3</v>
      </c>
      <c r="G1093">
        <f t="shared" ref="G1093:G1156" ca="1" si="126">SQRT(A_0+A_1*POWER(H1092,2)+B_1*POWER(G1092,2))</f>
        <v>1.6161057050995648E-2</v>
      </c>
      <c r="H1093">
        <f t="shared" ca="1" si="124"/>
        <v>0.42728164161042298</v>
      </c>
      <c r="I1093">
        <f t="shared" ca="1" si="125"/>
        <v>2.7221888885476333</v>
      </c>
      <c r="J1093" s="57">
        <v>1088</v>
      </c>
    </row>
    <row r="1094" spans="2:10" x14ac:dyDescent="0.25">
      <c r="B1094" s="53">
        <v>41761</v>
      </c>
      <c r="C1094">
        <v>526.48694109999997</v>
      </c>
      <c r="D1094" s="54">
        <f t="shared" si="121"/>
        <v>-6.4364511047415784E-3</v>
      </c>
      <c r="E1094" s="54">
        <f t="shared" ca="1" si="122"/>
        <v>-6.0536850904563764E-3</v>
      </c>
      <c r="F1094" s="64">
        <f t="shared" ca="1" si="123"/>
        <v>-3.8276601428520202E-4</v>
      </c>
      <c r="G1094">
        <f t="shared" ca="1" si="126"/>
        <v>8.0894692026343053E-3</v>
      </c>
      <c r="H1094">
        <f t="shared" ca="1" si="124"/>
        <v>-0.63894064046214183</v>
      </c>
      <c r="I1094">
        <f t="shared" ca="1" si="125"/>
        <v>2.7734871793557554</v>
      </c>
      <c r="J1094" s="60">
        <v>1089</v>
      </c>
    </row>
    <row r="1095" spans="2:10" x14ac:dyDescent="0.25">
      <c r="B1095" s="53">
        <v>41764</v>
      </c>
      <c r="C1095">
        <v>526.3672507</v>
      </c>
      <c r="D1095" s="54">
        <f t="shared" ref="D1095:D1158" si="127">(C1095-C1094)/C1094</f>
        <v>-2.2733783244442124E-4</v>
      </c>
      <c r="E1095" s="54">
        <f t="shared" ca="1" si="122"/>
        <v>-3.7534149790112471E-3</v>
      </c>
      <c r="F1095" s="64">
        <f t="shared" ca="1" si="123"/>
        <v>3.5260771465668258E-3</v>
      </c>
      <c r="G1095">
        <f t="shared" ca="1" si="126"/>
        <v>1.0869901353665211E-2</v>
      </c>
      <c r="H1095">
        <f t="shared" ca="1" si="124"/>
        <v>-0.71323728039107859</v>
      </c>
      <c r="I1095">
        <f t="shared" ca="1" si="125"/>
        <v>2.7693121093372577</v>
      </c>
      <c r="J1095" s="57">
        <v>1090</v>
      </c>
    </row>
    <row r="1096" spans="2:10" x14ac:dyDescent="0.25">
      <c r="B1096" s="53">
        <v>41765</v>
      </c>
      <c r="C1096">
        <v>513.73187910000001</v>
      </c>
      <c r="D1096" s="54">
        <f t="shared" si="127"/>
        <v>-2.4004858932991337E-2</v>
      </c>
      <c r="E1096" s="54">
        <f t="shared" ref="E1096:E1159" ca="1" si="128">((E_1*D1095)+(E_2*D1094)+(G1096*H1096))</f>
        <v>8.3430733517233131E-3</v>
      </c>
      <c r="F1096" s="64">
        <f t="shared" ca="1" si="123"/>
        <v>-3.2347932284714651E-2</v>
      </c>
      <c r="G1096">
        <f t="shared" ca="1" si="126"/>
        <v>1.220166508659523E-2</v>
      </c>
      <c r="H1096">
        <f t="shared" ca="1" si="124"/>
        <v>0.92067896411514305</v>
      </c>
      <c r="I1096">
        <f t="shared" ca="1" si="125"/>
        <v>1.8812243865128078</v>
      </c>
      <c r="J1096" s="60">
        <v>1091</v>
      </c>
    </row>
    <row r="1097" spans="2:10" x14ac:dyDescent="0.25">
      <c r="B1097" s="53">
        <v>41766</v>
      </c>
      <c r="C1097">
        <v>508.56605289999999</v>
      </c>
      <c r="D1097" s="54">
        <f t="shared" si="127"/>
        <v>-1.0055490831228866E-2</v>
      </c>
      <c r="E1097" s="54">
        <f t="shared" ca="1" si="128"/>
        <v>2.4620526259943001E-2</v>
      </c>
      <c r="F1097" s="64">
        <f t="shared" ref="F1097:F1160" ca="1" si="129">D1097-E1097</f>
        <v>-3.4676017091171865E-2</v>
      </c>
      <c r="G1097">
        <f t="shared" ca="1" si="126"/>
        <v>1.5649530025920188E-2</v>
      </c>
      <c r="H1097">
        <f t="shared" ref="H1097:H1160" ca="1" si="130">_xlfn.NORM.INV(RAND(),0,1)</f>
        <v>1.5797945292837243</v>
      </c>
      <c r="I1097">
        <f t="shared" ref="I1097:I1160" ca="1" si="131">LN(_xlfn.NORM.DIST(F1097,AVERAGE($F$8:$F$1413),_xlfn.STDEV.S($F$8:$F$1413),FALSE))</f>
        <v>1.7517403847391</v>
      </c>
      <c r="J1097" s="57">
        <v>1092</v>
      </c>
    </row>
    <row r="1098" spans="2:10" x14ac:dyDescent="0.25">
      <c r="B1098" s="53">
        <v>41767</v>
      </c>
      <c r="C1098">
        <v>509.6031974</v>
      </c>
      <c r="D1098" s="54">
        <f t="shared" si="127"/>
        <v>2.039350629256306E-3</v>
      </c>
      <c r="E1098" s="54">
        <f t="shared" ca="1" si="128"/>
        <v>-1.3541129849665261E-2</v>
      </c>
      <c r="F1098" s="64">
        <f t="shared" ca="1" si="129"/>
        <v>1.5580480478921566E-2</v>
      </c>
      <c r="G1098">
        <f t="shared" ca="1" si="126"/>
        <v>2.6628322870621522E-2</v>
      </c>
      <c r="H1098">
        <f t="shared" ca="1" si="130"/>
        <v>-0.10364504165980182</v>
      </c>
      <c r="I1098">
        <f t="shared" ca="1" si="131"/>
        <v>2.6009794461221851</v>
      </c>
      <c r="J1098" s="60">
        <v>1093</v>
      </c>
    </row>
    <row r="1099" spans="2:10" x14ac:dyDescent="0.25">
      <c r="B1099" s="53">
        <v>41768</v>
      </c>
      <c r="C1099">
        <v>517.31209460000002</v>
      </c>
      <c r="D1099" s="54">
        <f t="shared" si="127"/>
        <v>1.5127254380135144E-2</v>
      </c>
      <c r="E1099" s="54">
        <f t="shared" ca="1" si="128"/>
        <v>2.165485229718999E-3</v>
      </c>
      <c r="F1099" s="64">
        <f t="shared" ca="1" si="129"/>
        <v>1.2961769150416145E-2</v>
      </c>
      <c r="G1099">
        <f t="shared" ca="1" si="126"/>
        <v>6.3886345010350761E-3</v>
      </c>
      <c r="H1099">
        <f t="shared" ca="1" si="130"/>
        <v>1.0458529770471507</v>
      </c>
      <c r="I1099">
        <f t="shared" ca="1" si="131"/>
        <v>2.657510274857195</v>
      </c>
      <c r="J1099" s="57">
        <v>1094</v>
      </c>
    </row>
    <row r="1100" spans="2:10" x14ac:dyDescent="0.25">
      <c r="B1100" s="53">
        <v>41771</v>
      </c>
      <c r="C1100">
        <v>528.47150850000003</v>
      </c>
      <c r="D1100" s="54">
        <f t="shared" si="127"/>
        <v>2.1571917642151342E-2</v>
      </c>
      <c r="E1100" s="54">
        <f t="shared" ca="1" si="128"/>
        <v>5.3726078735171108E-2</v>
      </c>
      <c r="F1100" s="64">
        <f t="shared" ca="1" si="129"/>
        <v>-3.2154161093019766E-2</v>
      </c>
      <c r="G1100">
        <f t="shared" ca="1" si="126"/>
        <v>1.7546526104518376E-2</v>
      </c>
      <c r="H1100">
        <f t="shared" ca="1" si="130"/>
        <v>3.0097071359288248</v>
      </c>
      <c r="I1100">
        <f t="shared" ca="1" si="131"/>
        <v>1.8916068224753664</v>
      </c>
      <c r="J1100" s="60">
        <v>1095</v>
      </c>
    </row>
    <row r="1101" spans="2:10" x14ac:dyDescent="0.25">
      <c r="B1101" s="53">
        <v>41772</v>
      </c>
      <c r="C1101">
        <v>531.63283899999999</v>
      </c>
      <c r="D1101" s="54">
        <f t="shared" si="127"/>
        <v>5.9820263706798537E-3</v>
      </c>
      <c r="E1101" s="54">
        <f t="shared" ca="1" si="128"/>
        <v>-2.0760259928218547E-2</v>
      </c>
      <c r="F1101" s="64">
        <f t="shared" ca="1" si="129"/>
        <v>2.67422862988984E-2</v>
      </c>
      <c r="G1101">
        <f t="shared" ca="1" si="126"/>
        <v>5.0405660513869313E-2</v>
      </c>
      <c r="H1101">
        <f t="shared" ca="1" si="130"/>
        <v>-0.54665655251779388</v>
      </c>
      <c r="I1101">
        <f t="shared" ca="1" si="131"/>
        <v>2.2357629048805245</v>
      </c>
      <c r="J1101" s="57">
        <v>1096</v>
      </c>
    </row>
    <row r="1102" spans="2:10" x14ac:dyDescent="0.25">
      <c r="B1102" s="53">
        <v>41773</v>
      </c>
      <c r="C1102">
        <v>525.21044670000003</v>
      </c>
      <c r="D1102" s="54">
        <f t="shared" si="127"/>
        <v>-1.2080503364089508E-2</v>
      </c>
      <c r="E1102" s="54">
        <f t="shared" ca="1" si="128"/>
        <v>-1.8566241010080583E-2</v>
      </c>
      <c r="F1102" s="64">
        <f t="shared" ca="1" si="129"/>
        <v>6.485737645991075E-3</v>
      </c>
      <c r="G1102">
        <f t="shared" ca="1" si="126"/>
        <v>1.4702120570136923E-2</v>
      </c>
      <c r="H1102">
        <f t="shared" ca="1" si="130"/>
        <v>-1.9218128589107066</v>
      </c>
      <c r="I1102">
        <f t="shared" ca="1" si="131"/>
        <v>2.7497280370654793</v>
      </c>
      <c r="J1102" s="60">
        <v>1097</v>
      </c>
    </row>
    <row r="1103" spans="2:10" x14ac:dyDescent="0.25">
      <c r="B1103" s="53">
        <v>41774</v>
      </c>
      <c r="C1103">
        <v>518.55862130000003</v>
      </c>
      <c r="D1103" s="54">
        <f t="shared" si="127"/>
        <v>-1.2665066816158603E-2</v>
      </c>
      <c r="E1103" s="54">
        <f t="shared" ca="1" si="128"/>
        <v>2.8302452036885618E-2</v>
      </c>
      <c r="F1103" s="64">
        <f t="shared" ca="1" si="129"/>
        <v>-4.096751885304422E-2</v>
      </c>
      <c r="G1103">
        <f t="shared" ca="1" si="126"/>
        <v>3.2268263298279219E-2</v>
      </c>
      <c r="H1103">
        <f t="shared" ca="1" si="130"/>
        <v>0.79384539960313594</v>
      </c>
      <c r="I1103">
        <f t="shared" ca="1" si="131"/>
        <v>1.3580069052196848</v>
      </c>
      <c r="J1103" s="57">
        <v>1098</v>
      </c>
    </row>
    <row r="1104" spans="2:10" x14ac:dyDescent="0.25">
      <c r="B1104" s="53">
        <v>41775</v>
      </c>
      <c r="C1104">
        <v>519.20687950000001</v>
      </c>
      <c r="D1104" s="54">
        <f t="shared" si="127"/>
        <v>1.2501155575715553E-3</v>
      </c>
      <c r="E1104" s="54">
        <f t="shared" ca="1" si="128"/>
        <v>-1.4359434859777344E-2</v>
      </c>
      <c r="F1104" s="64">
        <f t="shared" ca="1" si="129"/>
        <v>1.5609550417348898E-2</v>
      </c>
      <c r="G1104">
        <f t="shared" ca="1" si="126"/>
        <v>1.5186834198413626E-2</v>
      </c>
      <c r="H1104">
        <f t="shared" ca="1" si="130"/>
        <v>-0.5882477194506105</v>
      </c>
      <c r="I1104">
        <f t="shared" ca="1" si="131"/>
        <v>2.6002897227126165</v>
      </c>
      <c r="J1104" s="60">
        <v>1099</v>
      </c>
    </row>
    <row r="1105" spans="2:10" x14ac:dyDescent="0.25">
      <c r="B1105" s="53">
        <v>41778</v>
      </c>
      <c r="C1105">
        <v>527.41437480000002</v>
      </c>
      <c r="D1105" s="54">
        <f t="shared" si="127"/>
        <v>1.5807755297664549E-2</v>
      </c>
      <c r="E1105" s="54">
        <f t="shared" ca="1" si="128"/>
        <v>-2.5151086725322823E-3</v>
      </c>
      <c r="F1105" s="64">
        <f t="shared" ca="1" si="129"/>
        <v>1.8322863970196831E-2</v>
      </c>
      <c r="G1105">
        <f t="shared" ca="1" si="126"/>
        <v>1.0459318373124471E-2</v>
      </c>
      <c r="H1105">
        <f t="shared" ca="1" si="130"/>
        <v>0.30336632258587898</v>
      </c>
      <c r="I1105">
        <f t="shared" ca="1" si="131"/>
        <v>2.5299013546074067</v>
      </c>
      <c r="J1105" s="57">
        <v>1100</v>
      </c>
    </row>
    <row r="1106" spans="2:10" x14ac:dyDescent="0.25">
      <c r="B1106" s="53">
        <v>41779</v>
      </c>
      <c r="C1106">
        <v>528.32191020000005</v>
      </c>
      <c r="D1106" s="54">
        <f t="shared" si="127"/>
        <v>1.7207255686653856E-3</v>
      </c>
      <c r="E1106" s="54">
        <f t="shared" ca="1" si="128"/>
        <v>1.8609475467166107E-3</v>
      </c>
      <c r="F1106" s="64">
        <f t="shared" ca="1" si="129"/>
        <v>-1.4022197805122513E-4</v>
      </c>
      <c r="G1106">
        <f t="shared" ca="1" si="126"/>
        <v>5.6865090585765101E-3</v>
      </c>
      <c r="H1106">
        <f t="shared" ca="1" si="130"/>
        <v>0.22847465397411379</v>
      </c>
      <c r="I1106">
        <f t="shared" ca="1" si="131"/>
        <v>2.7739465096511196</v>
      </c>
      <c r="J1106" s="60">
        <v>1101</v>
      </c>
    </row>
    <row r="1107" spans="2:10" x14ac:dyDescent="0.25">
      <c r="B1107" s="53">
        <v>41780</v>
      </c>
      <c r="C1107">
        <v>537.46684979999998</v>
      </c>
      <c r="D1107" s="54">
        <f t="shared" si="127"/>
        <v>1.7309408191187921E-2</v>
      </c>
      <c r="E1107" s="54">
        <f t="shared" ca="1" si="128"/>
        <v>6.5250354994176932E-3</v>
      </c>
      <c r="F1107" s="64">
        <f t="shared" ca="1" si="129"/>
        <v>1.0784372691770228E-2</v>
      </c>
      <c r="G1107">
        <f t="shared" ca="1" si="126"/>
        <v>4.1520354072599949E-3</v>
      </c>
      <c r="H1107">
        <f t="shared" ca="1" si="130"/>
        <v>-0.13838361340862115</v>
      </c>
      <c r="I1107">
        <f t="shared" ca="1" si="131"/>
        <v>2.6960776615202464</v>
      </c>
      <c r="J1107" s="57">
        <v>1102</v>
      </c>
    </row>
    <row r="1108" spans="2:10" x14ac:dyDescent="0.25">
      <c r="B1108" s="53">
        <v>41781</v>
      </c>
      <c r="C1108">
        <v>543.57008729999995</v>
      </c>
      <c r="D1108" s="54">
        <f t="shared" si="127"/>
        <v>1.1355560816952878E-2</v>
      </c>
      <c r="E1108" s="54">
        <f t="shared" ca="1" si="128"/>
        <v>-1.7602251396614194E-3</v>
      </c>
      <c r="F1108" s="64">
        <f t="shared" ca="1" si="129"/>
        <v>1.3115785956614296E-2</v>
      </c>
      <c r="G1108">
        <f t="shared" ca="1" si="126"/>
        <v>2.6921337417333759E-3</v>
      </c>
      <c r="H1108">
        <f t="shared" ca="1" si="130"/>
        <v>-0.94101408034231004</v>
      </c>
      <c r="I1108">
        <f t="shared" ca="1" si="131"/>
        <v>2.6544921452579939</v>
      </c>
      <c r="J1108" s="60">
        <v>1103</v>
      </c>
    </row>
    <row r="1109" spans="2:10" x14ac:dyDescent="0.25">
      <c r="B1109" s="53">
        <v>41782</v>
      </c>
      <c r="C1109">
        <v>551.18920200000002</v>
      </c>
      <c r="D1109" s="54">
        <f t="shared" si="127"/>
        <v>1.4016802760147154E-2</v>
      </c>
      <c r="E1109" s="54">
        <f t="shared" ca="1" si="128"/>
        <v>-4.6098974764298556E-3</v>
      </c>
      <c r="F1109" s="64">
        <f t="shared" ca="1" si="129"/>
        <v>1.8626700236577011E-2</v>
      </c>
      <c r="G1109">
        <f t="shared" ca="1" si="126"/>
        <v>1.5751310699473334E-2</v>
      </c>
      <c r="H1109">
        <f t="shared" ca="1" si="130"/>
        <v>-0.78622632151897243</v>
      </c>
      <c r="I1109">
        <f t="shared" ca="1" si="131"/>
        <v>2.521278685758765</v>
      </c>
      <c r="J1109" s="57">
        <v>1104</v>
      </c>
    </row>
    <row r="1110" spans="2:10" x14ac:dyDescent="0.25">
      <c r="B1110" s="53">
        <v>41786</v>
      </c>
      <c r="C1110">
        <v>564.40300649999995</v>
      </c>
      <c r="D1110" s="54">
        <f t="shared" si="127"/>
        <v>2.3973264447223194E-2</v>
      </c>
      <c r="E1110" s="54">
        <f t="shared" ca="1" si="128"/>
        <v>5.7921868257410081E-3</v>
      </c>
      <c r="F1110" s="64">
        <f t="shared" ca="1" si="129"/>
        <v>1.8181077621482186E-2</v>
      </c>
      <c r="G1110">
        <f t="shared" ca="1" si="126"/>
        <v>1.3642501587153327E-2</v>
      </c>
      <c r="H1110">
        <f t="shared" ca="1" si="130"/>
        <v>5.0719105046571858E-2</v>
      </c>
      <c r="I1110">
        <f t="shared" ca="1" si="131"/>
        <v>2.5338741116889074</v>
      </c>
      <c r="J1110" s="60">
        <v>1105</v>
      </c>
    </row>
    <row r="1111" spans="2:10" x14ac:dyDescent="0.25">
      <c r="B1111" s="53">
        <v>41787</v>
      </c>
      <c r="C1111">
        <v>560.14468680000004</v>
      </c>
      <c r="D1111" s="54">
        <f t="shared" si="127"/>
        <v>-7.5448210781278013E-3</v>
      </c>
      <c r="E1111" s="54">
        <f t="shared" ca="1" si="128"/>
        <v>1.5666766863135943E-2</v>
      </c>
      <c r="F1111" s="64">
        <f t="shared" ca="1" si="129"/>
        <v>-2.3211587941263746E-2</v>
      </c>
      <c r="G1111">
        <f t="shared" ca="1" si="126"/>
        <v>3.37558920246093E-3</v>
      </c>
      <c r="H1111">
        <f t="shared" ca="1" si="130"/>
        <v>2.7761455274744078</v>
      </c>
      <c r="I1111">
        <f t="shared" ca="1" si="131"/>
        <v>2.3047526630886597</v>
      </c>
      <c r="J1111" s="57">
        <v>1106</v>
      </c>
    </row>
    <row r="1112" spans="2:10" x14ac:dyDescent="0.25">
      <c r="B1112" s="53">
        <v>41788</v>
      </c>
      <c r="C1112">
        <v>558.54903760000002</v>
      </c>
      <c r="D1112" s="54">
        <f t="shared" si="127"/>
        <v>-2.8486375709741449E-3</v>
      </c>
      <c r="E1112" s="54">
        <f t="shared" ca="1" si="128"/>
        <v>5.164469197369642E-3</v>
      </c>
      <c r="F1112" s="64">
        <f t="shared" ca="1" si="129"/>
        <v>-8.0131067683437869E-3</v>
      </c>
      <c r="G1112">
        <f t="shared" ca="1" si="126"/>
        <v>4.6355609657975125E-2</v>
      </c>
      <c r="H1112">
        <f t="shared" ca="1" si="130"/>
        <v>-0.1208542834301191</v>
      </c>
      <c r="I1112">
        <f t="shared" ca="1" si="131"/>
        <v>2.7105055339705961</v>
      </c>
      <c r="J1112" s="60">
        <v>1107</v>
      </c>
    </row>
    <row r="1113" spans="2:10" x14ac:dyDescent="0.25">
      <c r="B1113" s="53">
        <v>41789</v>
      </c>
      <c r="C1113">
        <v>558.3595828</v>
      </c>
      <c r="D1113" s="54">
        <f t="shared" si="127"/>
        <v>-3.3919098816118229E-4</v>
      </c>
      <c r="E1113" s="54">
        <f t="shared" ca="1" si="128"/>
        <v>-2.8989917268963769E-3</v>
      </c>
      <c r="F1113" s="64">
        <f t="shared" ca="1" si="129"/>
        <v>2.5598007387351946E-3</v>
      </c>
      <c r="G1113">
        <f t="shared" ca="1" si="126"/>
        <v>1.0799211374575134E-2</v>
      </c>
      <c r="H1113">
        <f t="shared" ca="1" si="130"/>
        <v>4.5335497640904644E-2</v>
      </c>
      <c r="I1113">
        <f t="shared" ca="1" si="131"/>
        <v>2.7726412545475227</v>
      </c>
      <c r="J1113" s="57">
        <v>1108</v>
      </c>
    </row>
    <row r="1114" spans="2:10" x14ac:dyDescent="0.25">
      <c r="B1114" s="53">
        <v>41792</v>
      </c>
      <c r="C1114">
        <v>552.41583030000004</v>
      </c>
      <c r="D1114" s="54">
        <f t="shared" si="127"/>
        <v>-1.0645026400718127E-2</v>
      </c>
      <c r="E1114" s="54">
        <f t="shared" ca="1" si="128"/>
        <v>-3.0466036797969637E-3</v>
      </c>
      <c r="F1114" s="64">
        <f t="shared" ca="1" si="129"/>
        <v>-7.5984227209211636E-3</v>
      </c>
      <c r="G1114">
        <f t="shared" ca="1" si="126"/>
        <v>2.7646657899927365E-3</v>
      </c>
      <c r="H1114">
        <f t="shared" ca="1" si="130"/>
        <v>-0.63921565276325876</v>
      </c>
      <c r="I1114">
        <f t="shared" ca="1" si="131"/>
        <v>2.7163457174364205</v>
      </c>
      <c r="J1114" s="60">
        <v>1109</v>
      </c>
    </row>
    <row r="1115" spans="2:10" x14ac:dyDescent="0.25">
      <c r="B1115" s="53">
        <v>41793</v>
      </c>
      <c r="C1115">
        <v>543.45039689999999</v>
      </c>
      <c r="D1115" s="54">
        <f t="shared" si="127"/>
        <v>-1.6229501234841879E-2</v>
      </c>
      <c r="E1115" s="54">
        <f t="shared" ca="1" si="128"/>
        <v>-1.0528308038053448E-2</v>
      </c>
      <c r="F1115" s="64">
        <f t="shared" ca="1" si="129"/>
        <v>-5.7011931967884313E-3</v>
      </c>
      <c r="G1115">
        <f t="shared" ca="1" si="126"/>
        <v>1.0735584026016348E-2</v>
      </c>
      <c r="H1115">
        <f t="shared" ca="1" si="130"/>
        <v>-0.96648557692761194</v>
      </c>
      <c r="I1115">
        <f t="shared" ca="1" si="131"/>
        <v>2.7395217360239497</v>
      </c>
      <c r="J1115" s="57">
        <v>1110</v>
      </c>
    </row>
    <row r="1116" spans="2:10" x14ac:dyDescent="0.25">
      <c r="B1116" s="53">
        <v>41794</v>
      </c>
      <c r="C1116">
        <v>543.17115960000001</v>
      </c>
      <c r="D1116" s="54">
        <f t="shared" si="127"/>
        <v>-5.1382297555182274E-4</v>
      </c>
      <c r="E1116" s="54">
        <f t="shared" ca="1" si="128"/>
        <v>1.356278690711599E-2</v>
      </c>
      <c r="F1116" s="64">
        <f t="shared" ca="1" si="129"/>
        <v>-1.4076609882667812E-2</v>
      </c>
      <c r="G1116">
        <f t="shared" ca="1" si="126"/>
        <v>1.6347677463120699E-2</v>
      </c>
      <c r="H1116">
        <f t="shared" ca="1" si="130"/>
        <v>1.1221142084822699</v>
      </c>
      <c r="I1116">
        <f t="shared" ca="1" si="131"/>
        <v>2.5933767394784173</v>
      </c>
      <c r="J1116" s="60">
        <v>1111</v>
      </c>
    </row>
    <row r="1117" spans="2:10" x14ac:dyDescent="0.25">
      <c r="B1117" s="53">
        <v>41795</v>
      </c>
      <c r="C1117">
        <v>552.38592340000002</v>
      </c>
      <c r="D1117" s="54">
        <f t="shared" si="127"/>
        <v>1.6964751602028934E-2</v>
      </c>
      <c r="E1117" s="54">
        <f t="shared" ca="1" si="128"/>
        <v>-2.5542706051252927E-2</v>
      </c>
      <c r="F1117" s="64">
        <f t="shared" ca="1" si="129"/>
        <v>4.2507457653281858E-2</v>
      </c>
      <c r="G1117">
        <f t="shared" ca="1" si="126"/>
        <v>1.9123192730201292E-2</v>
      </c>
      <c r="H1117">
        <f t="shared" ca="1" si="130"/>
        <v>-0.95453219546324153</v>
      </c>
      <c r="I1117">
        <f t="shared" ca="1" si="131"/>
        <v>1.3769736861274764</v>
      </c>
      <c r="J1117" s="57">
        <v>1112</v>
      </c>
    </row>
    <row r="1118" spans="2:10" x14ac:dyDescent="0.25">
      <c r="B1118" s="53">
        <v>41796</v>
      </c>
      <c r="C1118">
        <v>554.80927410000004</v>
      </c>
      <c r="D1118" s="54">
        <f t="shared" si="127"/>
        <v>4.3870609248765919E-3</v>
      </c>
      <c r="E1118" s="54">
        <f t="shared" ca="1" si="128"/>
        <v>-1.1730060795483365E-2</v>
      </c>
      <c r="F1118" s="64">
        <f t="shared" ca="1" si="129"/>
        <v>1.6117121720359957E-2</v>
      </c>
      <c r="G1118">
        <f t="shared" ca="1" si="126"/>
        <v>1.654836279518972E-2</v>
      </c>
      <c r="H1118">
        <f t="shared" ca="1" si="130"/>
        <v>-0.69490771443944876</v>
      </c>
      <c r="I1118">
        <f t="shared" ca="1" si="131"/>
        <v>2.5880268585828201</v>
      </c>
      <c r="J1118" s="60">
        <v>1113</v>
      </c>
    </row>
    <row r="1119" spans="2:10" x14ac:dyDescent="0.25">
      <c r="B1119" s="53">
        <v>41799</v>
      </c>
      <c r="C1119">
        <v>560.5834701</v>
      </c>
      <c r="D1119" s="54">
        <f t="shared" si="127"/>
        <v>1.040753330839096E-2</v>
      </c>
      <c r="E1119" s="54">
        <f t="shared" ca="1" si="128"/>
        <v>5.9066587282911674E-3</v>
      </c>
      <c r="F1119" s="64">
        <f t="shared" ca="1" si="129"/>
        <v>4.500874580099793E-3</v>
      </c>
      <c r="G1119">
        <f t="shared" ca="1" si="126"/>
        <v>1.2238090674773631E-2</v>
      </c>
      <c r="H1119">
        <f t="shared" ca="1" si="130"/>
        <v>-0.13994230330326179</v>
      </c>
      <c r="I1119">
        <f t="shared" ca="1" si="131"/>
        <v>2.7644249830576308</v>
      </c>
      <c r="J1119" s="57">
        <v>1114</v>
      </c>
    </row>
    <row r="1120" spans="2:10" x14ac:dyDescent="0.25">
      <c r="B1120" s="53">
        <v>41800</v>
      </c>
      <c r="C1120">
        <v>559.01772779999999</v>
      </c>
      <c r="D1120" s="54">
        <f t="shared" si="127"/>
        <v>-2.7930582750160383E-3</v>
      </c>
      <c r="E1120" s="54">
        <f t="shared" ca="1" si="128"/>
        <v>4.3738585769401775E-3</v>
      </c>
      <c r="F1120" s="64">
        <f t="shared" ca="1" si="129"/>
        <v>-7.1669168519562163E-3</v>
      </c>
      <c r="G1120">
        <f t="shared" ca="1" si="126"/>
        <v>3.7745905513630993E-3</v>
      </c>
      <c r="H1120">
        <f t="shared" ca="1" si="130"/>
        <v>0.63672132359129263</v>
      </c>
      <c r="I1120">
        <f t="shared" ca="1" si="131"/>
        <v>2.7221278261541757</v>
      </c>
      <c r="J1120" s="60">
        <v>1115</v>
      </c>
    </row>
    <row r="1121" spans="2:10" x14ac:dyDescent="0.25">
      <c r="B1121" s="53">
        <v>41801</v>
      </c>
      <c r="C1121">
        <v>557.31239779999999</v>
      </c>
      <c r="D1121" s="54">
        <f t="shared" si="127"/>
        <v>-3.050583040919447E-3</v>
      </c>
      <c r="E1121" s="54">
        <f t="shared" ca="1" si="128"/>
        <v>-2.9804919228400032E-3</v>
      </c>
      <c r="F1121" s="64">
        <f t="shared" ca="1" si="129"/>
        <v>-7.0091118079443782E-5</v>
      </c>
      <c r="G1121">
        <f t="shared" ca="1" si="126"/>
        <v>1.0710221877063971E-2</v>
      </c>
      <c r="H1121">
        <f t="shared" ca="1" si="130"/>
        <v>-0.71470745718370077</v>
      </c>
      <c r="I1121">
        <f t="shared" ca="1" si="131"/>
        <v>2.774061608382878</v>
      </c>
      <c r="J1121" s="57">
        <v>1116</v>
      </c>
    </row>
    <row r="1122" spans="2:10" x14ac:dyDescent="0.25">
      <c r="B1122" s="53">
        <v>41802</v>
      </c>
      <c r="C1122">
        <v>549.84288240000001</v>
      </c>
      <c r="D1122" s="54">
        <f t="shared" si="127"/>
        <v>-1.3402744007644572E-2</v>
      </c>
      <c r="E1122" s="54">
        <f t="shared" ca="1" si="128"/>
        <v>1.8094009794014571E-2</v>
      </c>
      <c r="F1122" s="64">
        <f t="shared" ca="1" si="129"/>
        <v>-3.1496753801659144E-2</v>
      </c>
      <c r="G1122">
        <f t="shared" ca="1" si="126"/>
        <v>1.2218292128255854E-2</v>
      </c>
      <c r="H1122">
        <f t="shared" ca="1" si="130"/>
        <v>1.5835667190481968</v>
      </c>
      <c r="I1122">
        <f t="shared" ca="1" si="131"/>
        <v>1.9263792373671367</v>
      </c>
      <c r="J1122" s="60">
        <v>1117</v>
      </c>
    </row>
    <row r="1123" spans="2:10" x14ac:dyDescent="0.25">
      <c r="B1123" s="53">
        <v>41803</v>
      </c>
      <c r="C1123">
        <v>550.25175879999995</v>
      </c>
      <c r="D1123" s="54">
        <f t="shared" si="127"/>
        <v>7.4362406623368902E-4</v>
      </c>
      <c r="E1123" s="54">
        <f t="shared" ca="1" si="128"/>
        <v>6.4201792276963347E-3</v>
      </c>
      <c r="F1123" s="64">
        <f t="shared" ca="1" si="129"/>
        <v>-5.676555161462646E-3</v>
      </c>
      <c r="G1123">
        <f t="shared" ca="1" si="126"/>
        <v>2.6597535988565586E-2</v>
      </c>
      <c r="H1123">
        <f t="shared" ca="1" si="130"/>
        <v>0.29290262634900999</v>
      </c>
      <c r="I1123">
        <f t="shared" ca="1" si="131"/>
        <v>2.7397844535756812</v>
      </c>
      <c r="J1123" s="57">
        <v>1118</v>
      </c>
    </row>
    <row r="1124" spans="2:10" x14ac:dyDescent="0.25">
      <c r="B1124" s="53">
        <v>41806</v>
      </c>
      <c r="C1124">
        <v>542.7922519</v>
      </c>
      <c r="D1124" s="54">
        <f t="shared" si="127"/>
        <v>-1.3556534405756E-2</v>
      </c>
      <c r="E1124" s="54">
        <f t="shared" ca="1" si="128"/>
        <v>-4.4107038516436109E-3</v>
      </c>
      <c r="F1124" s="64">
        <f t="shared" ca="1" si="129"/>
        <v>-9.1458305541123885E-3</v>
      </c>
      <c r="G1124">
        <f t="shared" ca="1" si="126"/>
        <v>7.8510566914297402E-3</v>
      </c>
      <c r="H1124">
        <f t="shared" ca="1" si="130"/>
        <v>0.20490542426495173</v>
      </c>
      <c r="I1124">
        <f t="shared" ca="1" si="131"/>
        <v>2.6931368400105455</v>
      </c>
      <c r="J1124" s="60">
        <v>1119</v>
      </c>
    </row>
    <row r="1125" spans="2:10" x14ac:dyDescent="0.25">
      <c r="B1125" s="53">
        <v>41807</v>
      </c>
      <c r="C1125">
        <v>541.52570619999995</v>
      </c>
      <c r="D1125" s="54">
        <f t="shared" si="127"/>
        <v>-2.3333894239768744E-3</v>
      </c>
      <c r="E1125" s="54">
        <f t="shared" ca="1" si="128"/>
        <v>3.6817131043726512E-6</v>
      </c>
      <c r="F1125" s="64">
        <f t="shared" ca="1" si="129"/>
        <v>-2.337071137081247E-3</v>
      </c>
      <c r="G1125">
        <f t="shared" ca="1" si="126"/>
        <v>3.9893021409406586E-3</v>
      </c>
      <c r="H1125">
        <f t="shared" ca="1" si="130"/>
        <v>-8.2736556618076454E-2</v>
      </c>
      <c r="I1125">
        <f t="shared" ca="1" si="131"/>
        <v>2.766317653447893</v>
      </c>
      <c r="J1125" s="57">
        <v>1120</v>
      </c>
    </row>
    <row r="1126" spans="2:10" x14ac:dyDescent="0.25">
      <c r="B1126" s="53">
        <v>41808</v>
      </c>
      <c r="C1126">
        <v>551.8573566</v>
      </c>
      <c r="D1126" s="54">
        <f t="shared" si="127"/>
        <v>1.9078781084095577E-2</v>
      </c>
      <c r="E1126" s="54">
        <f t="shared" ca="1" si="128"/>
        <v>-5.9141885311249139E-3</v>
      </c>
      <c r="F1126" s="64">
        <f t="shared" ca="1" si="129"/>
        <v>2.4992969615220489E-2</v>
      </c>
      <c r="G1126">
        <f t="shared" ca="1" si="126"/>
        <v>1.9366523457674109E-3</v>
      </c>
      <c r="H1126">
        <f t="shared" ca="1" si="130"/>
        <v>9.0033091784293848E-2</v>
      </c>
      <c r="I1126">
        <f t="shared" ca="1" si="131"/>
        <v>2.3063029007674754</v>
      </c>
      <c r="J1126" s="60">
        <v>1121</v>
      </c>
    </row>
    <row r="1127" spans="2:10" x14ac:dyDescent="0.25">
      <c r="B1127" s="53">
        <v>41809</v>
      </c>
      <c r="C1127">
        <v>553.38318149999998</v>
      </c>
      <c r="D1127" s="54">
        <f t="shared" si="127"/>
        <v>2.7648900241189155E-3</v>
      </c>
      <c r="E1127" s="54">
        <f t="shared" ca="1" si="128"/>
        <v>2.0769232467237131E-3</v>
      </c>
      <c r="F1127" s="64">
        <f t="shared" ca="1" si="129"/>
        <v>6.8796677739520239E-4</v>
      </c>
      <c r="G1127">
        <f t="shared" ca="1" si="126"/>
        <v>1.8629200219952352E-3</v>
      </c>
      <c r="H1127">
        <f t="shared" ca="1" si="130"/>
        <v>1.6772412881335546</v>
      </c>
      <c r="I1127">
        <f t="shared" ca="1" si="131"/>
        <v>2.7747985367060055</v>
      </c>
      <c r="J1127" s="57">
        <v>1122</v>
      </c>
    </row>
    <row r="1128" spans="2:10" x14ac:dyDescent="0.25">
      <c r="B1128" s="53">
        <v>41810</v>
      </c>
      <c r="C1128">
        <v>554.83918100000005</v>
      </c>
      <c r="D1128" s="54">
        <f t="shared" si="127"/>
        <v>2.6310873706957344E-3</v>
      </c>
      <c r="E1128" s="54">
        <f t="shared" ca="1" si="128"/>
        <v>-4.6460972437430324E-2</v>
      </c>
      <c r="F1128" s="64">
        <f t="shared" ca="1" si="129"/>
        <v>4.909205980812606E-2</v>
      </c>
      <c r="G1128">
        <f t="shared" ca="1" si="126"/>
        <v>2.8017185572401092E-2</v>
      </c>
      <c r="H1128">
        <f t="shared" ca="1" si="130"/>
        <v>-1.9641402826108707</v>
      </c>
      <c r="I1128">
        <f t="shared" ca="1" si="131"/>
        <v>0.89939482988909469</v>
      </c>
      <c r="J1128" s="60">
        <v>1123</v>
      </c>
    </row>
    <row r="1129" spans="2:10" x14ac:dyDescent="0.25">
      <c r="B1129" s="53">
        <v>41813</v>
      </c>
      <c r="C1129">
        <v>563.40574849999996</v>
      </c>
      <c r="D1129" s="54">
        <f t="shared" si="127"/>
        <v>1.5439730634307718E-2</v>
      </c>
      <c r="E1129" s="54">
        <f t="shared" ca="1" si="128"/>
        <v>-3.8318601787410152E-2</v>
      </c>
      <c r="F1129" s="64">
        <f t="shared" ca="1" si="129"/>
        <v>5.3758332421717868E-2</v>
      </c>
      <c r="G1129">
        <f t="shared" ca="1" si="126"/>
        <v>3.341543532955811E-2</v>
      </c>
      <c r="H1129">
        <f t="shared" ca="1" si="130"/>
        <v>-1.1838964306805324</v>
      </c>
      <c r="I1129">
        <f t="shared" ca="1" si="131"/>
        <v>0.51853859317324669</v>
      </c>
      <c r="J1129" s="57">
        <v>1124</v>
      </c>
    </row>
    <row r="1130" spans="2:10" x14ac:dyDescent="0.25">
      <c r="B1130" s="53">
        <v>41814</v>
      </c>
      <c r="C1130">
        <v>563.07664509999995</v>
      </c>
      <c r="D1130" s="54">
        <f t="shared" si="127"/>
        <v>-5.8413213013215853E-4</v>
      </c>
      <c r="E1130" s="54">
        <f t="shared" ca="1" si="128"/>
        <v>-8.7345857546811535E-4</v>
      </c>
      <c r="F1130" s="64">
        <f t="shared" ca="1" si="129"/>
        <v>2.8932644533595682E-4</v>
      </c>
      <c r="G1130">
        <f t="shared" ca="1" si="126"/>
        <v>2.1200837329545218E-2</v>
      </c>
      <c r="H1130">
        <f t="shared" ca="1" si="130"/>
        <v>-9.6948939248156521E-2</v>
      </c>
      <c r="I1130">
        <f t="shared" ca="1" si="131"/>
        <v>2.7745267587453779</v>
      </c>
      <c r="J1130" s="60">
        <v>1125</v>
      </c>
    </row>
    <row r="1131" spans="2:10" x14ac:dyDescent="0.25">
      <c r="B1131" s="53">
        <v>41815</v>
      </c>
      <c r="C1131">
        <v>577.06828599999994</v>
      </c>
      <c r="D1131" s="54">
        <f t="shared" si="127"/>
        <v>2.4848554849074122E-2</v>
      </c>
      <c r="E1131" s="54">
        <f t="shared" ca="1" si="128"/>
        <v>1.7028753078609904E-2</v>
      </c>
      <c r="F1131" s="64">
        <f t="shared" ca="1" si="129"/>
        <v>7.819801770464218E-3</v>
      </c>
      <c r="G1131">
        <f t="shared" ca="1" si="126"/>
        <v>5.192901411080462E-3</v>
      </c>
      <c r="H1131">
        <f t="shared" ca="1" si="130"/>
        <v>1.9438980418449225</v>
      </c>
      <c r="I1131">
        <f t="shared" ca="1" si="131"/>
        <v>2.7362729447154321</v>
      </c>
      <c r="J1131" s="57">
        <v>1126</v>
      </c>
    </row>
    <row r="1132" spans="2:10" x14ac:dyDescent="0.25">
      <c r="B1132" s="53">
        <v>41816</v>
      </c>
      <c r="C1132">
        <v>574.42551279999998</v>
      </c>
      <c r="D1132" s="54">
        <f t="shared" si="127"/>
        <v>-4.5796542005775128E-3</v>
      </c>
      <c r="E1132" s="54">
        <f t="shared" ca="1" si="128"/>
        <v>3.0687796335184246E-3</v>
      </c>
      <c r="F1132" s="64">
        <f t="shared" ca="1" si="129"/>
        <v>-7.6484338340959378E-3</v>
      </c>
      <c r="G1132">
        <f t="shared" ca="1" si="126"/>
        <v>3.2483953990955924E-2</v>
      </c>
      <c r="H1132">
        <f t="shared" ca="1" si="130"/>
        <v>0.1025336030950383</v>
      </c>
      <c r="I1132">
        <f t="shared" ca="1" si="131"/>
        <v>2.7156561220304822</v>
      </c>
      <c r="J1132" s="60">
        <v>1127</v>
      </c>
    </row>
    <row r="1133" spans="2:10" x14ac:dyDescent="0.25">
      <c r="B1133" s="53">
        <v>41817</v>
      </c>
      <c r="C1133">
        <v>575.66215160000002</v>
      </c>
      <c r="D1133" s="54">
        <f t="shared" si="127"/>
        <v>2.1528270810468033E-3</v>
      </c>
      <c r="E1133" s="54">
        <f t="shared" ca="1" si="128"/>
        <v>1.2609050916385478E-2</v>
      </c>
      <c r="F1133" s="64">
        <f t="shared" ca="1" si="129"/>
        <v>-1.0456223835338674E-2</v>
      </c>
      <c r="G1133">
        <f t="shared" ca="1" si="126"/>
        <v>7.6627203460277581E-3</v>
      </c>
      <c r="H1133">
        <f t="shared" ca="1" si="130"/>
        <v>0.18911641233727847</v>
      </c>
      <c r="I1133">
        <f t="shared" ca="1" si="131"/>
        <v>2.6704574733255857</v>
      </c>
      <c r="J1133" s="57">
        <v>1128</v>
      </c>
    </row>
    <row r="1134" spans="2:10" x14ac:dyDescent="0.25">
      <c r="B1134" s="53">
        <v>41820</v>
      </c>
      <c r="C1134">
        <v>573.70749209999997</v>
      </c>
      <c r="D1134" s="54">
        <f t="shared" si="127"/>
        <v>-3.3954976796151206E-3</v>
      </c>
      <c r="E1134" s="54">
        <f t="shared" ca="1" si="128"/>
        <v>-5.6002827664188501E-3</v>
      </c>
      <c r="F1134" s="64">
        <f t="shared" ca="1" si="129"/>
        <v>2.2047850868037295E-3</v>
      </c>
      <c r="G1134">
        <f t="shared" ca="1" si="126"/>
        <v>3.7456092716487543E-3</v>
      </c>
      <c r="H1134">
        <f t="shared" ca="1" si="130"/>
        <v>-0.94604246881030618</v>
      </c>
      <c r="I1134">
        <f t="shared" ca="1" si="131"/>
        <v>2.7734854447602535</v>
      </c>
      <c r="J1134" s="60">
        <v>1129</v>
      </c>
    </row>
    <row r="1135" spans="2:10" x14ac:dyDescent="0.25">
      <c r="B1135" s="53">
        <v>41821</v>
      </c>
      <c r="C1135">
        <v>581.07727629999999</v>
      </c>
      <c r="D1135" s="54">
        <f t="shared" si="127"/>
        <v>1.2845891506530017E-2</v>
      </c>
      <c r="E1135" s="54">
        <f t="shared" ca="1" si="128"/>
        <v>1.6486678412832223E-5</v>
      </c>
      <c r="F1135" s="64">
        <f t="shared" ca="1" si="129"/>
        <v>1.2829404828117185E-2</v>
      </c>
      <c r="G1135">
        <f t="shared" ca="1" si="126"/>
        <v>1.584611904625504E-2</v>
      </c>
      <c r="H1135">
        <f t="shared" ca="1" si="130"/>
        <v>-5.9972575135998574E-2</v>
      </c>
      <c r="I1135">
        <f t="shared" ca="1" si="131"/>
        <v>2.6600734762745506</v>
      </c>
      <c r="J1135" s="57">
        <v>1130</v>
      </c>
    </row>
    <row r="1136" spans="2:10" x14ac:dyDescent="0.25">
      <c r="B1136" s="53">
        <v>41822</v>
      </c>
      <c r="C1136">
        <v>580.74322949999998</v>
      </c>
      <c r="D1136" s="54">
        <f t="shared" si="127"/>
        <v>-5.7487500135446285E-4</v>
      </c>
      <c r="E1136" s="54">
        <f t="shared" ca="1" si="128"/>
        <v>-4.9141560040790446E-3</v>
      </c>
      <c r="F1136" s="64">
        <f t="shared" ca="1" si="129"/>
        <v>4.3392810027245814E-3</v>
      </c>
      <c r="G1136">
        <f t="shared" ca="1" si="126"/>
        <v>3.8798023899124651E-3</v>
      </c>
      <c r="H1136">
        <f t="shared" ca="1" si="130"/>
        <v>-0.87359896936363768</v>
      </c>
      <c r="I1136">
        <f t="shared" ca="1" si="131"/>
        <v>2.7653412906602268</v>
      </c>
      <c r="J1136" s="60">
        <v>1131</v>
      </c>
    </row>
    <row r="1137" spans="2:10" x14ac:dyDescent="0.25">
      <c r="B1137" s="53">
        <v>41823</v>
      </c>
      <c r="C1137">
        <v>583.13166799999999</v>
      </c>
      <c r="D1137" s="54">
        <f t="shared" si="127"/>
        <v>4.1127272410155695E-3</v>
      </c>
      <c r="E1137" s="54">
        <f t="shared" ca="1" si="128"/>
        <v>4.8720345235029657E-3</v>
      </c>
      <c r="F1137" s="64">
        <f t="shared" ca="1" si="129"/>
        <v>-7.5930728248739619E-4</v>
      </c>
      <c r="G1137">
        <f t="shared" ca="1" si="126"/>
        <v>1.4643293869778818E-2</v>
      </c>
      <c r="H1137">
        <f t="shared" ca="1" si="130"/>
        <v>-6.1277383041780903E-2</v>
      </c>
      <c r="I1137">
        <f t="shared" ca="1" si="131"/>
        <v>2.7725857602557973</v>
      </c>
      <c r="J1137" s="57">
        <v>1132</v>
      </c>
    </row>
    <row r="1138" spans="2:10" x14ac:dyDescent="0.25">
      <c r="B1138" s="53">
        <v>41827</v>
      </c>
      <c r="C1138">
        <v>580.65845119999994</v>
      </c>
      <c r="D1138" s="54">
        <f t="shared" si="127"/>
        <v>-4.2412664852906692E-3</v>
      </c>
      <c r="E1138" s="54">
        <f t="shared" ca="1" si="128"/>
        <v>3.0798277271659198E-3</v>
      </c>
      <c r="F1138" s="64">
        <f t="shared" ca="1" si="129"/>
        <v>-7.321094212456589E-3</v>
      </c>
      <c r="G1138">
        <f t="shared" ca="1" si="126"/>
        <v>3.6322720060322734E-3</v>
      </c>
      <c r="H1138">
        <f t="shared" ca="1" si="130"/>
        <v>0.91896882226105303</v>
      </c>
      <c r="I1138">
        <f t="shared" ca="1" si="131"/>
        <v>2.7200964174371993</v>
      </c>
      <c r="J1138" s="60">
        <v>1133</v>
      </c>
    </row>
    <row r="1139" spans="2:10" x14ac:dyDescent="0.25">
      <c r="B1139" s="53">
        <v>41828</v>
      </c>
      <c r="C1139">
        <v>569.52894530000003</v>
      </c>
      <c r="D1139" s="54">
        <f t="shared" si="127"/>
        <v>-1.9167043684629858E-2</v>
      </c>
      <c r="E1139" s="54">
        <f t="shared" ca="1" si="128"/>
        <v>-1.9266585813006984E-2</v>
      </c>
      <c r="F1139" s="64">
        <f t="shared" ca="1" si="129"/>
        <v>9.9542128377125977E-5</v>
      </c>
      <c r="G1139">
        <f t="shared" ca="1" si="126"/>
        <v>1.5394427135676413E-2</v>
      </c>
      <c r="H1139">
        <f t="shared" ca="1" si="130"/>
        <v>-1.3715106583958467</v>
      </c>
      <c r="I1139">
        <f t="shared" ca="1" si="131"/>
        <v>2.774307152528011</v>
      </c>
      <c r="J1139" s="57">
        <v>1134</v>
      </c>
    </row>
    <row r="1140" spans="2:10" x14ac:dyDescent="0.25">
      <c r="B1140" s="53">
        <v>41829</v>
      </c>
      <c r="C1140">
        <v>574.50528569999994</v>
      </c>
      <c r="D1140" s="54">
        <f t="shared" si="127"/>
        <v>8.7376426449732418E-3</v>
      </c>
      <c r="E1140" s="54">
        <f t="shared" ca="1" si="128"/>
        <v>-6.0434532461386407E-2</v>
      </c>
      <c r="F1140" s="64">
        <f t="shared" ca="1" si="129"/>
        <v>6.9172175106359646E-2</v>
      </c>
      <c r="G1140">
        <f t="shared" ca="1" si="126"/>
        <v>2.3181740594018348E-2</v>
      </c>
      <c r="H1140">
        <f t="shared" ca="1" si="130"/>
        <v>-2.5248045626686397</v>
      </c>
      <c r="I1140">
        <f t="shared" ca="1" si="131"/>
        <v>-0.98956966841449789</v>
      </c>
      <c r="J1140" s="60">
        <v>1135</v>
      </c>
    </row>
    <row r="1141" spans="2:10" x14ac:dyDescent="0.25">
      <c r="B1141" s="53">
        <v>41830</v>
      </c>
      <c r="C1141">
        <v>569.53889400000003</v>
      </c>
      <c r="D1141" s="54">
        <f t="shared" si="127"/>
        <v>-8.6446405692310897E-3</v>
      </c>
      <c r="E1141" s="54">
        <f t="shared" ca="1" si="128"/>
        <v>-1.1818934442709124E-2</v>
      </c>
      <c r="F1141" s="64">
        <f t="shared" ca="1" si="129"/>
        <v>3.1742938734780346E-3</v>
      </c>
      <c r="G1141">
        <f t="shared" ca="1" si="126"/>
        <v>4.2484601035699829E-2</v>
      </c>
      <c r="H1141">
        <f t="shared" ca="1" si="130"/>
        <v>-7.5575190555325453E-2</v>
      </c>
      <c r="I1141">
        <f t="shared" ca="1" si="131"/>
        <v>2.770698757297628</v>
      </c>
      <c r="J1141" s="57">
        <v>1136</v>
      </c>
    </row>
    <row r="1142" spans="2:10" x14ac:dyDescent="0.25">
      <c r="B1142" s="53">
        <v>41831</v>
      </c>
      <c r="C1142">
        <v>577.59685279999997</v>
      </c>
      <c r="D1142" s="54">
        <f t="shared" si="127"/>
        <v>1.4148215134891099E-2</v>
      </c>
      <c r="E1142" s="54">
        <f t="shared" ca="1" si="128"/>
        <v>-1.1102641437191522E-2</v>
      </c>
      <c r="F1142" s="64">
        <f t="shared" ca="1" si="129"/>
        <v>2.5250856572082619E-2</v>
      </c>
      <c r="G1142">
        <f t="shared" ca="1" si="126"/>
        <v>9.8129857570587262E-3</v>
      </c>
      <c r="H1142">
        <f t="shared" ca="1" si="130"/>
        <v>-1.5313119925734624</v>
      </c>
      <c r="I1142">
        <f t="shared" ca="1" si="131"/>
        <v>2.2962145110563119</v>
      </c>
      <c r="J1142" s="60">
        <v>1137</v>
      </c>
    </row>
    <row r="1143" spans="2:10" x14ac:dyDescent="0.25">
      <c r="B1143" s="53">
        <v>41834</v>
      </c>
      <c r="C1143">
        <v>583.27125579999995</v>
      </c>
      <c r="D1143" s="54">
        <f t="shared" si="127"/>
        <v>9.8241584463148318E-3</v>
      </c>
      <c r="E1143" s="54">
        <f t="shared" ca="1" si="128"/>
        <v>2.9701110136348796E-2</v>
      </c>
      <c r="F1143" s="64">
        <f t="shared" ca="1" si="129"/>
        <v>-1.9876951690033964E-2</v>
      </c>
      <c r="G1143">
        <f t="shared" ca="1" si="126"/>
        <v>2.5677421956640994E-2</v>
      </c>
      <c r="H1143">
        <f t="shared" ca="1" si="130"/>
        <v>1.3078940552520333</v>
      </c>
      <c r="I1143">
        <f t="shared" ca="1" si="131"/>
        <v>2.4257380557209922</v>
      </c>
      <c r="J1143" s="57">
        <v>1138</v>
      </c>
    </row>
    <row r="1144" spans="2:10" x14ac:dyDescent="0.25">
      <c r="B1144" s="53">
        <v>41835</v>
      </c>
      <c r="C1144">
        <v>583.18153410000002</v>
      </c>
      <c r="D1144" s="54">
        <f t="shared" si="127"/>
        <v>-1.5382499841667545E-4</v>
      </c>
      <c r="E1144" s="54">
        <f t="shared" ca="1" si="128"/>
        <v>3.7830667066161568E-2</v>
      </c>
      <c r="F1144" s="64">
        <f t="shared" ca="1" si="129"/>
        <v>-3.798449206457824E-2</v>
      </c>
      <c r="G1144">
        <f t="shared" ca="1" si="126"/>
        <v>2.2623542911192923E-2</v>
      </c>
      <c r="H1144">
        <f t="shared" ca="1" si="130"/>
        <v>1.3913051153109846</v>
      </c>
      <c r="I1144">
        <f t="shared" ca="1" si="131"/>
        <v>1.5526632126909543</v>
      </c>
      <c r="J1144" s="60">
        <v>1139</v>
      </c>
    </row>
    <row r="1145" spans="2:10" x14ac:dyDescent="0.25">
      <c r="B1145" s="53">
        <v>41836</v>
      </c>
      <c r="C1145">
        <v>581.06732769999996</v>
      </c>
      <c r="D1145" s="54">
        <f t="shared" si="127"/>
        <v>-3.6252972297259457E-3</v>
      </c>
      <c r="E1145" s="54">
        <f t="shared" ca="1" si="128"/>
        <v>1.402066044652516E-2</v>
      </c>
      <c r="F1145" s="64">
        <f t="shared" ca="1" si="129"/>
        <v>-1.7645957676251104E-2</v>
      </c>
      <c r="G1145">
        <f t="shared" ca="1" si="126"/>
        <v>2.3809561798938228E-2</v>
      </c>
      <c r="H1145">
        <f t="shared" ca="1" si="130"/>
        <v>0.40355370074981911</v>
      </c>
      <c r="I1145">
        <f t="shared" ca="1" si="131"/>
        <v>2.4966504326518741</v>
      </c>
      <c r="J1145" s="57">
        <v>1140</v>
      </c>
    </row>
    <row r="1146" spans="2:10" x14ac:dyDescent="0.25">
      <c r="B1146" s="53">
        <v>41837</v>
      </c>
      <c r="C1146">
        <v>572.16170899999997</v>
      </c>
      <c r="D1146" s="54">
        <f t="shared" si="127"/>
        <v>-1.5326311212937246E-2</v>
      </c>
      <c r="E1146" s="54">
        <f t="shared" ca="1" si="128"/>
        <v>-2.2770928349249087E-2</v>
      </c>
      <c r="F1146" s="64">
        <f t="shared" ca="1" si="129"/>
        <v>7.4446171363118409E-3</v>
      </c>
      <c r="G1146">
        <f t="shared" ca="1" si="126"/>
        <v>8.7071959275819601E-3</v>
      </c>
      <c r="H1146">
        <f t="shared" ca="1" si="130"/>
        <v>-2.6072434999672209</v>
      </c>
      <c r="I1146">
        <f t="shared" ca="1" si="131"/>
        <v>2.7403476171150674</v>
      </c>
      <c r="J1146" s="60">
        <v>1141</v>
      </c>
    </row>
    <row r="1147" spans="2:10" x14ac:dyDescent="0.25">
      <c r="B1147" s="53">
        <v>41838</v>
      </c>
      <c r="C1147">
        <v>593.45336980000002</v>
      </c>
      <c r="D1147" s="54">
        <f t="shared" si="127"/>
        <v>3.7212662897719441E-2</v>
      </c>
      <c r="E1147" s="54">
        <f t="shared" ca="1" si="128"/>
        <v>-1.677290345365701E-2</v>
      </c>
      <c r="F1147" s="64">
        <f t="shared" ca="1" si="129"/>
        <v>5.3985566351376454E-2</v>
      </c>
      <c r="G1147">
        <f t="shared" ca="1" si="126"/>
        <v>4.3575876146808745E-2</v>
      </c>
      <c r="H1147">
        <f t="shared" ca="1" si="130"/>
        <v>-0.34754196754031441</v>
      </c>
      <c r="I1147">
        <f t="shared" ca="1" si="131"/>
        <v>0.4990936670314064</v>
      </c>
      <c r="J1147" s="57">
        <v>1142</v>
      </c>
    </row>
    <row r="1148" spans="2:10" x14ac:dyDescent="0.25">
      <c r="B1148" s="53">
        <v>41841</v>
      </c>
      <c r="C1148">
        <v>587.85867900000005</v>
      </c>
      <c r="D1148" s="54">
        <f t="shared" si="127"/>
        <v>-9.4273469234582592E-3</v>
      </c>
      <c r="E1148" s="54">
        <f t="shared" ca="1" si="128"/>
        <v>-2.867833493648721E-3</v>
      </c>
      <c r="F1148" s="64">
        <f t="shared" ca="1" si="129"/>
        <v>-6.5595134298095381E-3</v>
      </c>
      <c r="G1148">
        <f t="shared" ca="1" si="126"/>
        <v>1.1542529444412137E-2</v>
      </c>
      <c r="H1148">
        <f t="shared" ca="1" si="130"/>
        <v>0.34783350991081879</v>
      </c>
      <c r="I1148">
        <f t="shared" ca="1" si="131"/>
        <v>2.729757134670503</v>
      </c>
      <c r="J1148" s="60">
        <v>1143</v>
      </c>
    </row>
    <row r="1149" spans="2:10" x14ac:dyDescent="0.25">
      <c r="B1149" s="53">
        <v>41842</v>
      </c>
      <c r="C1149">
        <v>593.11431760000005</v>
      </c>
      <c r="D1149" s="54">
        <f t="shared" si="127"/>
        <v>8.9403096147875321E-3</v>
      </c>
      <c r="E1149" s="54">
        <f t="shared" ca="1" si="128"/>
        <v>1.8266923304140446E-2</v>
      </c>
      <c r="F1149" s="64">
        <f t="shared" ca="1" si="129"/>
        <v>-9.3266136893529143E-3</v>
      </c>
      <c r="G1149">
        <f t="shared" ca="1" si="126"/>
        <v>6.452992163559425E-3</v>
      </c>
      <c r="H1149">
        <f t="shared" ca="1" si="130"/>
        <v>0.24083921284362131</v>
      </c>
      <c r="I1149">
        <f t="shared" ca="1" si="131"/>
        <v>2.6901729521711513</v>
      </c>
      <c r="J1149" s="57">
        <v>1144</v>
      </c>
    </row>
    <row r="1150" spans="2:10" x14ac:dyDescent="0.25">
      <c r="B1150" s="53">
        <v>41843</v>
      </c>
      <c r="C1150">
        <v>594.35089559999994</v>
      </c>
      <c r="D1150" s="54">
        <f t="shared" si="127"/>
        <v>2.084889815176997E-3</v>
      </c>
      <c r="E1150" s="54">
        <f t="shared" ca="1" si="128"/>
        <v>-1.6185988081704815E-2</v>
      </c>
      <c r="F1150" s="64">
        <f t="shared" ca="1" si="129"/>
        <v>1.8270877896881813E-2</v>
      </c>
      <c r="G1150">
        <f t="shared" ca="1" si="126"/>
        <v>4.3976232117103435E-3</v>
      </c>
      <c r="H1150">
        <f t="shared" ca="1" si="130"/>
        <v>-2.7178617314477247</v>
      </c>
      <c r="I1150">
        <f t="shared" ca="1" si="131"/>
        <v>2.5313617404862656</v>
      </c>
      <c r="J1150" s="60">
        <v>1145</v>
      </c>
    </row>
    <row r="1151" spans="2:10" x14ac:dyDescent="0.25">
      <c r="B1151" s="53">
        <v>41844</v>
      </c>
      <c r="C1151">
        <v>591.7280816</v>
      </c>
      <c r="D1151" s="54">
        <f t="shared" si="127"/>
        <v>-4.4129049344700756E-3</v>
      </c>
      <c r="E1151" s="54">
        <f t="shared" ca="1" si="128"/>
        <v>-0.1497256760902608</v>
      </c>
      <c r="F1151" s="64">
        <f t="shared" ca="1" si="129"/>
        <v>0.14531277115579072</v>
      </c>
      <c r="G1151">
        <f t="shared" ca="1" si="126"/>
        <v>4.5387675997563284E-2</v>
      </c>
      <c r="H1151">
        <f t="shared" ca="1" si="130"/>
        <v>-3.3872847804848139</v>
      </c>
      <c r="I1151">
        <f t="shared" ca="1" si="131"/>
        <v>-14.070956599067259</v>
      </c>
      <c r="J1151" s="57">
        <v>1146</v>
      </c>
    </row>
    <row r="1152" spans="2:10" x14ac:dyDescent="0.25">
      <c r="B1152" s="53">
        <v>41845</v>
      </c>
      <c r="C1152">
        <v>587.40994699999999</v>
      </c>
      <c r="D1152" s="54">
        <f t="shared" si="127"/>
        <v>-7.2974981824827558E-3</v>
      </c>
      <c r="E1152" s="54">
        <f t="shared" ca="1" si="128"/>
        <v>-5.8672155659335026E-3</v>
      </c>
      <c r="F1152" s="64">
        <f t="shared" ca="1" si="129"/>
        <v>-1.4302826165492532E-3</v>
      </c>
      <c r="G1152">
        <f t="shared" ca="1" si="126"/>
        <v>5.7485806134589243E-2</v>
      </c>
      <c r="H1152">
        <f t="shared" ca="1" si="130"/>
        <v>-0.11835104605293283</v>
      </c>
      <c r="I1152">
        <f t="shared" ca="1" si="131"/>
        <v>2.7704116611103222</v>
      </c>
      <c r="J1152" s="60">
        <v>1147</v>
      </c>
    </row>
    <row r="1153" spans="2:10" x14ac:dyDescent="0.25">
      <c r="B1153" s="53">
        <v>41848</v>
      </c>
      <c r="C1153">
        <v>588.98563690000003</v>
      </c>
      <c r="D1153" s="54">
        <f t="shared" si="127"/>
        <v>2.6824365301393901E-3</v>
      </c>
      <c r="E1153" s="54">
        <f t="shared" ca="1" si="128"/>
        <v>-3.5856572197403287E-3</v>
      </c>
      <c r="F1153" s="64">
        <f t="shared" ca="1" si="129"/>
        <v>6.2680937498797188E-3</v>
      </c>
      <c r="G1153">
        <f t="shared" ca="1" si="126"/>
        <v>1.3283334697028415E-2</v>
      </c>
      <c r="H1153">
        <f t="shared" ca="1" si="130"/>
        <v>-0.12072326005792165</v>
      </c>
      <c r="I1153">
        <f t="shared" ca="1" si="131"/>
        <v>2.7516503126969076</v>
      </c>
      <c r="J1153" s="57">
        <v>1148</v>
      </c>
    </row>
    <row r="1154" spans="2:10" x14ac:dyDescent="0.25">
      <c r="B1154" s="53">
        <v>41849</v>
      </c>
      <c r="C1154">
        <v>584.00923560000001</v>
      </c>
      <c r="D1154" s="54">
        <f t="shared" si="127"/>
        <v>-8.449104677988829E-3</v>
      </c>
      <c r="E1154" s="54">
        <f t="shared" ca="1" si="128"/>
        <v>-7.5360257192101029E-3</v>
      </c>
      <c r="F1154" s="64">
        <f t="shared" ca="1" si="129"/>
        <v>-9.1307895877872601E-4</v>
      </c>
      <c r="G1154">
        <f t="shared" ca="1" si="126"/>
        <v>3.7731163012503042E-3</v>
      </c>
      <c r="H1154">
        <f t="shared" ca="1" si="130"/>
        <v>-1.1286742883169836</v>
      </c>
      <c r="I1154">
        <f t="shared" ca="1" si="131"/>
        <v>2.7721517594627203</v>
      </c>
      <c r="J1154" s="60">
        <v>1149</v>
      </c>
    </row>
    <row r="1155" spans="2:10" x14ac:dyDescent="0.25">
      <c r="B1155" s="53">
        <v>41850</v>
      </c>
      <c r="C1155">
        <v>585.81429679999997</v>
      </c>
      <c r="D1155" s="54">
        <f t="shared" si="127"/>
        <v>3.0908093399335868E-3</v>
      </c>
      <c r="E1155" s="54">
        <f t="shared" ca="1" si="128"/>
        <v>1.5763366542102062E-2</v>
      </c>
      <c r="F1155" s="64">
        <f t="shared" ca="1" si="129"/>
        <v>-1.2672557202168476E-2</v>
      </c>
      <c r="G1155">
        <f t="shared" ca="1" si="126"/>
        <v>1.888591261113404E-2</v>
      </c>
      <c r="H1155">
        <f t="shared" ca="1" si="130"/>
        <v>0.7708802046656037</v>
      </c>
      <c r="I1155">
        <f t="shared" ca="1" si="131"/>
        <v>2.6257840580266261</v>
      </c>
      <c r="J1155" s="57">
        <v>1150</v>
      </c>
    </row>
    <row r="1156" spans="2:10" x14ac:dyDescent="0.25">
      <c r="B1156" s="53">
        <v>41851</v>
      </c>
      <c r="C1156">
        <v>570.03755390000003</v>
      </c>
      <c r="D1156" s="54">
        <f t="shared" si="127"/>
        <v>-2.6931303974962892E-2</v>
      </c>
      <c r="E1156" s="54">
        <f t="shared" ca="1" si="128"/>
        <v>-2.6169681073718622E-3</v>
      </c>
      <c r="F1156" s="64">
        <f t="shared" ca="1" si="129"/>
        <v>-2.431433586759103E-2</v>
      </c>
      <c r="G1156">
        <f t="shared" ca="1" si="126"/>
        <v>1.3604995427885926E-2</v>
      </c>
      <c r="H1156">
        <f t="shared" ca="1" si="130"/>
        <v>8.6559438134165403E-2</v>
      </c>
      <c r="I1156">
        <f t="shared" ca="1" si="131"/>
        <v>2.2607901978491345</v>
      </c>
      <c r="J1156" s="60">
        <v>1151</v>
      </c>
    </row>
    <row r="1157" spans="2:10" x14ac:dyDescent="0.25">
      <c r="B1157" s="53">
        <v>41852</v>
      </c>
      <c r="C1157">
        <v>564.5226361</v>
      </c>
      <c r="D1157" s="54">
        <f t="shared" si="127"/>
        <v>-9.6746569805250069E-3</v>
      </c>
      <c r="E1157" s="54">
        <f t="shared" ca="1" si="128"/>
        <v>1.1902582712083601E-2</v>
      </c>
      <c r="F1157" s="64">
        <f t="shared" ca="1" si="129"/>
        <v>-2.1577239692608607E-2</v>
      </c>
      <c r="G1157">
        <f t="shared" ref="G1157:G1220" ca="1" si="132">SQRT(A_0+A_1*POWER(H1156,2)+B_1*POWER(G1156,2))</f>
        <v>3.565437363657616E-3</v>
      </c>
      <c r="H1157">
        <f t="shared" ca="1" si="130"/>
        <v>2.9491199482838701</v>
      </c>
      <c r="I1157">
        <f t="shared" ca="1" si="131"/>
        <v>2.3662941379549109</v>
      </c>
      <c r="J1157" s="57">
        <v>1152</v>
      </c>
    </row>
    <row r="1158" spans="2:10" x14ac:dyDescent="0.25">
      <c r="B1158" s="53">
        <v>41855</v>
      </c>
      <c r="C1158">
        <v>571.58333689999995</v>
      </c>
      <c r="D1158" s="54">
        <f t="shared" si="127"/>
        <v>1.2507382961255094E-2</v>
      </c>
      <c r="E1158" s="54">
        <f t="shared" ca="1" si="128"/>
        <v>1.5083956055706137E-2</v>
      </c>
      <c r="F1158" s="64">
        <f t="shared" ca="1" si="129"/>
        <v>-2.5765730944510429E-3</v>
      </c>
      <c r="G1158">
        <f t="shared" ca="1" si="132"/>
        <v>4.9242502756853636E-2</v>
      </c>
      <c r="H1158">
        <f t="shared" ca="1" si="130"/>
        <v>0.55195226212503146</v>
      </c>
      <c r="I1158">
        <f t="shared" ca="1" si="131"/>
        <v>2.7650145467731106</v>
      </c>
      <c r="J1158" s="60">
        <v>1153</v>
      </c>
    </row>
    <row r="1159" spans="2:10" x14ac:dyDescent="0.25">
      <c r="B1159" s="53">
        <v>41856</v>
      </c>
      <c r="C1159">
        <v>563.52537810000001</v>
      </c>
      <c r="D1159" s="54">
        <f t="shared" ref="D1159:D1222" si="133">(C1159-C1158)/C1158</f>
        <v>-1.4097609709377689E-2</v>
      </c>
      <c r="E1159" s="54">
        <f t="shared" ca="1" si="128"/>
        <v>-4.3159469459908293E-3</v>
      </c>
      <c r="F1159" s="64">
        <f t="shared" ca="1" si="129"/>
        <v>-9.7816627633868607E-3</v>
      </c>
      <c r="G1159">
        <f t="shared" ca="1" si="132"/>
        <v>1.4551876520610445E-2</v>
      </c>
      <c r="H1159">
        <f t="shared" ca="1" si="130"/>
        <v>1.9873537288559113E-3</v>
      </c>
      <c r="I1159">
        <f t="shared" ca="1" si="131"/>
        <v>2.6824788063152214</v>
      </c>
      <c r="J1159" s="57">
        <v>1154</v>
      </c>
    </row>
    <row r="1160" spans="2:10" x14ac:dyDescent="0.25">
      <c r="B1160" s="53">
        <v>41857</v>
      </c>
      <c r="C1160">
        <v>564.82585959999994</v>
      </c>
      <c r="D1160" s="54">
        <f t="shared" si="133"/>
        <v>2.3077603077694161E-3</v>
      </c>
      <c r="E1160" s="54">
        <f t="shared" ref="E1160:E1223" ca="1" si="134">((E_1*D1159)+(E_2*D1158)+(G1160*H1160))</f>
        <v>3.4625032555694025E-3</v>
      </c>
      <c r="F1160" s="64">
        <f t="shared" ca="1" si="129"/>
        <v>-1.1547429477999863E-3</v>
      </c>
      <c r="G1160">
        <f t="shared" ca="1" si="132"/>
        <v>3.4655179696248544E-3</v>
      </c>
      <c r="H1160">
        <f t="shared" ca="1" si="130"/>
        <v>-0.621716581219243</v>
      </c>
      <c r="I1160">
        <f t="shared" ca="1" si="131"/>
        <v>2.7713924913331596</v>
      </c>
      <c r="J1160" s="60">
        <v>1155</v>
      </c>
    </row>
    <row r="1161" spans="2:10" x14ac:dyDescent="0.25">
      <c r="B1161" s="53">
        <v>41858</v>
      </c>
      <c r="C1161">
        <v>561.82004810000001</v>
      </c>
      <c r="D1161" s="54">
        <f t="shared" si="133"/>
        <v>-5.3216605594662413E-3</v>
      </c>
      <c r="E1161" s="54">
        <f t="shared" ca="1" si="134"/>
        <v>9.7906128791053967E-3</v>
      </c>
      <c r="F1161" s="64">
        <f t="shared" ref="F1161:F1224" ca="1" si="135">D1161-E1161</f>
        <v>-1.5112273438571638E-2</v>
      </c>
      <c r="G1161">
        <f t="shared" ca="1" si="132"/>
        <v>1.0456187738647611E-2</v>
      </c>
      <c r="H1161">
        <f t="shared" ref="H1161:H1224" ca="1" si="136">_xlfn.NORM.INV(RAND(),0,1)</f>
        <v>1.5418709365393748</v>
      </c>
      <c r="I1161">
        <f t="shared" ref="I1161:I1224" ca="1" si="137">LN(_xlfn.NORM.DIST(F1161,AVERAGE($F$8:$F$1413),_xlfn.STDEV.S($F$8:$F$1413),FALSE))</f>
        <v>2.5674310321608416</v>
      </c>
      <c r="J1161" s="57">
        <v>1156</v>
      </c>
    </row>
    <row r="1162" spans="2:10" x14ac:dyDescent="0.25">
      <c r="B1162" s="53">
        <v>41859</v>
      </c>
      <c r="C1162">
        <v>567.21527549999996</v>
      </c>
      <c r="D1162" s="54">
        <f t="shared" si="133"/>
        <v>9.6031236661024977E-3</v>
      </c>
      <c r="E1162" s="54">
        <f t="shared" ca="1" si="134"/>
        <v>-1.1082911647005379E-2</v>
      </c>
      <c r="F1162" s="64">
        <f t="shared" ca="1" si="135"/>
        <v>2.0686035313107878E-2</v>
      </c>
      <c r="G1162">
        <f t="shared" ca="1" si="132"/>
        <v>2.5865951205278754E-2</v>
      </c>
      <c r="H1162">
        <f t="shared" ca="1" si="136"/>
        <v>-0.46854187634771566</v>
      </c>
      <c r="I1162">
        <f t="shared" ca="1" si="137"/>
        <v>2.4589045693117724</v>
      </c>
      <c r="J1162" s="60">
        <v>1157</v>
      </c>
    </row>
    <row r="1163" spans="2:10" x14ac:dyDescent="0.25">
      <c r="B1163" s="53">
        <v>41862</v>
      </c>
      <c r="C1163">
        <v>566.32769829999995</v>
      </c>
      <c r="D1163" s="54">
        <f t="shared" si="133"/>
        <v>-1.5647977731516678E-3</v>
      </c>
      <c r="E1163" s="54">
        <f t="shared" ca="1" si="134"/>
        <v>1.2469845172704679E-2</v>
      </c>
      <c r="F1163" s="64">
        <f t="shared" ca="1" si="135"/>
        <v>-1.4034642945856346E-2</v>
      </c>
      <c r="G1163">
        <f t="shared" ca="1" si="132"/>
        <v>9.8441812721879809E-3</v>
      </c>
      <c r="H1163">
        <f t="shared" ca="1" si="136"/>
        <v>1.5094951635065661</v>
      </c>
      <c r="I1163">
        <f t="shared" ca="1" si="137"/>
        <v>2.594391569858451</v>
      </c>
      <c r="J1163" s="57">
        <v>1158</v>
      </c>
    </row>
    <row r="1164" spans="2:10" x14ac:dyDescent="0.25">
      <c r="B1164" s="53">
        <v>41863</v>
      </c>
      <c r="C1164">
        <v>561.19180989999995</v>
      </c>
      <c r="D1164" s="54">
        <f t="shared" si="133"/>
        <v>-9.0687572149779835E-3</v>
      </c>
      <c r="E1164" s="54">
        <f t="shared" ca="1" si="134"/>
        <v>1.7930462693519177E-2</v>
      </c>
      <c r="F1164" s="64">
        <f t="shared" ca="1" si="135"/>
        <v>-2.6999219908497161E-2</v>
      </c>
      <c r="G1164">
        <f t="shared" ca="1" si="132"/>
        <v>2.5315582235443203E-2</v>
      </c>
      <c r="H1164">
        <f t="shared" ca="1" si="136"/>
        <v>0.53791117108289033</v>
      </c>
      <c r="I1164">
        <f t="shared" ca="1" si="137"/>
        <v>2.1455382770449516</v>
      </c>
      <c r="J1164" s="60">
        <v>1159</v>
      </c>
    </row>
    <row r="1165" spans="2:10" x14ac:dyDescent="0.25">
      <c r="B1165" s="53">
        <v>41864</v>
      </c>
      <c r="C1165">
        <v>573.20883219999996</v>
      </c>
      <c r="D1165" s="54">
        <f t="shared" si="133"/>
        <v>2.1413395719622759E-2</v>
      </c>
      <c r="E1165" s="54">
        <f t="shared" ca="1" si="134"/>
        <v>2.2154848640479567E-3</v>
      </c>
      <c r="F1165" s="64">
        <f t="shared" ca="1" si="135"/>
        <v>1.9197910855574804E-2</v>
      </c>
      <c r="G1165">
        <f t="shared" ca="1" si="132"/>
        <v>1.0719021125718287E-2</v>
      </c>
      <c r="H1165">
        <f t="shared" ca="1" si="136"/>
        <v>0.27226582878267602</v>
      </c>
      <c r="I1165">
        <f t="shared" ca="1" si="137"/>
        <v>2.5046643077007658</v>
      </c>
      <c r="J1165" s="57">
        <v>1160</v>
      </c>
    </row>
    <row r="1166" spans="2:10" x14ac:dyDescent="0.25">
      <c r="B1166" s="53">
        <v>41865</v>
      </c>
      <c r="C1166">
        <v>573.0791931</v>
      </c>
      <c r="D1166" s="54">
        <f t="shared" si="133"/>
        <v>-2.2616382148614604E-4</v>
      </c>
      <c r="E1166" s="54">
        <f t="shared" ca="1" si="134"/>
        <v>-6.0486338609972278E-3</v>
      </c>
      <c r="F1166" s="64">
        <f t="shared" ca="1" si="135"/>
        <v>5.8224700395110816E-3</v>
      </c>
      <c r="G1166">
        <f t="shared" ca="1" si="132"/>
        <v>5.2568136053283117E-3</v>
      </c>
      <c r="H1166">
        <f t="shared" ca="1" si="136"/>
        <v>-0.37590117107761883</v>
      </c>
      <c r="I1166">
        <f t="shared" ca="1" si="137"/>
        <v>2.7553473711722338</v>
      </c>
      <c r="J1166" s="60">
        <v>1161</v>
      </c>
    </row>
    <row r="1167" spans="2:10" x14ac:dyDescent="0.25">
      <c r="B1167" s="53">
        <v>41866</v>
      </c>
      <c r="C1167">
        <v>571.91244040000004</v>
      </c>
      <c r="D1167" s="54">
        <f t="shared" si="133"/>
        <v>-2.035936244149013E-3</v>
      </c>
      <c r="E1167" s="54">
        <f t="shared" ca="1" si="134"/>
        <v>1.4851335257377401E-2</v>
      </c>
      <c r="F1167" s="64">
        <f t="shared" ca="1" si="135"/>
        <v>-1.6887271501526413E-2</v>
      </c>
      <c r="G1167">
        <f t="shared" ca="1" si="132"/>
        <v>6.4668117930174939E-3</v>
      </c>
      <c r="H1167">
        <f t="shared" ca="1" si="136"/>
        <v>0.80938713373308835</v>
      </c>
      <c r="I1167">
        <f t="shared" ca="1" si="137"/>
        <v>2.5189329067102055</v>
      </c>
      <c r="J1167" s="57">
        <v>1162</v>
      </c>
    </row>
    <row r="1168" spans="2:10" x14ac:dyDescent="0.25">
      <c r="B1168" s="53">
        <v>41869</v>
      </c>
      <c r="C1168">
        <v>580.56866769999999</v>
      </c>
      <c r="D1168" s="54">
        <f t="shared" si="133"/>
        <v>1.5135581408136046E-2</v>
      </c>
      <c r="E1168" s="54">
        <f t="shared" ca="1" si="134"/>
        <v>-8.5179849314490866E-5</v>
      </c>
      <c r="F1168" s="64">
        <f t="shared" ca="1" si="135"/>
        <v>1.5220761257450538E-2</v>
      </c>
      <c r="G1168">
        <f t="shared" ca="1" si="132"/>
        <v>1.3627428189528295E-2</v>
      </c>
      <c r="H1168">
        <f t="shared" ca="1" si="136"/>
        <v>1.2056522064507276E-3</v>
      </c>
      <c r="I1168">
        <f t="shared" ca="1" si="137"/>
        <v>2.6094012834671303</v>
      </c>
      <c r="J1168" s="60">
        <v>1163</v>
      </c>
    </row>
    <row r="1169" spans="2:10" x14ac:dyDescent="0.25">
      <c r="B1169" s="53">
        <v>41870</v>
      </c>
      <c r="C1169">
        <v>585.25582310000004</v>
      </c>
      <c r="D1169" s="54">
        <f t="shared" si="133"/>
        <v>8.0733867684745046E-3</v>
      </c>
      <c r="E1169" s="54">
        <f t="shared" ca="1" si="134"/>
        <v>-2.1437834846556479E-3</v>
      </c>
      <c r="F1169" s="64">
        <f t="shared" ca="1" si="135"/>
        <v>1.0217170253130153E-2</v>
      </c>
      <c r="G1169">
        <f t="shared" ca="1" si="132"/>
        <v>3.2645016065613835E-3</v>
      </c>
      <c r="H1169">
        <f t="shared" ca="1" si="136"/>
        <v>-0.37667758443316646</v>
      </c>
      <c r="I1169">
        <f t="shared" ca="1" si="137"/>
        <v>2.7048666468086711</v>
      </c>
      <c r="J1169" s="57">
        <v>1164</v>
      </c>
    </row>
    <row r="1170" spans="2:10" x14ac:dyDescent="0.25">
      <c r="B1170" s="53">
        <v>41871</v>
      </c>
      <c r="C1170">
        <v>582.89228720000006</v>
      </c>
      <c r="D1170" s="54">
        <f t="shared" si="133"/>
        <v>-4.0384662684443571E-3</v>
      </c>
      <c r="E1170" s="54">
        <f t="shared" ca="1" si="134"/>
        <v>5.6934864876072759E-3</v>
      </c>
      <c r="F1170" s="64">
        <f t="shared" ca="1" si="135"/>
        <v>-9.7319527560516331E-3</v>
      </c>
      <c r="G1170">
        <f t="shared" ca="1" si="132"/>
        <v>6.4110254430861094E-3</v>
      </c>
      <c r="H1170">
        <f t="shared" ca="1" si="136"/>
        <v>-0.17225721631376872</v>
      </c>
      <c r="I1170">
        <f t="shared" ca="1" si="137"/>
        <v>2.6833356005559552</v>
      </c>
      <c r="J1170" s="60">
        <v>1165</v>
      </c>
    </row>
    <row r="1171" spans="2:10" x14ac:dyDescent="0.25">
      <c r="B1171" s="53">
        <v>41872</v>
      </c>
      <c r="C1171">
        <v>581.77539960000001</v>
      </c>
      <c r="D1171" s="54">
        <f t="shared" si="133"/>
        <v>-1.916113190251938E-3</v>
      </c>
      <c r="E1171" s="54">
        <f t="shared" ca="1" si="134"/>
        <v>7.9962138816897614E-3</v>
      </c>
      <c r="F1171" s="64">
        <f t="shared" ca="1" si="135"/>
        <v>-9.9123270719416994E-3</v>
      </c>
      <c r="G1171">
        <f t="shared" ca="1" si="132"/>
        <v>3.3790247146532016E-3</v>
      </c>
      <c r="H1171">
        <f t="shared" ca="1" si="136"/>
        <v>1.2933802362903166</v>
      </c>
      <c r="I1171">
        <f t="shared" ca="1" si="137"/>
        <v>2.6802076554799434</v>
      </c>
      <c r="J1171" s="57">
        <v>1166</v>
      </c>
    </row>
    <row r="1172" spans="2:10" x14ac:dyDescent="0.25">
      <c r="B1172" s="53">
        <v>41873</v>
      </c>
      <c r="C1172">
        <v>580.96759550000002</v>
      </c>
      <c r="D1172" s="54">
        <f t="shared" si="133"/>
        <v>-1.3885153971023949E-3</v>
      </c>
      <c r="E1172" s="54">
        <f t="shared" ca="1" si="134"/>
        <v>-3.5899620058703181E-2</v>
      </c>
      <c r="F1172" s="64">
        <f t="shared" ca="1" si="135"/>
        <v>3.4511104661600789E-2</v>
      </c>
      <c r="G1172">
        <f t="shared" ca="1" si="132"/>
        <v>2.1625815954500537E-2</v>
      </c>
      <c r="H1172">
        <f t="shared" ca="1" si="136"/>
        <v>-1.5761639248208881</v>
      </c>
      <c r="I1172">
        <f t="shared" ca="1" si="137"/>
        <v>1.8627526049350294</v>
      </c>
      <c r="J1172" s="60">
        <v>1167</v>
      </c>
    </row>
    <row r="1173" spans="2:10" x14ac:dyDescent="0.25">
      <c r="B1173" s="53">
        <v>41876</v>
      </c>
      <c r="C1173">
        <v>578.61406910000005</v>
      </c>
      <c r="D1173" s="54">
        <f t="shared" si="133"/>
        <v>-4.051045907258289E-3</v>
      </c>
      <c r="E1173" s="54">
        <f t="shared" ca="1" si="134"/>
        <v>-1.1627558147638387E-2</v>
      </c>
      <c r="F1173" s="64">
        <f t="shared" ca="1" si="135"/>
        <v>7.5765122403800983E-3</v>
      </c>
      <c r="G1173">
        <f t="shared" ca="1" si="132"/>
        <v>2.6785035194787837E-2</v>
      </c>
      <c r="H1173">
        <f t="shared" ca="1" si="136"/>
        <v>-0.40197704912459403</v>
      </c>
      <c r="I1173">
        <f t="shared" ca="1" si="137"/>
        <v>2.7389411011295857</v>
      </c>
      <c r="J1173" s="57">
        <v>1168</v>
      </c>
    </row>
    <row r="1174" spans="2:10" x14ac:dyDescent="0.25">
      <c r="B1174" s="53">
        <v>41877</v>
      </c>
      <c r="C1174">
        <v>576.280441</v>
      </c>
      <c r="D1174" s="54">
        <f t="shared" si="133"/>
        <v>-4.0331340432663105E-3</v>
      </c>
      <c r="E1174" s="54">
        <f t="shared" ca="1" si="134"/>
        <v>3.7626783070345117E-3</v>
      </c>
      <c r="F1174" s="64">
        <f t="shared" ca="1" si="135"/>
        <v>-7.7958123503008223E-3</v>
      </c>
      <c r="G1174">
        <f t="shared" ca="1" si="132"/>
        <v>9.1255348426142972E-3</v>
      </c>
      <c r="H1174">
        <f t="shared" ca="1" si="136"/>
        <v>0.48066861513745429</v>
      </c>
      <c r="I1174">
        <f t="shared" ca="1" si="137"/>
        <v>2.7136004408785808</v>
      </c>
      <c r="J1174" s="60">
        <v>1169</v>
      </c>
    </row>
    <row r="1175" spans="2:10" x14ac:dyDescent="0.25">
      <c r="B1175" s="53">
        <v>41878</v>
      </c>
      <c r="C1175">
        <v>569.43916179999997</v>
      </c>
      <c r="D1175" s="54">
        <f t="shared" si="133"/>
        <v>-1.1871440904932657E-2</v>
      </c>
      <c r="E1175" s="54">
        <f t="shared" ca="1" si="134"/>
        <v>-8.2555405354229582E-3</v>
      </c>
      <c r="F1175" s="64">
        <f t="shared" ca="1" si="135"/>
        <v>-3.6159003695096989E-3</v>
      </c>
      <c r="G1175">
        <f t="shared" ca="1" si="132"/>
        <v>8.3492671466099799E-3</v>
      </c>
      <c r="H1175">
        <f t="shared" ca="1" si="136"/>
        <v>-0.7708539042577186</v>
      </c>
      <c r="I1175">
        <f t="shared" ca="1" si="137"/>
        <v>2.7582859047485835</v>
      </c>
      <c r="J1175" s="57">
        <v>1170</v>
      </c>
    </row>
    <row r="1176" spans="2:10" x14ac:dyDescent="0.25">
      <c r="B1176" s="53">
        <v>41879</v>
      </c>
      <c r="C1176">
        <v>567.64411010000003</v>
      </c>
      <c r="D1176" s="54">
        <f t="shared" si="133"/>
        <v>-3.1523151557152546E-3</v>
      </c>
      <c r="E1176" s="54">
        <f t="shared" ca="1" si="134"/>
        <v>-1.3058348538891578E-3</v>
      </c>
      <c r="F1176" s="64">
        <f t="shared" ca="1" si="135"/>
        <v>-1.8464803018260968E-3</v>
      </c>
      <c r="G1176">
        <f t="shared" ca="1" si="132"/>
        <v>1.3045668973481278E-2</v>
      </c>
      <c r="H1176">
        <f t="shared" ca="1" si="136"/>
        <v>3.8766199671167081E-2</v>
      </c>
      <c r="I1176">
        <f t="shared" ca="1" si="137"/>
        <v>2.7686975480749281</v>
      </c>
      <c r="J1176" s="60">
        <v>1171</v>
      </c>
    </row>
    <row r="1177" spans="2:10" x14ac:dyDescent="0.25">
      <c r="B1177" s="53">
        <v>41880</v>
      </c>
      <c r="C1177">
        <v>570.03755390000003</v>
      </c>
      <c r="D1177" s="54">
        <f t="shared" si="133"/>
        <v>4.2164513951855409E-3</v>
      </c>
      <c r="E1177" s="54">
        <f t="shared" ca="1" si="134"/>
        <v>-3.7488244713914862E-3</v>
      </c>
      <c r="F1177" s="64">
        <f t="shared" ca="1" si="135"/>
        <v>7.9652758665770262E-3</v>
      </c>
      <c r="G1177">
        <f t="shared" ca="1" si="132"/>
        <v>3.2046580702719406E-3</v>
      </c>
      <c r="H1177">
        <f t="shared" ca="1" si="136"/>
        <v>0.49394715299944458</v>
      </c>
      <c r="I1177">
        <f t="shared" ca="1" si="137"/>
        <v>2.7346318408342261</v>
      </c>
      <c r="J1177" s="57">
        <v>1172</v>
      </c>
    </row>
    <row r="1178" spans="2:10" x14ac:dyDescent="0.25">
      <c r="B1178" s="53">
        <v>41884</v>
      </c>
      <c r="C1178">
        <v>575.75187419999997</v>
      </c>
      <c r="D1178" s="54">
        <f t="shared" si="133"/>
        <v>1.0024462881269023E-2</v>
      </c>
      <c r="E1178" s="54">
        <f t="shared" ca="1" si="134"/>
        <v>-2.8623299803240297E-3</v>
      </c>
      <c r="F1178" s="64">
        <f t="shared" ca="1" si="135"/>
        <v>1.2886792861593051E-2</v>
      </c>
      <c r="G1178">
        <f t="shared" ca="1" si="132"/>
        <v>8.3382550133506862E-3</v>
      </c>
      <c r="H1178">
        <f t="shared" ca="1" si="136"/>
        <v>-0.17349370700438194</v>
      </c>
      <c r="I1178">
        <f t="shared" ca="1" si="137"/>
        <v>2.658965647686808</v>
      </c>
      <c r="J1178" s="60">
        <v>1173</v>
      </c>
    </row>
    <row r="1179" spans="2:10" x14ac:dyDescent="0.25">
      <c r="B1179" s="53">
        <v>41885</v>
      </c>
      <c r="C1179">
        <v>576.36021400000004</v>
      </c>
      <c r="D1179" s="54">
        <f t="shared" si="133"/>
        <v>1.056600642152225E-3</v>
      </c>
      <c r="E1179" s="54">
        <f t="shared" ca="1" si="134"/>
        <v>3.9273700014623384E-3</v>
      </c>
      <c r="F1179" s="64">
        <f t="shared" ca="1" si="135"/>
        <v>-2.8707693593101134E-3</v>
      </c>
      <c r="G1179">
        <f t="shared" ca="1" si="132"/>
        <v>3.6072619447337522E-3</v>
      </c>
      <c r="H1179">
        <f t="shared" ca="1" si="136"/>
        <v>0.56372520377173863</v>
      </c>
      <c r="I1179">
        <f t="shared" ca="1" si="137"/>
        <v>2.7632870076821243</v>
      </c>
      <c r="J1179" s="57">
        <v>1174</v>
      </c>
    </row>
    <row r="1180" spans="2:10" x14ac:dyDescent="0.25">
      <c r="B1180" s="53">
        <v>41886</v>
      </c>
      <c r="C1180">
        <v>580.38916259999996</v>
      </c>
      <c r="D1180" s="54">
        <f t="shared" si="133"/>
        <v>6.9903308766554127E-3</v>
      </c>
      <c r="E1180" s="54">
        <f t="shared" ca="1" si="134"/>
        <v>1.50261490728687E-3</v>
      </c>
      <c r="F1180" s="64">
        <f t="shared" ca="1" si="135"/>
        <v>5.4877159693685427E-3</v>
      </c>
      <c r="G1180">
        <f t="shared" ca="1" si="132"/>
        <v>9.4989906346968963E-3</v>
      </c>
      <c r="H1180">
        <f t="shared" ca="1" si="136"/>
        <v>-0.31577990449211762</v>
      </c>
      <c r="I1180">
        <f t="shared" ca="1" si="137"/>
        <v>2.7579135693967713</v>
      </c>
      <c r="J1180" s="60">
        <v>1175</v>
      </c>
    </row>
    <row r="1181" spans="2:10" x14ac:dyDescent="0.25">
      <c r="B1181" s="53">
        <v>41887</v>
      </c>
      <c r="C1181">
        <v>584.47798769999997</v>
      </c>
      <c r="D1181" s="54">
        <f t="shared" si="133"/>
        <v>7.0449714837594185E-3</v>
      </c>
      <c r="E1181" s="54">
        <f t="shared" ca="1" si="134"/>
        <v>-6.2632738885036649E-4</v>
      </c>
      <c r="F1181" s="64">
        <f t="shared" ca="1" si="135"/>
        <v>7.6712988726097848E-3</v>
      </c>
      <c r="G1181">
        <f t="shared" ca="1" si="132"/>
        <v>5.7864392964450508E-3</v>
      </c>
      <c r="H1181">
        <f t="shared" ca="1" si="136"/>
        <v>-0.19027044275845376</v>
      </c>
      <c r="I1181">
        <f t="shared" ca="1" si="137"/>
        <v>2.7379129477976809</v>
      </c>
      <c r="J1181" s="57">
        <v>1176</v>
      </c>
    </row>
    <row r="1182" spans="2:10" x14ac:dyDescent="0.25">
      <c r="B1182" s="53">
        <v>41890</v>
      </c>
      <c r="C1182">
        <v>588.10800849999998</v>
      </c>
      <c r="D1182" s="54">
        <f t="shared" si="133"/>
        <v>6.2107057517848266E-3</v>
      </c>
      <c r="E1182" s="54">
        <f t="shared" ca="1" si="134"/>
        <v>3.6242776627549568E-3</v>
      </c>
      <c r="F1182" s="64">
        <f t="shared" ca="1" si="135"/>
        <v>2.5864280890298698E-3</v>
      </c>
      <c r="G1182">
        <f t="shared" ca="1" si="132"/>
        <v>3.5835417818069568E-3</v>
      </c>
      <c r="H1182">
        <f t="shared" ca="1" si="136"/>
        <v>0.13524570974384328</v>
      </c>
      <c r="I1182">
        <f t="shared" ca="1" si="137"/>
        <v>2.7725697277463026</v>
      </c>
      <c r="J1182" s="60">
        <v>1177</v>
      </c>
    </row>
    <row r="1183" spans="2:10" x14ac:dyDescent="0.25">
      <c r="B1183" s="53">
        <v>41891</v>
      </c>
      <c r="C1183">
        <v>579.42181240000002</v>
      </c>
      <c r="D1183" s="54">
        <f t="shared" si="133"/>
        <v>-1.4769729326003492E-2</v>
      </c>
      <c r="E1183" s="54">
        <f t="shared" ca="1" si="134"/>
        <v>-3.5204108508174285E-5</v>
      </c>
      <c r="F1183" s="64">
        <f t="shared" ca="1" si="135"/>
        <v>-1.4734525217495319E-2</v>
      </c>
      <c r="G1183">
        <f t="shared" ca="1" si="132"/>
        <v>2.6038633367755424E-3</v>
      </c>
      <c r="H1183">
        <f t="shared" ca="1" si="136"/>
        <v>-1.228693106937303</v>
      </c>
      <c r="I1183">
        <f t="shared" ca="1" si="137"/>
        <v>2.5770952550178028</v>
      </c>
      <c r="J1183" s="57">
        <v>1178</v>
      </c>
    </row>
    <row r="1184" spans="2:10" x14ac:dyDescent="0.25">
      <c r="B1184" s="53">
        <v>41892</v>
      </c>
      <c r="C1184">
        <v>581.50611100000003</v>
      </c>
      <c r="D1184" s="54">
        <f t="shared" si="133"/>
        <v>3.5972042394585057E-3</v>
      </c>
      <c r="E1184" s="54">
        <f t="shared" ca="1" si="134"/>
        <v>1.1209721684594651E-2</v>
      </c>
      <c r="F1184" s="64">
        <f t="shared" ca="1" si="135"/>
        <v>-7.612517445136145E-3</v>
      </c>
      <c r="G1184">
        <f t="shared" ca="1" si="132"/>
        <v>2.0542185082287064E-2</v>
      </c>
      <c r="H1184">
        <f t="shared" ca="1" si="136"/>
        <v>0.40991860608166791</v>
      </c>
      <c r="I1184">
        <f t="shared" ca="1" si="137"/>
        <v>2.7161517764637138</v>
      </c>
      <c r="J1184" s="60">
        <v>1179</v>
      </c>
    </row>
    <row r="1185" spans="2:10" x14ac:dyDescent="0.25">
      <c r="B1185" s="53">
        <v>41893</v>
      </c>
      <c r="C1185">
        <v>579.76092540000002</v>
      </c>
      <c r="D1185" s="54">
        <f t="shared" si="133"/>
        <v>-3.0011474806324319E-3</v>
      </c>
      <c r="E1185" s="54">
        <f t="shared" ca="1" si="134"/>
        <v>-1.1984081176731777E-2</v>
      </c>
      <c r="F1185" s="64">
        <f t="shared" ca="1" si="135"/>
        <v>8.9829336960993451E-3</v>
      </c>
      <c r="G1185">
        <f t="shared" ca="1" si="132"/>
        <v>8.3508090685613743E-3</v>
      </c>
      <c r="H1185">
        <f t="shared" ca="1" si="136"/>
        <v>-0.64074772527875301</v>
      </c>
      <c r="I1185">
        <f t="shared" ca="1" si="137"/>
        <v>2.7221953113238597</v>
      </c>
      <c r="J1185" s="57">
        <v>1180</v>
      </c>
    </row>
    <row r="1186" spans="2:10" x14ac:dyDescent="0.25">
      <c r="B1186" s="53">
        <v>41894</v>
      </c>
      <c r="C1186">
        <v>574.04654419999997</v>
      </c>
      <c r="D1186" s="54">
        <f t="shared" si="133"/>
        <v>-9.8564441818107529E-3</v>
      </c>
      <c r="E1186" s="54">
        <f t="shared" ca="1" si="134"/>
        <v>5.4543185469325024E-3</v>
      </c>
      <c r="F1186" s="64">
        <f t="shared" ca="1" si="135"/>
        <v>-1.5310762728743255E-2</v>
      </c>
      <c r="G1186">
        <f t="shared" ca="1" si="132"/>
        <v>1.0909722768030702E-2</v>
      </c>
      <c r="H1186">
        <f t="shared" ca="1" si="136"/>
        <v>0.35186905099406668</v>
      </c>
      <c r="I1186">
        <f t="shared" ca="1" si="137"/>
        <v>2.5622605259368036</v>
      </c>
      <c r="J1186" s="60">
        <v>1181</v>
      </c>
    </row>
    <row r="1187" spans="2:10" x14ac:dyDescent="0.25">
      <c r="B1187" s="53">
        <v>41897</v>
      </c>
      <c r="C1187">
        <v>571.5334709</v>
      </c>
      <c r="D1187" s="54">
        <f t="shared" si="133"/>
        <v>-4.3778214944264334E-3</v>
      </c>
      <c r="E1187" s="54">
        <f t="shared" ca="1" si="134"/>
        <v>3.4093563005972499E-3</v>
      </c>
      <c r="F1187" s="64">
        <f t="shared" ca="1" si="135"/>
        <v>-7.7871777950236833E-3</v>
      </c>
      <c r="G1187">
        <f t="shared" ca="1" si="132"/>
        <v>6.4568059245199167E-3</v>
      </c>
      <c r="H1187">
        <f t="shared" ca="1" si="136"/>
        <v>0.73680418130477776</v>
      </c>
      <c r="I1187">
        <f t="shared" ca="1" si="137"/>
        <v>2.7137218461554595</v>
      </c>
      <c r="J1187" s="57">
        <v>1182</v>
      </c>
    </row>
    <row r="1188" spans="2:10" x14ac:dyDescent="0.25">
      <c r="B1188" s="53">
        <v>41898</v>
      </c>
      <c r="C1188">
        <v>578.36473960000001</v>
      </c>
      <c r="D1188" s="54">
        <f t="shared" si="133"/>
        <v>1.1952526051086276E-2</v>
      </c>
      <c r="E1188" s="54">
        <f t="shared" ca="1" si="134"/>
        <v>-2.0483718236158653E-2</v>
      </c>
      <c r="F1188" s="64">
        <f t="shared" ca="1" si="135"/>
        <v>3.2436244287244925E-2</v>
      </c>
      <c r="G1188">
        <f t="shared" ca="1" si="132"/>
        <v>1.2427092129636811E-2</v>
      </c>
      <c r="H1188">
        <f t="shared" ca="1" si="136"/>
        <v>-1.2920895840210129</v>
      </c>
      <c r="I1188">
        <f t="shared" ca="1" si="137"/>
        <v>1.9719188528491527</v>
      </c>
      <c r="J1188" s="60">
        <v>1183</v>
      </c>
    </row>
    <row r="1189" spans="2:10" x14ac:dyDescent="0.25">
      <c r="B1189" s="53">
        <v>41899</v>
      </c>
      <c r="C1189">
        <v>583.1715246</v>
      </c>
      <c r="D1189" s="54">
        <f t="shared" si="133"/>
        <v>8.310992477384406E-3</v>
      </c>
      <c r="E1189" s="54">
        <f t="shared" ca="1" si="134"/>
        <v>2.0205590371938534E-2</v>
      </c>
      <c r="F1189" s="64">
        <f t="shared" ca="1" si="135"/>
        <v>-1.1894597894554128E-2</v>
      </c>
      <c r="G1189">
        <f t="shared" ca="1" si="132"/>
        <v>2.1775431974344114E-2</v>
      </c>
      <c r="H1189">
        <f t="shared" ca="1" si="136"/>
        <v>1.0181911306448421</v>
      </c>
      <c r="I1189">
        <f t="shared" ca="1" si="137"/>
        <v>2.6423689658412091</v>
      </c>
      <c r="J1189" s="57">
        <v>1184</v>
      </c>
    </row>
    <row r="1190" spans="2:10" x14ac:dyDescent="0.25">
      <c r="B1190" s="53">
        <v>41900</v>
      </c>
      <c r="C1190">
        <v>587.65927650000003</v>
      </c>
      <c r="D1190" s="54">
        <f t="shared" si="133"/>
        <v>7.6954235772712055E-3</v>
      </c>
      <c r="E1190" s="54">
        <f t="shared" ca="1" si="134"/>
        <v>-1.7467435219681839E-2</v>
      </c>
      <c r="F1190" s="64">
        <f t="shared" ca="1" si="135"/>
        <v>2.5162858796953045E-2</v>
      </c>
      <c r="G1190">
        <f t="shared" ca="1" si="132"/>
        <v>1.7733209895529407E-2</v>
      </c>
      <c r="H1190">
        <f t="shared" ca="1" si="136"/>
        <v>-1.287736254227172</v>
      </c>
      <c r="I1190">
        <f t="shared" ca="1" si="137"/>
        <v>2.2996690111264027</v>
      </c>
      <c r="J1190" s="60">
        <v>1185</v>
      </c>
    </row>
    <row r="1191" spans="2:10" x14ac:dyDescent="0.25">
      <c r="B1191" s="53">
        <v>41901</v>
      </c>
      <c r="C1191">
        <v>594.45062780000001</v>
      </c>
      <c r="D1191" s="54">
        <f t="shared" si="133"/>
        <v>1.1556613792346003E-2</v>
      </c>
      <c r="E1191" s="54">
        <f t="shared" ca="1" si="134"/>
        <v>4.9294014726876945E-3</v>
      </c>
      <c r="F1191" s="64">
        <f t="shared" ca="1" si="135"/>
        <v>6.6272123196583089E-3</v>
      </c>
      <c r="G1191">
        <f t="shared" ca="1" si="132"/>
        <v>2.189399561326219E-2</v>
      </c>
      <c r="H1191">
        <f t="shared" ca="1" si="136"/>
        <v>5.4655883630904359E-2</v>
      </c>
      <c r="I1191">
        <f t="shared" ca="1" si="137"/>
        <v>2.7484374586325169</v>
      </c>
      <c r="J1191" s="57">
        <v>1186</v>
      </c>
    </row>
    <row r="1192" spans="2:10" x14ac:dyDescent="0.25">
      <c r="B1192" s="53">
        <v>41904</v>
      </c>
      <c r="C1192">
        <v>585.76443180000001</v>
      </c>
      <c r="D1192" s="54">
        <f t="shared" si="133"/>
        <v>-1.461214034233037E-2</v>
      </c>
      <c r="E1192" s="54">
        <f t="shared" ca="1" si="134"/>
        <v>2.2842966368318658E-4</v>
      </c>
      <c r="F1192" s="64">
        <f t="shared" ca="1" si="135"/>
        <v>-1.4840570006013557E-2</v>
      </c>
      <c r="G1192">
        <f t="shared" ca="1" si="132"/>
        <v>5.170137616392078E-3</v>
      </c>
      <c r="H1192">
        <f t="shared" ca="1" si="136"/>
        <v>-0.62434283028454018</v>
      </c>
      <c r="I1192">
        <f t="shared" ca="1" si="137"/>
        <v>2.5744055068285734</v>
      </c>
      <c r="J1192" s="60">
        <v>1187</v>
      </c>
    </row>
    <row r="1193" spans="2:10" x14ac:dyDescent="0.25">
      <c r="B1193" s="53">
        <v>41905</v>
      </c>
      <c r="C1193">
        <v>579.54150279999999</v>
      </c>
      <c r="D1193" s="54">
        <f t="shared" si="133"/>
        <v>-1.0623603384175334E-2</v>
      </c>
      <c r="E1193" s="54">
        <f t="shared" ca="1" si="134"/>
        <v>5.3232792247474171E-3</v>
      </c>
      <c r="F1193" s="64">
        <f t="shared" ca="1" si="135"/>
        <v>-1.5946882608922752E-2</v>
      </c>
      <c r="G1193">
        <f t="shared" ca="1" si="132"/>
        <v>1.0536017794920997E-2</v>
      </c>
      <c r="H1193">
        <f t="shared" ca="1" si="136"/>
        <v>1.2644656721418835E-2</v>
      </c>
      <c r="I1193">
        <f t="shared" ca="1" si="137"/>
        <v>2.5452611410553807</v>
      </c>
      <c r="J1193" s="57">
        <v>1188</v>
      </c>
    </row>
    <row r="1194" spans="2:10" x14ac:dyDescent="0.25">
      <c r="B1194" s="53">
        <v>41906</v>
      </c>
      <c r="C1194">
        <v>586.38272019999999</v>
      </c>
      <c r="D1194" s="54">
        <f t="shared" si="133"/>
        <v>1.1804534044494329E-2</v>
      </c>
      <c r="E1194" s="54">
        <f t="shared" ca="1" si="134"/>
        <v>-4.1628930894069861E-3</v>
      </c>
      <c r="F1194" s="64">
        <f t="shared" ca="1" si="135"/>
        <v>1.5967427133901313E-2</v>
      </c>
      <c r="G1194">
        <f t="shared" ca="1" si="132"/>
        <v>2.6122466833332983E-3</v>
      </c>
      <c r="H1194">
        <f t="shared" ca="1" si="136"/>
        <v>0.91870912988935038</v>
      </c>
      <c r="I1194">
        <f t="shared" ca="1" si="137"/>
        <v>2.5916867421573251</v>
      </c>
      <c r="J1194" s="60">
        <v>1189</v>
      </c>
    </row>
    <row r="1195" spans="2:10" x14ac:dyDescent="0.25">
      <c r="B1195" s="53">
        <v>41907</v>
      </c>
      <c r="C1195">
        <v>573.48806950000005</v>
      </c>
      <c r="D1195" s="54">
        <f t="shared" si="133"/>
        <v>-2.1990161469290757E-2</v>
      </c>
      <c r="E1195" s="54">
        <f t="shared" ca="1" si="134"/>
        <v>-1.6356859935802236E-2</v>
      </c>
      <c r="F1195" s="64">
        <f t="shared" ca="1" si="135"/>
        <v>-5.633301533488521E-3</v>
      </c>
      <c r="G1195">
        <f t="shared" ca="1" si="132"/>
        <v>1.5379363183401331E-2</v>
      </c>
      <c r="H1195">
        <f t="shared" ca="1" si="136"/>
        <v>-0.75333355336706442</v>
      </c>
      <c r="I1195">
        <f t="shared" ca="1" si="137"/>
        <v>2.7402432984664506</v>
      </c>
      <c r="J1195" s="57">
        <v>1190</v>
      </c>
    </row>
    <row r="1196" spans="2:10" x14ac:dyDescent="0.25">
      <c r="B1196" s="53">
        <v>41908</v>
      </c>
      <c r="C1196">
        <v>575.52250300000003</v>
      </c>
      <c r="D1196" s="54">
        <f t="shared" si="133"/>
        <v>3.5474731004843984E-3</v>
      </c>
      <c r="E1196" s="54">
        <f t="shared" ca="1" si="134"/>
        <v>4.4513178693417034E-3</v>
      </c>
      <c r="F1196" s="64">
        <f t="shared" ca="1" si="135"/>
        <v>-9.0384476885730508E-4</v>
      </c>
      <c r="G1196">
        <f t="shared" ca="1" si="132"/>
        <v>1.3092287096534573E-2</v>
      </c>
      <c r="H1196">
        <f t="shared" ca="1" si="136"/>
        <v>-6.4920347580202944E-2</v>
      </c>
      <c r="I1196">
        <f t="shared" ca="1" si="137"/>
        <v>2.7721789000365749</v>
      </c>
      <c r="J1196" s="60">
        <v>1191</v>
      </c>
    </row>
    <row r="1197" spans="2:10" x14ac:dyDescent="0.25">
      <c r="B1197" s="53">
        <v>41911</v>
      </c>
      <c r="C1197">
        <v>574.7845231</v>
      </c>
      <c r="D1197" s="54">
        <f t="shared" si="133"/>
        <v>-1.282278097125991E-3</v>
      </c>
      <c r="E1197" s="54">
        <f t="shared" ca="1" si="134"/>
        <v>-7.1698993678327569E-3</v>
      </c>
      <c r="F1197" s="64">
        <f t="shared" ca="1" si="135"/>
        <v>5.887621270706766E-3</v>
      </c>
      <c r="G1197">
        <f t="shared" ca="1" si="132"/>
        <v>3.3299580667580661E-3</v>
      </c>
      <c r="H1197">
        <f t="shared" ca="1" si="136"/>
        <v>0.81270135716870529</v>
      </c>
      <c r="I1197">
        <f t="shared" ca="1" si="137"/>
        <v>2.7548268783573695</v>
      </c>
      <c r="J1197" s="57">
        <v>1192</v>
      </c>
    </row>
    <row r="1198" spans="2:10" x14ac:dyDescent="0.25">
      <c r="B1198" s="53">
        <v>41912</v>
      </c>
      <c r="C1198">
        <v>575.78178109999999</v>
      </c>
      <c r="D1198" s="54">
        <f t="shared" si="133"/>
        <v>1.735011921722337E-3</v>
      </c>
      <c r="E1198" s="54">
        <f t="shared" ca="1" si="134"/>
        <v>-1.9038242404049405E-2</v>
      </c>
      <c r="F1198" s="64">
        <f t="shared" ca="1" si="135"/>
        <v>2.0773254325771741E-2</v>
      </c>
      <c r="G1198">
        <f t="shared" ca="1" si="132"/>
        <v>1.3623857275911663E-2</v>
      </c>
      <c r="H1198">
        <f t="shared" ca="1" si="136"/>
        <v>-1.5143627173787118</v>
      </c>
      <c r="I1198">
        <f t="shared" ca="1" si="137"/>
        <v>2.4561115879576096</v>
      </c>
      <c r="J1198" s="60">
        <v>1193</v>
      </c>
    </row>
    <row r="1199" spans="2:10" x14ac:dyDescent="0.25">
      <c r="B1199" s="53">
        <v>41913</v>
      </c>
      <c r="C1199">
        <v>566.71667639999998</v>
      </c>
      <c r="D1199" s="54">
        <f t="shared" si="133"/>
        <v>-1.5743993640579618E-2</v>
      </c>
      <c r="E1199" s="54">
        <f t="shared" ca="1" si="134"/>
        <v>3.146758202469499E-2</v>
      </c>
      <c r="F1199" s="64">
        <f t="shared" ca="1" si="135"/>
        <v>-4.7211575665274605E-2</v>
      </c>
      <c r="G1199">
        <f t="shared" ca="1" si="132"/>
        <v>2.5486929380565848E-2</v>
      </c>
      <c r="H1199">
        <f t="shared" ca="1" si="136"/>
        <v>1.2572502721424457</v>
      </c>
      <c r="I1199">
        <f t="shared" ca="1" si="137"/>
        <v>0.90400804524183376</v>
      </c>
      <c r="J1199" s="57">
        <v>1194</v>
      </c>
    </row>
    <row r="1200" spans="2:10" x14ac:dyDescent="0.25">
      <c r="B1200" s="53">
        <v>41914</v>
      </c>
      <c r="C1200">
        <v>568.52167770000005</v>
      </c>
      <c r="D1200" s="54">
        <f t="shared" si="133"/>
        <v>3.1850153262934257E-3</v>
      </c>
      <c r="E1200" s="54">
        <f t="shared" ca="1" si="134"/>
        <v>-2.1363904695936728E-2</v>
      </c>
      <c r="F1200" s="64">
        <f t="shared" ca="1" si="135"/>
        <v>2.4548920022230154E-2</v>
      </c>
      <c r="G1200">
        <f t="shared" ca="1" si="132"/>
        <v>2.1797364922383992E-2</v>
      </c>
      <c r="H1200">
        <f t="shared" ca="1" si="136"/>
        <v>-1.0158504046069119</v>
      </c>
      <c r="I1200">
        <f t="shared" ca="1" si="137"/>
        <v>2.3234220557059073</v>
      </c>
      <c r="J1200" s="60">
        <v>1195</v>
      </c>
    </row>
    <row r="1201" spans="2:10" x14ac:dyDescent="0.25">
      <c r="B1201" s="53">
        <v>41915</v>
      </c>
      <c r="C1201">
        <v>573.70749209999997</v>
      </c>
      <c r="D1201" s="54">
        <f t="shared" si="133"/>
        <v>9.1215772474666935E-3</v>
      </c>
      <c r="E1201" s="54">
        <f t="shared" ca="1" si="134"/>
        <v>-1.912816708188678E-2</v>
      </c>
      <c r="F1201" s="64">
        <f t="shared" ca="1" si="135"/>
        <v>2.8249744329353475E-2</v>
      </c>
      <c r="G1201">
        <f t="shared" ca="1" si="132"/>
        <v>1.7697170511566045E-2</v>
      </c>
      <c r="H1201">
        <f t="shared" ca="1" si="136"/>
        <v>-0.68131112214400136</v>
      </c>
      <c r="I1201">
        <f t="shared" ca="1" si="137"/>
        <v>2.1710094716747421</v>
      </c>
      <c r="J1201" s="57">
        <v>1196</v>
      </c>
    </row>
    <row r="1202" spans="2:10" x14ac:dyDescent="0.25">
      <c r="B1202" s="53">
        <v>41918</v>
      </c>
      <c r="C1202">
        <v>575.77183239999999</v>
      </c>
      <c r="D1202" s="54">
        <f t="shared" si="133"/>
        <v>3.5982453226185195E-3</v>
      </c>
      <c r="E1202" s="54">
        <f t="shared" ca="1" si="134"/>
        <v>-3.8116463702326945E-3</v>
      </c>
      <c r="F1202" s="64">
        <f t="shared" ca="1" si="135"/>
        <v>7.4098916928512139E-3</v>
      </c>
      <c r="G1202">
        <f t="shared" ca="1" si="132"/>
        <v>1.2107832176451928E-2</v>
      </c>
      <c r="H1202">
        <f t="shared" ca="1" si="136"/>
        <v>-0.43296418913395918</v>
      </c>
      <c r="I1202">
        <f t="shared" ca="1" si="137"/>
        <v>2.7407132513739967</v>
      </c>
      <c r="J1202" s="60">
        <v>1197</v>
      </c>
    </row>
    <row r="1203" spans="2:10" x14ac:dyDescent="0.25">
      <c r="B1203" s="53">
        <v>41919</v>
      </c>
      <c r="C1203">
        <v>562.19901660000005</v>
      </c>
      <c r="D1203" s="54">
        <f t="shared" si="133"/>
        <v>-2.3573254258417147E-2</v>
      </c>
      <c r="E1203" s="54">
        <f t="shared" ca="1" si="134"/>
        <v>1.3363673611066124E-2</v>
      </c>
      <c r="F1203" s="64">
        <f t="shared" ca="1" si="135"/>
        <v>-3.6936927869483271E-2</v>
      </c>
      <c r="G1203">
        <f t="shared" ca="1" si="132"/>
        <v>7.800906650194046E-3</v>
      </c>
      <c r="H1203">
        <f t="shared" ca="1" si="136"/>
        <v>1.1879296835666862</v>
      </c>
      <c r="I1203">
        <f t="shared" ca="1" si="137"/>
        <v>1.6176105341376363</v>
      </c>
      <c r="J1203" s="57">
        <v>1198</v>
      </c>
    </row>
    <row r="1204" spans="2:10" x14ac:dyDescent="0.25">
      <c r="B1204" s="53">
        <v>41920</v>
      </c>
      <c r="C1204">
        <v>570.93507969999996</v>
      </c>
      <c r="D1204" s="54">
        <f t="shared" si="133"/>
        <v>1.5539093527471513E-2</v>
      </c>
      <c r="E1204" s="54">
        <f t="shared" ca="1" si="134"/>
        <v>1.3982662246370309E-2</v>
      </c>
      <c r="F1204" s="64">
        <f t="shared" ca="1" si="135"/>
        <v>1.5564312811012036E-3</v>
      </c>
      <c r="G1204">
        <f t="shared" ca="1" si="132"/>
        <v>1.9933449076375412E-2</v>
      </c>
      <c r="H1204">
        <f t="shared" ca="1" si="136"/>
        <v>0.6204156845417288</v>
      </c>
      <c r="I1204">
        <f t="shared" ca="1" si="137"/>
        <v>2.7745016089684862</v>
      </c>
      <c r="J1204" s="60">
        <v>1199</v>
      </c>
    </row>
    <row r="1205" spans="2:10" x14ac:dyDescent="0.25">
      <c r="B1205" s="53">
        <v>41921</v>
      </c>
      <c r="C1205">
        <v>559.34683129999996</v>
      </c>
      <c r="D1205" s="54">
        <f t="shared" si="133"/>
        <v>-2.0296963371192901E-2</v>
      </c>
      <c r="E1205" s="54">
        <f t="shared" ca="1" si="134"/>
        <v>-1.6909958900882184E-2</v>
      </c>
      <c r="F1205" s="64">
        <f t="shared" ca="1" si="135"/>
        <v>-3.3870044703107165E-3</v>
      </c>
      <c r="G1205">
        <f t="shared" ca="1" si="132"/>
        <v>1.1352640958416991E-2</v>
      </c>
      <c r="H1205">
        <f t="shared" ca="1" si="136"/>
        <v>-0.55696344973186207</v>
      </c>
      <c r="I1205">
        <f t="shared" ca="1" si="137"/>
        <v>2.759917649339565</v>
      </c>
      <c r="J1205" s="57">
        <v>1200</v>
      </c>
    </row>
    <row r="1206" spans="2:10" x14ac:dyDescent="0.25">
      <c r="B1206" s="53">
        <v>41922</v>
      </c>
      <c r="C1206">
        <v>543.00166490000004</v>
      </c>
      <c r="D1206" s="54">
        <f t="shared" si="133"/>
        <v>-2.9221880746175825E-2</v>
      </c>
      <c r="E1206" s="54">
        <f t="shared" ca="1" si="134"/>
        <v>5.7221109250966398E-3</v>
      </c>
      <c r="F1206" s="64">
        <f t="shared" ca="1" si="135"/>
        <v>-3.4943991671272462E-2</v>
      </c>
      <c r="G1206">
        <f t="shared" ca="1" si="132"/>
        <v>9.7022598425506503E-3</v>
      </c>
      <c r="H1206">
        <f t="shared" ca="1" si="136"/>
        <v>-0.12950152173291077</v>
      </c>
      <c r="I1206">
        <f t="shared" ca="1" si="137"/>
        <v>1.7362740870332503</v>
      </c>
      <c r="J1206" s="60">
        <v>1201</v>
      </c>
    </row>
    <row r="1207" spans="2:10" x14ac:dyDescent="0.25">
      <c r="B1207" s="53">
        <v>41925</v>
      </c>
      <c r="C1207">
        <v>531.75246760000005</v>
      </c>
      <c r="D1207" s="54">
        <f t="shared" si="133"/>
        <v>-2.0716690255584501E-2</v>
      </c>
      <c r="E1207" s="54">
        <f t="shared" ca="1" si="134"/>
        <v>-1.2084979240477699E-2</v>
      </c>
      <c r="F1207" s="64">
        <f t="shared" ca="1" si="135"/>
        <v>-8.6317110151068015E-3</v>
      </c>
      <c r="G1207">
        <f t="shared" ca="1" si="132"/>
        <v>3.2520601897146314E-3</v>
      </c>
      <c r="H1207">
        <f t="shared" ca="1" si="136"/>
        <v>-0.91286836877896593</v>
      </c>
      <c r="I1207">
        <f t="shared" ca="1" si="137"/>
        <v>2.7012770591381083</v>
      </c>
      <c r="J1207" s="57">
        <v>1202</v>
      </c>
    </row>
    <row r="1208" spans="2:10" x14ac:dyDescent="0.25">
      <c r="B1208" s="53">
        <v>41926</v>
      </c>
      <c r="C1208">
        <v>536.4695309</v>
      </c>
      <c r="D1208" s="54">
        <f t="shared" si="133"/>
        <v>8.8707877958514036E-3</v>
      </c>
      <c r="E1208" s="54">
        <f t="shared" ca="1" si="134"/>
        <v>-1.8367021335207567E-2</v>
      </c>
      <c r="F1208" s="64">
        <f t="shared" ca="1" si="135"/>
        <v>2.7237809131058971E-2</v>
      </c>
      <c r="G1208">
        <f t="shared" ca="1" si="132"/>
        <v>1.5288527088093355E-2</v>
      </c>
      <c r="H1208">
        <f t="shared" ca="1" si="136"/>
        <v>-0.34290630969652913</v>
      </c>
      <c r="I1208">
        <f t="shared" ca="1" si="137"/>
        <v>2.2148826313950609</v>
      </c>
      <c r="J1208" s="60">
        <v>1203</v>
      </c>
    </row>
    <row r="1209" spans="2:10" x14ac:dyDescent="0.25">
      <c r="B1209" s="53">
        <v>41927</v>
      </c>
      <c r="C1209">
        <v>528.58118930000001</v>
      </c>
      <c r="D1209" s="54">
        <f t="shared" si="133"/>
        <v>-1.4704174506921637E-2</v>
      </c>
      <c r="E1209" s="54">
        <f t="shared" ca="1" si="134"/>
        <v>-6.7724016955339524E-3</v>
      </c>
      <c r="F1209" s="64">
        <f t="shared" ca="1" si="135"/>
        <v>-7.9317728113876846E-3</v>
      </c>
      <c r="G1209">
        <f t="shared" ca="1" si="132"/>
        <v>6.7756799202448028E-3</v>
      </c>
      <c r="H1209">
        <f t="shared" ca="1" si="136"/>
        <v>0.37364898805973579</v>
      </c>
      <c r="I1209">
        <f t="shared" ca="1" si="137"/>
        <v>2.7116729006161062</v>
      </c>
      <c r="J1209" s="57">
        <v>1204</v>
      </c>
    </row>
    <row r="1210" spans="2:10" x14ac:dyDescent="0.25">
      <c r="B1210" s="53">
        <v>41928</v>
      </c>
      <c r="C1210">
        <v>523.07628109999996</v>
      </c>
      <c r="D1210" s="54">
        <f t="shared" si="133"/>
        <v>-1.0414498872519839E-2</v>
      </c>
      <c r="E1210" s="54">
        <f t="shared" ca="1" si="134"/>
        <v>5.9677719862240557E-3</v>
      </c>
      <c r="F1210" s="64">
        <f t="shared" ca="1" si="135"/>
        <v>-1.6382270858743893E-2</v>
      </c>
      <c r="G1210">
        <f t="shared" ca="1" si="132"/>
        <v>6.5036863654565832E-3</v>
      </c>
      <c r="H1210">
        <f t="shared" ca="1" si="136"/>
        <v>0.30505421265298754</v>
      </c>
      <c r="I1210">
        <f t="shared" ca="1" si="137"/>
        <v>2.5332491276388596</v>
      </c>
      <c r="J1210" s="60">
        <v>1205</v>
      </c>
    </row>
    <row r="1211" spans="2:10" x14ac:dyDescent="0.25">
      <c r="B1211" s="53">
        <v>41929</v>
      </c>
      <c r="C1211">
        <v>509.77272399999998</v>
      </c>
      <c r="D1211" s="54">
        <f t="shared" si="133"/>
        <v>-2.5433302140986675E-2</v>
      </c>
      <c r="E1211" s="54">
        <f t="shared" ca="1" si="134"/>
        <v>-4.1552199948680689E-3</v>
      </c>
      <c r="F1211" s="64">
        <f t="shared" ca="1" si="135"/>
        <v>-2.1278082146118607E-2</v>
      </c>
      <c r="G1211">
        <f t="shared" ca="1" si="132"/>
        <v>5.3981189764044837E-3</v>
      </c>
      <c r="H1211">
        <f t="shared" ca="1" si="136"/>
        <v>0.45365779556938646</v>
      </c>
      <c r="I1211">
        <f t="shared" ca="1" si="137"/>
        <v>2.3770916389097185</v>
      </c>
      <c r="J1211" s="57">
        <v>1206</v>
      </c>
    </row>
    <row r="1212" spans="2:10" x14ac:dyDescent="0.25">
      <c r="B1212" s="53">
        <v>41932</v>
      </c>
      <c r="C1212">
        <v>519.41629160000002</v>
      </c>
      <c r="D1212" s="54">
        <f t="shared" si="133"/>
        <v>1.8917386407673001E-2</v>
      </c>
      <c r="E1212" s="54">
        <f t="shared" ca="1" si="134"/>
        <v>-6.155217077565933E-3</v>
      </c>
      <c r="F1212" s="64">
        <f t="shared" ca="1" si="135"/>
        <v>2.5072603485238935E-2</v>
      </c>
      <c r="G1212">
        <f t="shared" ca="1" si="132"/>
        <v>7.7375128027818221E-3</v>
      </c>
      <c r="H1212">
        <f t="shared" ca="1" si="136"/>
        <v>-0.19094233274085473</v>
      </c>
      <c r="I1212">
        <f t="shared" ca="1" si="137"/>
        <v>2.3031991372551106</v>
      </c>
      <c r="J1212" s="60">
        <v>1207</v>
      </c>
    </row>
    <row r="1213" spans="2:10" x14ac:dyDescent="0.25">
      <c r="B1213" s="53">
        <v>41933</v>
      </c>
      <c r="C1213">
        <v>525.10070499999995</v>
      </c>
      <c r="D1213" s="54">
        <f t="shared" si="133"/>
        <v>1.0943848877919804E-2</v>
      </c>
      <c r="E1213" s="54">
        <f t="shared" ca="1" si="134"/>
        <v>-1.8342184137088886E-3</v>
      </c>
      <c r="F1213" s="64">
        <f t="shared" ca="1" si="135"/>
        <v>1.2778067291628692E-2</v>
      </c>
      <c r="G1213">
        <f t="shared" ca="1" si="132"/>
        <v>3.7792482009522958E-3</v>
      </c>
      <c r="H1213">
        <f t="shared" ca="1" si="136"/>
        <v>2.5370286479427779</v>
      </c>
      <c r="I1213">
        <f t="shared" ca="1" si="137"/>
        <v>2.6610599956983627</v>
      </c>
      <c r="J1213" s="57">
        <v>1208</v>
      </c>
    </row>
    <row r="1214" spans="2:10" x14ac:dyDescent="0.25">
      <c r="B1214" s="53">
        <v>41934</v>
      </c>
      <c r="C1214">
        <v>531.25386949999995</v>
      </c>
      <c r="D1214" s="54">
        <f t="shared" si="133"/>
        <v>1.1718065585152858E-2</v>
      </c>
      <c r="E1214" s="54">
        <f t="shared" ca="1" si="134"/>
        <v>2.4551372858135533E-2</v>
      </c>
      <c r="F1214" s="64">
        <f t="shared" ca="1" si="135"/>
        <v>-1.2833307272982675E-2</v>
      </c>
      <c r="G1214">
        <f t="shared" ca="1" si="132"/>
        <v>4.2367775640460258E-2</v>
      </c>
      <c r="H1214">
        <f t="shared" ca="1" si="136"/>
        <v>0.37894382923138287</v>
      </c>
      <c r="I1214">
        <f t="shared" ca="1" si="137"/>
        <v>2.6222352049352486</v>
      </c>
      <c r="J1214" s="60">
        <v>1209</v>
      </c>
    </row>
    <row r="1215" spans="2:10" x14ac:dyDescent="0.25">
      <c r="B1215" s="53">
        <v>41935</v>
      </c>
      <c r="C1215">
        <v>542.49305630000003</v>
      </c>
      <c r="D1215" s="54">
        <f t="shared" si="133"/>
        <v>2.1155962234360882E-2</v>
      </c>
      <c r="E1215" s="54">
        <f t="shared" ca="1" si="134"/>
        <v>3.2572485048483139E-2</v>
      </c>
      <c r="F1215" s="64">
        <f t="shared" ca="1" si="135"/>
        <v>-1.1416522814122258E-2</v>
      </c>
      <c r="G1215">
        <f t="shared" ca="1" si="132"/>
        <v>1.1584327342110123E-2</v>
      </c>
      <c r="H1215">
        <f t="shared" ca="1" si="136"/>
        <v>2.3874654582898769</v>
      </c>
      <c r="I1215">
        <f t="shared" ca="1" si="137"/>
        <v>2.6520756869595212</v>
      </c>
      <c r="J1215" s="57">
        <v>1210</v>
      </c>
    </row>
    <row r="1216" spans="2:10" x14ac:dyDescent="0.25">
      <c r="B1216" s="53">
        <v>41936</v>
      </c>
      <c r="C1216">
        <v>538.30449999999996</v>
      </c>
      <c r="D1216" s="54">
        <f t="shared" si="133"/>
        <v>-7.7209399297523736E-3</v>
      </c>
      <c r="E1216" s="54">
        <f t="shared" ca="1" si="134"/>
        <v>4.3762846678920095E-2</v>
      </c>
      <c r="F1216" s="64">
        <f t="shared" ca="1" si="135"/>
        <v>-5.148378660867247E-2</v>
      </c>
      <c r="G1216">
        <f t="shared" ca="1" si="132"/>
        <v>3.9950604032999423E-2</v>
      </c>
      <c r="H1216">
        <f t="shared" ca="1" si="136"/>
        <v>0.96368165317785215</v>
      </c>
      <c r="I1216">
        <f t="shared" ca="1" si="137"/>
        <v>0.55708407617675926</v>
      </c>
      <c r="J1216" s="60">
        <v>1211</v>
      </c>
    </row>
    <row r="1217" spans="2:10" x14ac:dyDescent="0.25">
      <c r="B1217" s="53">
        <v>41939</v>
      </c>
      <c r="C1217">
        <v>539.29180929999995</v>
      </c>
      <c r="D1217" s="54">
        <f t="shared" si="133"/>
        <v>1.8341093191678551E-3</v>
      </c>
      <c r="E1217" s="54">
        <f t="shared" ca="1" si="134"/>
        <v>4.5738602706856231E-3</v>
      </c>
      <c r="F1217" s="64">
        <f t="shared" ca="1" si="135"/>
        <v>-2.7397509515177682E-3</v>
      </c>
      <c r="G1217">
        <f t="shared" ca="1" si="132"/>
        <v>1.8509455646106683E-2</v>
      </c>
      <c r="H1217">
        <f t="shared" ca="1" si="136"/>
        <v>-0.26621923000479586</v>
      </c>
      <c r="I1217">
        <f t="shared" ca="1" si="137"/>
        <v>2.76407362786584</v>
      </c>
      <c r="J1217" s="57">
        <v>1212</v>
      </c>
    </row>
    <row r="1218" spans="2:10" x14ac:dyDescent="0.25">
      <c r="B1218" s="53">
        <v>41940</v>
      </c>
      <c r="C1218">
        <v>547.39957249999998</v>
      </c>
      <c r="D1218" s="54">
        <f t="shared" si="133"/>
        <v>1.5034092971899365E-2</v>
      </c>
      <c r="E1218" s="54">
        <f t="shared" ca="1" si="134"/>
        <v>-6.2049618689501256E-3</v>
      </c>
      <c r="F1218" s="64">
        <f t="shared" ca="1" si="135"/>
        <v>2.1239054840849491E-2</v>
      </c>
      <c r="G1218">
        <f t="shared" ca="1" si="132"/>
        <v>6.2085345741529109E-3</v>
      </c>
      <c r="H1218">
        <f t="shared" ca="1" si="136"/>
        <v>-0.44090351497903896</v>
      </c>
      <c r="I1218">
        <f t="shared" ca="1" si="137"/>
        <v>2.4409873288381649</v>
      </c>
      <c r="J1218" s="60">
        <v>1213</v>
      </c>
    </row>
    <row r="1219" spans="2:10" x14ac:dyDescent="0.25">
      <c r="B1219" s="53">
        <v>41941</v>
      </c>
      <c r="C1219">
        <v>547.82840710000005</v>
      </c>
      <c r="D1219" s="54">
        <f t="shared" si="133"/>
        <v>7.8340324242776591E-4</v>
      </c>
      <c r="E1219" s="54">
        <f t="shared" ca="1" si="134"/>
        <v>6.8949381641898412E-3</v>
      </c>
      <c r="F1219" s="64">
        <f t="shared" ca="1" si="135"/>
        <v>-6.1115349217620756E-3</v>
      </c>
      <c r="G1219">
        <f t="shared" ca="1" si="132"/>
        <v>7.5616501557704569E-3</v>
      </c>
      <c r="H1219">
        <f t="shared" ca="1" si="136"/>
        <v>0.80285965629125056</v>
      </c>
      <c r="I1219">
        <f t="shared" ca="1" si="137"/>
        <v>2.7350020280415781</v>
      </c>
      <c r="J1219" s="57">
        <v>1214</v>
      </c>
    </row>
    <row r="1220" spans="2:10" x14ac:dyDescent="0.25">
      <c r="B1220" s="53">
        <v>41942</v>
      </c>
      <c r="C1220">
        <v>548.80576780000001</v>
      </c>
      <c r="D1220" s="54">
        <f t="shared" si="133"/>
        <v>1.7840635632126985E-3</v>
      </c>
      <c r="E1220" s="54">
        <f t="shared" ca="1" si="134"/>
        <v>1.8572654362538233E-2</v>
      </c>
      <c r="F1220" s="64">
        <f t="shared" ca="1" si="135"/>
        <v>-1.6788590799325535E-2</v>
      </c>
      <c r="G1220">
        <f t="shared" ca="1" si="132"/>
        <v>1.3548872806999353E-2</v>
      </c>
      <c r="H1220">
        <f t="shared" ca="1" si="136"/>
        <v>0.87243631022832657</v>
      </c>
      <c r="I1220">
        <f t="shared" ca="1" si="137"/>
        <v>2.5217627901677759</v>
      </c>
      <c r="J1220" s="60">
        <v>1215</v>
      </c>
    </row>
    <row r="1221" spans="2:10" x14ac:dyDescent="0.25">
      <c r="B1221" s="53">
        <v>41943</v>
      </c>
      <c r="C1221">
        <v>557.55177960000003</v>
      </c>
      <c r="D1221" s="54">
        <f t="shared" si="133"/>
        <v>1.5936442933280736E-2</v>
      </c>
      <c r="E1221" s="54">
        <f t="shared" ca="1" si="134"/>
        <v>-1.4373484783069119E-2</v>
      </c>
      <c r="F1221" s="64">
        <f t="shared" ca="1" si="135"/>
        <v>3.0309927716349855E-2</v>
      </c>
      <c r="G1221">
        <f t="shared" ref="G1221:G1284" ca="1" si="138">SQRT(A_0+A_1*POWER(H1220,2)+B_1*POWER(G1220,2))</f>
        <v>1.4920036776349069E-2</v>
      </c>
      <c r="H1221">
        <f t="shared" ca="1" si="136"/>
        <v>-0.98695183101025563</v>
      </c>
      <c r="I1221">
        <f t="shared" ca="1" si="137"/>
        <v>2.0765756346149051</v>
      </c>
      <c r="J1221" s="57">
        <v>1216</v>
      </c>
    </row>
    <row r="1222" spans="2:10" x14ac:dyDescent="0.25">
      <c r="B1222" s="53">
        <v>41946</v>
      </c>
      <c r="C1222">
        <v>553.70233519999999</v>
      </c>
      <c r="D1222" s="54">
        <f t="shared" si="133"/>
        <v>-6.9041917555383199E-3</v>
      </c>
      <c r="E1222" s="54">
        <f t="shared" ca="1" si="134"/>
        <v>-8.0108589720636562E-3</v>
      </c>
      <c r="F1222" s="64">
        <f t="shared" ca="1" si="135"/>
        <v>1.1066672165253363E-3</v>
      </c>
      <c r="G1222">
        <f t="shared" ca="1" si="138"/>
        <v>1.6851038244513113E-2</v>
      </c>
      <c r="H1222">
        <f t="shared" ca="1" si="136"/>
        <v>-0.52295841731625037</v>
      </c>
      <c r="I1222">
        <f t="shared" ca="1" si="137"/>
        <v>2.7748075192338431</v>
      </c>
      <c r="J1222" s="60">
        <v>1217</v>
      </c>
    </row>
    <row r="1223" spans="2:10" x14ac:dyDescent="0.25">
      <c r="B1223" s="53">
        <v>41947</v>
      </c>
      <c r="C1223">
        <v>552.59533550000003</v>
      </c>
      <c r="D1223" s="54">
        <f t="shared" ref="D1223:D1286" si="139">(C1223-C1222)/C1222</f>
        <v>-1.9992686135233773E-3</v>
      </c>
      <c r="E1223" s="54">
        <f t="shared" ca="1" si="134"/>
        <v>1.6614238445916005E-2</v>
      </c>
      <c r="F1223" s="64">
        <f t="shared" ca="1" si="135"/>
        <v>-1.8613507059439382E-2</v>
      </c>
      <c r="G1223">
        <f t="shared" ca="1" si="138"/>
        <v>9.5891485029411284E-3</v>
      </c>
      <c r="H1223">
        <f t="shared" ca="1" si="136"/>
        <v>0.98621704770409668</v>
      </c>
      <c r="I1223">
        <f t="shared" ca="1" si="137"/>
        <v>2.4668843573187575</v>
      </c>
      <c r="J1223" s="57">
        <v>1218</v>
      </c>
    </row>
    <row r="1224" spans="2:10" x14ac:dyDescent="0.25">
      <c r="B1224" s="53">
        <v>41948</v>
      </c>
      <c r="C1224">
        <v>544.42775759999995</v>
      </c>
      <c r="D1224" s="54">
        <f t="shared" si="139"/>
        <v>-1.4780396024533729E-2</v>
      </c>
      <c r="E1224" s="54">
        <f t="shared" ref="E1224:E1287" ca="1" si="140">((E_1*D1223)+(E_2*D1222)+(G1224*H1224))</f>
        <v>-4.1799150905571424E-2</v>
      </c>
      <c r="F1224" s="64">
        <f t="shared" ca="1" si="135"/>
        <v>2.7018754881037693E-2</v>
      </c>
      <c r="G1224">
        <f t="shared" ca="1" si="138"/>
        <v>1.6636460757203417E-2</v>
      </c>
      <c r="H1224">
        <f t="shared" ca="1" si="136"/>
        <v>-2.3261140827232092</v>
      </c>
      <c r="I1224">
        <f t="shared" ca="1" si="137"/>
        <v>2.2241620356938738</v>
      </c>
      <c r="J1224" s="60">
        <v>1219</v>
      </c>
    </row>
    <row r="1225" spans="2:10" x14ac:dyDescent="0.25">
      <c r="B1225" s="53">
        <v>41949</v>
      </c>
      <c r="C1225">
        <v>540.55835500000001</v>
      </c>
      <c r="D1225" s="54">
        <f t="shared" si="139"/>
        <v>-7.1072838333178043E-3</v>
      </c>
      <c r="E1225" s="54">
        <f t="shared" ca="1" si="140"/>
        <v>-3.2506577387818258E-2</v>
      </c>
      <c r="F1225" s="64">
        <f t="shared" ref="F1225:F1288" ca="1" si="141">D1225-E1225</f>
        <v>2.5399293554500456E-2</v>
      </c>
      <c r="G1225">
        <f t="shared" ca="1" si="138"/>
        <v>3.9024118065095391E-2</v>
      </c>
      <c r="H1225">
        <f t="shared" ref="H1225:H1288" ca="1" si="142">_xlfn.NORM.INV(RAND(),0,1)</f>
        <v>-0.80997118348889285</v>
      </c>
      <c r="I1225">
        <f t="shared" ref="I1225:I1288" ca="1" si="143">LN(_xlfn.NORM.DIST(F1225,AVERAGE($F$8:$F$1413),_xlfn.STDEV.S($F$8:$F$1413),FALSE))</f>
        <v>2.2903590157615046</v>
      </c>
      <c r="J1225" s="57">
        <v>1220</v>
      </c>
    </row>
    <row r="1226" spans="2:10" x14ac:dyDescent="0.25">
      <c r="B1226" s="53">
        <v>41950</v>
      </c>
      <c r="C1226">
        <v>539.5311901</v>
      </c>
      <c r="D1226" s="54">
        <f t="shared" si="139"/>
        <v>-1.9001924408327802E-3</v>
      </c>
      <c r="E1226" s="54">
        <f t="shared" ca="1" si="140"/>
        <v>3.7634627248082858E-3</v>
      </c>
      <c r="F1226" s="64">
        <f t="shared" ca="1" si="141"/>
        <v>-5.663655165641066E-3</v>
      </c>
      <c r="G1226">
        <f t="shared" ca="1" si="138"/>
        <v>1.6212502765132024E-2</v>
      </c>
      <c r="H1226">
        <f t="shared" ca="1" si="142"/>
        <v>0.64158860854316058</v>
      </c>
      <c r="I1226">
        <f t="shared" ca="1" si="143"/>
        <v>2.7399216161674529</v>
      </c>
      <c r="J1226" s="60">
        <v>1221</v>
      </c>
    </row>
    <row r="1227" spans="2:10" x14ac:dyDescent="0.25">
      <c r="B1227" s="53">
        <v>41953</v>
      </c>
      <c r="C1227">
        <v>545.99343799999997</v>
      </c>
      <c r="D1227" s="54">
        <f t="shared" si="139"/>
        <v>1.1977524225804653E-2</v>
      </c>
      <c r="E1227" s="54">
        <f t="shared" ca="1" si="140"/>
        <v>8.2783693910822194E-3</v>
      </c>
      <c r="F1227" s="64">
        <f t="shared" ca="1" si="141"/>
        <v>3.6991548347224332E-3</v>
      </c>
      <c r="G1227">
        <f t="shared" ca="1" si="138"/>
        <v>1.1373032224058081E-2</v>
      </c>
      <c r="H1227">
        <f t="shared" ca="1" si="142"/>
        <v>1.0085635412776894</v>
      </c>
      <c r="I1227">
        <f t="shared" ca="1" si="143"/>
        <v>2.7685564885543101</v>
      </c>
      <c r="J1227" s="57">
        <v>1222</v>
      </c>
    </row>
    <row r="1228" spans="2:10" x14ac:dyDescent="0.25">
      <c r="B1228" s="53">
        <v>41954</v>
      </c>
      <c r="C1228">
        <v>548.78580959999999</v>
      </c>
      <c r="D1228" s="54">
        <f t="shared" si="139"/>
        <v>5.1142951648441319E-3</v>
      </c>
      <c r="E1228" s="54">
        <f t="shared" ca="1" si="140"/>
        <v>-7.0065821252788011E-3</v>
      </c>
      <c r="F1228" s="64">
        <f t="shared" ca="1" si="141"/>
        <v>1.2120877290122933E-2</v>
      </c>
      <c r="G1228">
        <f t="shared" ca="1" si="138"/>
        <v>1.7062594820025551E-2</v>
      </c>
      <c r="H1228">
        <f t="shared" ca="1" si="142"/>
        <v>-0.36063530322140086</v>
      </c>
      <c r="I1228">
        <f t="shared" ca="1" si="143"/>
        <v>2.6733126039704525</v>
      </c>
      <c r="J1228" s="60">
        <v>1223</v>
      </c>
    </row>
    <row r="1229" spans="2:10" x14ac:dyDescent="0.25">
      <c r="B1229" s="53">
        <v>41955</v>
      </c>
      <c r="C1229">
        <v>545.81393279999998</v>
      </c>
      <c r="D1229" s="54">
        <f t="shared" si="139"/>
        <v>-5.4153674311771382E-3</v>
      </c>
      <c r="E1229" s="54">
        <f t="shared" ca="1" si="140"/>
        <v>1.5366145032113997E-2</v>
      </c>
      <c r="F1229" s="64">
        <f t="shared" ca="1" si="141"/>
        <v>-2.0781512463291137E-2</v>
      </c>
      <c r="G1229">
        <f t="shared" ca="1" si="138"/>
        <v>7.2362941930753802E-3</v>
      </c>
      <c r="H1229">
        <f t="shared" ca="1" si="142"/>
        <v>1.3800863547420879</v>
      </c>
      <c r="I1229">
        <f t="shared" ca="1" si="143"/>
        <v>2.3946951223378297</v>
      </c>
      <c r="J1229" s="57">
        <v>1224</v>
      </c>
    </row>
    <row r="1230" spans="2:10" x14ac:dyDescent="0.25">
      <c r="B1230" s="53">
        <v>41956</v>
      </c>
      <c r="C1230">
        <v>543.88924210000005</v>
      </c>
      <c r="D1230" s="54">
        <f t="shared" si="139"/>
        <v>-3.5262762350648596E-3</v>
      </c>
      <c r="E1230" s="54">
        <f t="shared" ca="1" si="140"/>
        <v>6.518220791053287E-3</v>
      </c>
      <c r="F1230" s="64">
        <f t="shared" ca="1" si="141"/>
        <v>-1.0044497026118147E-2</v>
      </c>
      <c r="G1230">
        <f t="shared" ca="1" si="138"/>
        <v>2.3116755995746412E-2</v>
      </c>
      <c r="H1230">
        <f t="shared" ca="1" si="142"/>
        <v>0.18261133732677162</v>
      </c>
      <c r="I1230">
        <f t="shared" ca="1" si="143"/>
        <v>2.6778822695663216</v>
      </c>
      <c r="J1230" s="60">
        <v>1225</v>
      </c>
    </row>
    <row r="1231" spans="2:10" x14ac:dyDescent="0.25">
      <c r="B1231" s="53">
        <v>41957</v>
      </c>
      <c r="C1231">
        <v>542.91188139999997</v>
      </c>
      <c r="D1231" s="54">
        <f t="shared" si="139"/>
        <v>-1.7969847982769588E-3</v>
      </c>
      <c r="E1231" s="54">
        <f t="shared" ca="1" si="140"/>
        <v>-7.6332394645806222E-3</v>
      </c>
      <c r="F1231" s="64">
        <f t="shared" ca="1" si="141"/>
        <v>5.8362546663036632E-3</v>
      </c>
      <c r="G1231">
        <f t="shared" ca="1" si="138"/>
        <v>6.1681046263528227E-3</v>
      </c>
      <c r="H1231">
        <f t="shared" ca="1" si="142"/>
        <v>-0.84321343998659848</v>
      </c>
      <c r="I1231">
        <f t="shared" ca="1" si="143"/>
        <v>2.755237817898768</v>
      </c>
      <c r="J1231" s="57">
        <v>1226</v>
      </c>
    </row>
    <row r="1232" spans="2:10" x14ac:dyDescent="0.25">
      <c r="B1232" s="53">
        <v>41960</v>
      </c>
      <c r="C1232">
        <v>535.04343719999997</v>
      </c>
      <c r="D1232" s="54">
        <f t="shared" si="139"/>
        <v>-1.4493041080091565E-2</v>
      </c>
      <c r="E1232" s="54">
        <f t="shared" ca="1" si="140"/>
        <v>1.2531564820889666E-2</v>
      </c>
      <c r="F1232" s="64">
        <f t="shared" ca="1" si="141"/>
        <v>-2.7024605900981231E-2</v>
      </c>
      <c r="G1232">
        <f t="shared" ca="1" si="138"/>
        <v>1.4180462502700733E-2</v>
      </c>
      <c r="H1232">
        <f t="shared" ca="1" si="142"/>
        <v>0.99540597277970744</v>
      </c>
      <c r="I1232">
        <f t="shared" ca="1" si="143"/>
        <v>2.1443929682458296</v>
      </c>
      <c r="J1232" s="60">
        <v>1227</v>
      </c>
    </row>
    <row r="1233" spans="2:10" x14ac:dyDescent="0.25">
      <c r="B1233" s="53">
        <v>41961</v>
      </c>
      <c r="C1233">
        <v>533.56753930000002</v>
      </c>
      <c r="D1233" s="54">
        <f t="shared" si="139"/>
        <v>-2.7584637010476167E-3</v>
      </c>
      <c r="E1233" s="54">
        <f t="shared" ca="1" si="140"/>
        <v>-1.4160850307761768E-2</v>
      </c>
      <c r="F1233" s="64">
        <f t="shared" ca="1" si="141"/>
        <v>1.1402386606714152E-2</v>
      </c>
      <c r="G1233">
        <f t="shared" ca="1" si="138"/>
        <v>1.6956108870269639E-2</v>
      </c>
      <c r="H1233">
        <f t="shared" ca="1" si="142"/>
        <v>-0.78753555906462058</v>
      </c>
      <c r="I1233">
        <f t="shared" ca="1" si="143"/>
        <v>2.6859095837064793</v>
      </c>
      <c r="J1233" s="57">
        <v>1228</v>
      </c>
    </row>
    <row r="1234" spans="2:10" x14ac:dyDescent="0.25">
      <c r="B1234" s="53">
        <v>41962</v>
      </c>
      <c r="C1234">
        <v>535.52213900000004</v>
      </c>
      <c r="D1234" s="54">
        <f t="shared" si="139"/>
        <v>3.6632657649382176E-3</v>
      </c>
      <c r="E1234" s="54">
        <f t="shared" ca="1" si="140"/>
        <v>2.6963964457169236E-4</v>
      </c>
      <c r="F1234" s="64">
        <f t="shared" ca="1" si="141"/>
        <v>3.3936261203665252E-3</v>
      </c>
      <c r="G1234">
        <f t="shared" ca="1" si="138"/>
        <v>1.3738168512062669E-2</v>
      </c>
      <c r="H1234">
        <f t="shared" ca="1" si="142"/>
        <v>0.49342837786655175</v>
      </c>
      <c r="I1234">
        <f t="shared" ca="1" si="143"/>
        <v>2.7698576699133497</v>
      </c>
      <c r="J1234" s="60">
        <v>1229</v>
      </c>
    </row>
    <row r="1235" spans="2:10" x14ac:dyDescent="0.25">
      <c r="B1235" s="53">
        <v>41963</v>
      </c>
      <c r="C1235">
        <v>533.36807590000001</v>
      </c>
      <c r="D1235" s="54">
        <f t="shared" si="139"/>
        <v>-4.0223605022611962E-3</v>
      </c>
      <c r="E1235" s="54">
        <f t="shared" ca="1" si="140"/>
        <v>-4.1011518923457077E-3</v>
      </c>
      <c r="F1235" s="64">
        <f t="shared" ca="1" si="141"/>
        <v>7.8791390084511498E-5</v>
      </c>
      <c r="G1235">
        <f t="shared" ca="1" si="138"/>
        <v>8.8683249956227599E-3</v>
      </c>
      <c r="H1235">
        <f t="shared" ca="1" si="142"/>
        <v>-0.32275922779537913</v>
      </c>
      <c r="I1235">
        <f t="shared" ca="1" si="143"/>
        <v>2.7742796116977906</v>
      </c>
      <c r="J1235" s="57">
        <v>1230</v>
      </c>
    </row>
    <row r="1236" spans="2:10" x14ac:dyDescent="0.25">
      <c r="B1236" s="53">
        <v>41964</v>
      </c>
      <c r="C1236">
        <v>536.03074660000004</v>
      </c>
      <c r="D1236" s="54">
        <f t="shared" si="139"/>
        <v>4.992182360196701E-3</v>
      </c>
      <c r="E1236" s="54">
        <f t="shared" ca="1" si="140"/>
        <v>-1.6724710826715383E-3</v>
      </c>
      <c r="F1236" s="64">
        <f t="shared" ca="1" si="141"/>
        <v>6.664653442868239E-3</v>
      </c>
      <c r="G1236">
        <f t="shared" ca="1" si="138"/>
        <v>5.8415124696474703E-3</v>
      </c>
      <c r="H1236">
        <f t="shared" ca="1" si="142"/>
        <v>-0.56794328609209443</v>
      </c>
      <c r="I1236">
        <f t="shared" ca="1" si="143"/>
        <v>2.748090496612873</v>
      </c>
      <c r="J1236" s="60">
        <v>1231</v>
      </c>
    </row>
    <row r="1237" spans="2:10" x14ac:dyDescent="0.25">
      <c r="B1237" s="53">
        <v>41967</v>
      </c>
      <c r="C1237">
        <v>537.79595219999999</v>
      </c>
      <c r="D1237" s="54">
        <f t="shared" si="139"/>
        <v>3.2931051272646244E-3</v>
      </c>
      <c r="E1237" s="54">
        <f t="shared" ca="1" si="140"/>
        <v>3.5834495532860735E-3</v>
      </c>
      <c r="F1237" s="64">
        <f t="shared" ca="1" si="141"/>
        <v>-2.9034442602144913E-4</v>
      </c>
      <c r="G1237">
        <f t="shared" ca="1" si="138"/>
        <v>9.6258258248440049E-3</v>
      </c>
      <c r="H1237">
        <f t="shared" ca="1" si="142"/>
        <v>0.55994013206460658</v>
      </c>
      <c r="I1237">
        <f t="shared" ca="1" si="143"/>
        <v>2.773673416414645</v>
      </c>
      <c r="J1237" s="57">
        <v>1232</v>
      </c>
    </row>
    <row r="1238" spans="2:10" x14ac:dyDescent="0.25">
      <c r="B1238" s="53">
        <v>41968</v>
      </c>
      <c r="C1238">
        <v>539.60095360000003</v>
      </c>
      <c r="D1238" s="54">
        <f t="shared" si="139"/>
        <v>3.3562941346363621E-3</v>
      </c>
      <c r="E1238" s="54">
        <f t="shared" ca="1" si="140"/>
        <v>-2.2597647221500798E-3</v>
      </c>
      <c r="F1238" s="64">
        <f t="shared" ca="1" si="141"/>
        <v>5.6160588567864423E-3</v>
      </c>
      <c r="G1238">
        <f t="shared" ca="1" si="138"/>
        <v>9.6529689968617056E-3</v>
      </c>
      <c r="H1238">
        <f t="shared" ca="1" si="142"/>
        <v>-0.46637573979269453</v>
      </c>
      <c r="I1238">
        <f t="shared" ca="1" si="143"/>
        <v>2.7569511047121336</v>
      </c>
      <c r="J1238" s="60">
        <v>1233</v>
      </c>
    </row>
    <row r="1239" spans="2:10" x14ac:dyDescent="0.25">
      <c r="B1239" s="53">
        <v>41969</v>
      </c>
      <c r="C1239">
        <v>538.89294240000004</v>
      </c>
      <c r="D1239" s="54">
        <f t="shared" si="139"/>
        <v>-1.3121014617865701E-3</v>
      </c>
      <c r="E1239" s="54">
        <f t="shared" ca="1" si="140"/>
        <v>-1.1012232018413807E-2</v>
      </c>
      <c r="F1239" s="64">
        <f t="shared" ca="1" si="141"/>
        <v>9.7001305566272369E-3</v>
      </c>
      <c r="G1239">
        <f t="shared" ca="1" si="138"/>
        <v>8.1518776036412013E-3</v>
      </c>
      <c r="H1239">
        <f t="shared" ca="1" si="142"/>
        <v>-1.532320519836349</v>
      </c>
      <c r="I1239">
        <f t="shared" ca="1" si="143"/>
        <v>2.7124254526412095</v>
      </c>
      <c r="J1239" s="57">
        <v>1234</v>
      </c>
    </row>
    <row r="1240" spans="2:10" x14ac:dyDescent="0.25">
      <c r="B1240" s="53">
        <v>41971</v>
      </c>
      <c r="C1240">
        <v>540.34894299999996</v>
      </c>
      <c r="D1240" s="54">
        <f t="shared" si="139"/>
        <v>2.7018364603468683E-3</v>
      </c>
      <c r="E1240" s="54">
        <f t="shared" ca="1" si="140"/>
        <v>-5.1289724869976357E-2</v>
      </c>
      <c r="F1240" s="64">
        <f t="shared" ca="1" si="141"/>
        <v>5.3991561330323228E-2</v>
      </c>
      <c r="G1240">
        <f t="shared" ca="1" si="138"/>
        <v>2.566401948820345E-2</v>
      </c>
      <c r="H1240">
        <f t="shared" ca="1" si="142"/>
        <v>-2.0572413140192669</v>
      </c>
      <c r="I1240">
        <f t="shared" ca="1" si="143"/>
        <v>0.49857953342382011</v>
      </c>
      <c r="J1240" s="60">
        <v>1235</v>
      </c>
    </row>
    <row r="1241" spans="2:10" x14ac:dyDescent="0.25">
      <c r="B1241" s="53">
        <v>41974</v>
      </c>
      <c r="C1241">
        <v>532.34084919999998</v>
      </c>
      <c r="D1241" s="54">
        <f t="shared" si="139"/>
        <v>-1.4820226640102789E-2</v>
      </c>
      <c r="E1241" s="54">
        <f t="shared" ca="1" si="140"/>
        <v>-7.7672899587293365E-3</v>
      </c>
      <c r="F1241" s="64">
        <f t="shared" ca="1" si="141"/>
        <v>-7.0529366813734526E-3</v>
      </c>
      <c r="G1241">
        <f t="shared" ca="1" si="138"/>
        <v>3.4847443065202689E-2</v>
      </c>
      <c r="H1241">
        <f t="shared" ca="1" si="142"/>
        <v>-0.20598485408425124</v>
      </c>
      <c r="I1241">
        <f t="shared" ca="1" si="143"/>
        <v>2.7236049126860951</v>
      </c>
      <c r="J1241" s="57">
        <v>1236</v>
      </c>
    </row>
    <row r="1242" spans="2:10" x14ac:dyDescent="0.25">
      <c r="B1242" s="53">
        <v>41975</v>
      </c>
      <c r="C1242">
        <v>532.29098409999995</v>
      </c>
      <c r="D1242" s="54">
        <f t="shared" si="139"/>
        <v>-9.3671376290154585E-5</v>
      </c>
      <c r="E1242" s="54">
        <f t="shared" ca="1" si="140"/>
        <v>2.0949429064514091E-2</v>
      </c>
      <c r="F1242" s="64">
        <f t="shared" ca="1" si="141"/>
        <v>-2.1043100440804246E-2</v>
      </c>
      <c r="G1242">
        <f t="shared" ca="1" si="138"/>
        <v>8.7103149421891759E-3</v>
      </c>
      <c r="H1242">
        <f t="shared" ca="1" si="142"/>
        <v>2.26584638233266</v>
      </c>
      <c r="I1242">
        <f t="shared" ca="1" si="143"/>
        <v>2.3854714408466915</v>
      </c>
      <c r="J1242" s="60">
        <v>1237</v>
      </c>
    </row>
    <row r="1243" spans="2:10" x14ac:dyDescent="0.25">
      <c r="B1243" s="53">
        <v>41976</v>
      </c>
      <c r="C1243">
        <v>529.86763240000005</v>
      </c>
      <c r="D1243" s="54">
        <f t="shared" si="139"/>
        <v>-4.5526822215433771E-3</v>
      </c>
      <c r="E1243" s="54">
        <f t="shared" ca="1" si="140"/>
        <v>-1.7986344365845178E-2</v>
      </c>
      <c r="F1243" s="64">
        <f t="shared" ca="1" si="141"/>
        <v>1.3433662144301802E-2</v>
      </c>
      <c r="G1243">
        <f t="shared" ca="1" si="138"/>
        <v>3.7886010318894381E-2</v>
      </c>
      <c r="H1243">
        <f t="shared" ca="1" si="142"/>
        <v>-0.29906242560016777</v>
      </c>
      <c r="I1243">
        <f t="shared" ca="1" si="143"/>
        <v>2.6481418258367988</v>
      </c>
      <c r="J1243" s="57">
        <v>1238</v>
      </c>
    </row>
    <row r="1244" spans="2:10" x14ac:dyDescent="0.25">
      <c r="B1244" s="53">
        <v>41977</v>
      </c>
      <c r="C1244">
        <v>535.84129270000005</v>
      </c>
      <c r="D1244" s="54">
        <f t="shared" si="139"/>
        <v>1.127387282167569E-2</v>
      </c>
      <c r="E1244" s="54">
        <f t="shared" ca="1" si="140"/>
        <v>-4.0666038494439876E-3</v>
      </c>
      <c r="F1244" s="64">
        <f t="shared" ca="1" si="141"/>
        <v>1.5340476671119678E-2</v>
      </c>
      <c r="G1244">
        <f t="shared" ca="1" si="138"/>
        <v>1.0021873139363041E-2</v>
      </c>
      <c r="H1244">
        <f t="shared" ca="1" si="142"/>
        <v>-0.40156721640479942</v>
      </c>
      <c r="I1244">
        <f t="shared" ca="1" si="143"/>
        <v>2.6066216879227699</v>
      </c>
      <c r="J1244" s="60">
        <v>1239</v>
      </c>
    </row>
    <row r="1245" spans="2:10" x14ac:dyDescent="0.25">
      <c r="B1245" s="53">
        <v>41978</v>
      </c>
      <c r="C1245">
        <v>523.82420960000002</v>
      </c>
      <c r="D1245" s="54">
        <f t="shared" si="139"/>
        <v>-2.2426571568324442E-2</v>
      </c>
      <c r="E1245" s="54">
        <f t="shared" ca="1" si="140"/>
        <v>-5.4272282385310656E-3</v>
      </c>
      <c r="F1245" s="64">
        <f t="shared" ca="1" si="141"/>
        <v>-1.6999343329793377E-2</v>
      </c>
      <c r="G1245">
        <f t="shared" ca="1" si="138"/>
        <v>7.1524869433260817E-3</v>
      </c>
      <c r="H1245">
        <f t="shared" ca="1" si="142"/>
        <v>-0.47294343698310926</v>
      </c>
      <c r="I1245">
        <f t="shared" ca="1" si="143"/>
        <v>2.5156999220945746</v>
      </c>
      <c r="J1245" s="57">
        <v>1240</v>
      </c>
    </row>
    <row r="1246" spans="2:10" x14ac:dyDescent="0.25">
      <c r="B1246" s="53">
        <v>41981</v>
      </c>
      <c r="C1246">
        <v>525.53948830000002</v>
      </c>
      <c r="D1246" s="54">
        <f t="shared" si="139"/>
        <v>3.2745311663044578E-3</v>
      </c>
      <c r="E1246" s="54">
        <f t="shared" ca="1" si="140"/>
        <v>1.9528886105947729E-2</v>
      </c>
      <c r="F1246" s="64">
        <f t="shared" ca="1" si="141"/>
        <v>-1.6254354939643272E-2</v>
      </c>
      <c r="G1246">
        <f t="shared" ca="1" si="138"/>
        <v>8.1234685799163354E-3</v>
      </c>
      <c r="H1246">
        <f t="shared" ca="1" si="142"/>
        <v>1.7807603205065254</v>
      </c>
      <c r="I1246">
        <f t="shared" ca="1" si="143"/>
        <v>2.5368099996925366</v>
      </c>
      <c r="J1246" s="60">
        <v>1241</v>
      </c>
    </row>
    <row r="1247" spans="2:10" x14ac:dyDescent="0.25">
      <c r="B1247" s="53">
        <v>41982</v>
      </c>
      <c r="C1247">
        <v>531.91207540000005</v>
      </c>
      <c r="D1247" s="54">
        <f t="shared" si="139"/>
        <v>1.2125800709312812E-2</v>
      </c>
      <c r="E1247" s="54">
        <f t="shared" ca="1" si="140"/>
        <v>3.7961691508763787E-2</v>
      </c>
      <c r="F1247" s="64">
        <f t="shared" ca="1" si="141"/>
        <v>-2.5835890799450974E-2</v>
      </c>
      <c r="G1247">
        <f t="shared" ca="1" si="138"/>
        <v>2.9798341131591743E-2</v>
      </c>
      <c r="H1247">
        <f t="shared" ca="1" si="142"/>
        <v>1.6119641467438695</v>
      </c>
      <c r="I1247">
        <f t="shared" ca="1" si="143"/>
        <v>2.1969055915308986</v>
      </c>
      <c r="J1247" s="57">
        <v>1242</v>
      </c>
    </row>
    <row r="1248" spans="2:10" x14ac:dyDescent="0.25">
      <c r="B1248" s="53">
        <v>41983</v>
      </c>
      <c r="C1248">
        <v>524.62200329999996</v>
      </c>
      <c r="D1248" s="54">
        <f t="shared" si="139"/>
        <v>-1.3705408162651552E-2</v>
      </c>
      <c r="E1248" s="54">
        <f t="shared" ca="1" si="140"/>
        <v>1.1562569567499745E-2</v>
      </c>
      <c r="F1248" s="64">
        <f t="shared" ca="1" si="141"/>
        <v>-2.5267977730151298E-2</v>
      </c>
      <c r="G1248">
        <f t="shared" ca="1" si="138"/>
        <v>2.7767810572950798E-2</v>
      </c>
      <c r="H1248">
        <f t="shared" ca="1" si="142"/>
        <v>0.36343171677001102</v>
      </c>
      <c r="I1248">
        <f t="shared" ca="1" si="143"/>
        <v>2.2211877473564319</v>
      </c>
      <c r="J1248" s="60">
        <v>1243</v>
      </c>
    </row>
    <row r="1249" spans="2:10" x14ac:dyDescent="0.25">
      <c r="B1249" s="53">
        <v>41984</v>
      </c>
      <c r="C1249">
        <v>526.89581750000002</v>
      </c>
      <c r="D1249" s="54">
        <f t="shared" si="139"/>
        <v>4.3341952600104774E-3</v>
      </c>
      <c r="E1249" s="54">
        <f t="shared" ca="1" si="140"/>
        <v>1.0972104984045477E-2</v>
      </c>
      <c r="F1249" s="64">
        <f t="shared" ca="1" si="141"/>
        <v>-6.6379097240349995E-3</v>
      </c>
      <c r="G1249">
        <f t="shared" ca="1" si="138"/>
        <v>8.822608229338379E-3</v>
      </c>
      <c r="H1249">
        <f t="shared" ca="1" si="142"/>
        <v>0.62639086689788248</v>
      </c>
      <c r="I1249">
        <f t="shared" ca="1" si="143"/>
        <v>2.7288059400574673</v>
      </c>
      <c r="J1249" s="57">
        <v>1244</v>
      </c>
    </row>
    <row r="1250" spans="2:10" x14ac:dyDescent="0.25">
      <c r="B1250" s="53">
        <v>41985</v>
      </c>
      <c r="C1250">
        <v>517.24227029999997</v>
      </c>
      <c r="D1250" s="54">
        <f t="shared" si="139"/>
        <v>-1.8321548358087029E-2</v>
      </c>
      <c r="E1250" s="54">
        <f t="shared" ca="1" si="140"/>
        <v>-2.0222357684891223E-2</v>
      </c>
      <c r="F1250" s="64">
        <f t="shared" ca="1" si="141"/>
        <v>1.9008093268041946E-3</v>
      </c>
      <c r="G1250">
        <f t="shared" ca="1" si="138"/>
        <v>1.0694583710833165E-2</v>
      </c>
      <c r="H1250">
        <f t="shared" ca="1" si="142"/>
        <v>-1.3153442392375838</v>
      </c>
      <c r="I1250">
        <f t="shared" ca="1" si="143"/>
        <v>2.774046436047588</v>
      </c>
      <c r="J1250" s="60">
        <v>1245</v>
      </c>
    </row>
    <row r="1251" spans="2:10" x14ac:dyDescent="0.25">
      <c r="B1251" s="53">
        <v>41988</v>
      </c>
      <c r="C1251">
        <v>512.39556900000002</v>
      </c>
      <c r="D1251" s="54">
        <f t="shared" si="139"/>
        <v>-9.3702730389549713E-3</v>
      </c>
      <c r="E1251" s="54">
        <f t="shared" ca="1" si="140"/>
        <v>-1.8615810030977242E-2</v>
      </c>
      <c r="F1251" s="64">
        <f t="shared" ca="1" si="141"/>
        <v>9.2455369920222703E-3</v>
      </c>
      <c r="G1251">
        <f t="shared" ca="1" si="138"/>
        <v>2.2112974218763029E-2</v>
      </c>
      <c r="H1251">
        <f t="shared" ca="1" si="142"/>
        <v>-0.92986443080148184</v>
      </c>
      <c r="I1251">
        <f t="shared" ca="1" si="143"/>
        <v>2.7187144971655366</v>
      </c>
      <c r="J1251" s="57">
        <v>1246</v>
      </c>
    </row>
    <row r="1252" spans="2:10" x14ac:dyDescent="0.25">
      <c r="B1252" s="53">
        <v>41989</v>
      </c>
      <c r="C1252">
        <v>494.0358665</v>
      </c>
      <c r="D1252" s="54">
        <f t="shared" si="139"/>
        <v>-3.5831110982928946E-2</v>
      </c>
      <c r="E1252" s="54">
        <f t="shared" ca="1" si="140"/>
        <v>5.0397422604077716E-4</v>
      </c>
      <c r="F1252" s="64">
        <f t="shared" ca="1" si="141"/>
        <v>-3.633508520896972E-2</v>
      </c>
      <c r="G1252">
        <f t="shared" ca="1" si="138"/>
        <v>1.6349212602197113E-2</v>
      </c>
      <c r="H1252">
        <f t="shared" ca="1" si="142"/>
        <v>0.53413642843384235</v>
      </c>
      <c r="I1252">
        <f t="shared" ca="1" si="143"/>
        <v>1.6541218623012091</v>
      </c>
      <c r="J1252" s="60">
        <v>1247</v>
      </c>
    </row>
    <row r="1253" spans="2:10" x14ac:dyDescent="0.25">
      <c r="B1253" s="53">
        <v>41990</v>
      </c>
      <c r="C1253">
        <v>503.50990849999999</v>
      </c>
      <c r="D1253" s="54">
        <f t="shared" si="139"/>
        <v>1.917683035266023E-2</v>
      </c>
      <c r="E1253" s="54">
        <f t="shared" ca="1" si="140"/>
        <v>-3.6695522326079862E-3</v>
      </c>
      <c r="F1253" s="64">
        <f t="shared" ca="1" si="141"/>
        <v>2.2846382585268214E-2</v>
      </c>
      <c r="G1253">
        <f t="shared" ca="1" si="138"/>
        <v>9.7148901860614721E-3</v>
      </c>
      <c r="H1253">
        <f t="shared" ca="1" si="142"/>
        <v>5.5527396069901987E-2</v>
      </c>
      <c r="I1253">
        <f t="shared" ca="1" si="143"/>
        <v>2.3861063781183569</v>
      </c>
      <c r="J1253" s="57">
        <v>1248</v>
      </c>
    </row>
    <row r="1254" spans="2:10" x14ac:dyDescent="0.25">
      <c r="B1254" s="53">
        <v>41991</v>
      </c>
      <c r="C1254">
        <v>509.7029296</v>
      </c>
      <c r="D1254" s="54">
        <f t="shared" si="139"/>
        <v>1.2299700552963418E-2</v>
      </c>
      <c r="E1254" s="54">
        <f t="shared" ca="1" si="140"/>
        <v>-1.3575796756923565E-2</v>
      </c>
      <c r="F1254" s="64">
        <f t="shared" ca="1" si="141"/>
        <v>2.5875497309886981E-2</v>
      </c>
      <c r="G1254">
        <f t="shared" ca="1" si="138"/>
        <v>2.6029229561410246E-3</v>
      </c>
      <c r="H1254">
        <f t="shared" ca="1" si="142"/>
        <v>0.96673715811256988</v>
      </c>
      <c r="I1254">
        <f t="shared" ca="1" si="143"/>
        <v>2.2713335727118769</v>
      </c>
      <c r="J1254" s="60">
        <v>1249</v>
      </c>
    </row>
    <row r="1255" spans="2:10" x14ac:dyDescent="0.25">
      <c r="B1255" s="53">
        <v>41992</v>
      </c>
      <c r="C1255">
        <v>514.93854920000001</v>
      </c>
      <c r="D1255" s="54">
        <f t="shared" si="139"/>
        <v>1.027190407578934E-2</v>
      </c>
      <c r="E1255" s="54">
        <f t="shared" ca="1" si="140"/>
        <v>1.0115851401681641E-2</v>
      </c>
      <c r="F1255" s="64">
        <f t="shared" ca="1" si="141"/>
        <v>1.5605267410769876E-4</v>
      </c>
      <c r="G1255">
        <f t="shared" ca="1" si="138"/>
        <v>1.6178736215667532E-2</v>
      </c>
      <c r="H1255">
        <f t="shared" ca="1" si="142"/>
        <v>9.2896059540882522E-2</v>
      </c>
      <c r="I1255">
        <f t="shared" ca="1" si="143"/>
        <v>2.7743786273071165</v>
      </c>
      <c r="J1255" s="57">
        <v>1250</v>
      </c>
    </row>
    <row r="1256" spans="2:10" x14ac:dyDescent="0.25">
      <c r="B1256" s="53">
        <v>41995</v>
      </c>
      <c r="C1256">
        <v>523.43529139999998</v>
      </c>
      <c r="D1256" s="54">
        <f t="shared" si="139"/>
        <v>1.6500497415080632E-2</v>
      </c>
      <c r="E1256" s="54">
        <f t="shared" ca="1" si="140"/>
        <v>3.3585540030355446E-3</v>
      </c>
      <c r="F1256" s="64">
        <f t="shared" ca="1" si="141"/>
        <v>1.3141943412045089E-2</v>
      </c>
      <c r="G1256">
        <f t="shared" ca="1" si="138"/>
        <v>4.1240746570669461E-3</v>
      </c>
      <c r="H1256">
        <f t="shared" ca="1" si="142"/>
        <v>-0.52512746715706138</v>
      </c>
      <c r="I1256">
        <f t="shared" ca="1" si="143"/>
        <v>2.6539757535659025</v>
      </c>
      <c r="J1256" s="60">
        <v>1251</v>
      </c>
    </row>
    <row r="1257" spans="2:10" x14ac:dyDescent="0.25">
      <c r="B1257" s="53">
        <v>41996</v>
      </c>
      <c r="C1257">
        <v>529.13966310000001</v>
      </c>
      <c r="D1257" s="54">
        <f t="shared" si="139"/>
        <v>1.0897950126257048E-2</v>
      </c>
      <c r="E1257" s="54">
        <f t="shared" ca="1" si="140"/>
        <v>-7.1980356973004797E-3</v>
      </c>
      <c r="F1257" s="64">
        <f t="shared" ca="1" si="141"/>
        <v>1.809598582355753E-2</v>
      </c>
      <c r="G1257">
        <f t="shared" ca="1" si="138"/>
        <v>8.872939562522086E-3</v>
      </c>
      <c r="H1257">
        <f t="shared" ca="1" si="142"/>
        <v>-1.3311978319079809</v>
      </c>
      <c r="I1257">
        <f t="shared" ca="1" si="143"/>
        <v>2.5362427296060974</v>
      </c>
      <c r="J1257" s="57">
        <v>1252</v>
      </c>
    </row>
    <row r="1258" spans="2:10" x14ac:dyDescent="0.25">
      <c r="B1258" s="53">
        <v>41997</v>
      </c>
      <c r="C1258">
        <v>527.32465219999995</v>
      </c>
      <c r="D1258" s="54">
        <f t="shared" si="139"/>
        <v>-3.4301168983755606E-3</v>
      </c>
      <c r="E1258" s="54">
        <f t="shared" ca="1" si="140"/>
        <v>-4.1021609151691346E-3</v>
      </c>
      <c r="F1258" s="64">
        <f t="shared" ca="1" si="141"/>
        <v>6.7204401679357402E-4</v>
      </c>
      <c r="G1258">
        <f t="shared" ca="1" si="138"/>
        <v>2.2334348159965538E-2</v>
      </c>
      <c r="H1258">
        <f t="shared" ca="1" si="142"/>
        <v>-0.51548639385757811</v>
      </c>
      <c r="I1258">
        <f t="shared" ca="1" si="143"/>
        <v>2.7747926042920241</v>
      </c>
      <c r="J1258" s="60">
        <v>1253</v>
      </c>
    </row>
    <row r="1259" spans="2:10" x14ac:dyDescent="0.25">
      <c r="B1259" s="53">
        <v>41999</v>
      </c>
      <c r="C1259">
        <v>532.5702205</v>
      </c>
      <c r="D1259" s="54">
        <f t="shared" si="139"/>
        <v>9.9475119892755495E-3</v>
      </c>
      <c r="E1259" s="54">
        <f t="shared" ca="1" si="140"/>
        <v>1.548662610817567E-2</v>
      </c>
      <c r="F1259" s="64">
        <f t="shared" ca="1" si="141"/>
        <v>-5.5391141189001201E-3</v>
      </c>
      <c r="G1259">
        <f t="shared" ca="1" si="138"/>
        <v>1.0047020642402524E-2</v>
      </c>
      <c r="H1259">
        <f t="shared" ca="1" si="142"/>
        <v>1.0542625448837084</v>
      </c>
      <c r="I1259">
        <f t="shared" ca="1" si="143"/>
        <v>2.7412320031048245</v>
      </c>
      <c r="J1259" s="57">
        <v>1254</v>
      </c>
    </row>
    <row r="1260" spans="2:10" x14ac:dyDescent="0.25">
      <c r="B1260" s="53">
        <v>42002</v>
      </c>
      <c r="C1260">
        <v>528.88038489999997</v>
      </c>
      <c r="D1260" s="54">
        <f t="shared" si="139"/>
        <v>-6.9283550937862433E-3</v>
      </c>
      <c r="E1260" s="54">
        <f t="shared" ca="1" si="140"/>
        <v>5.6379107352283577E-3</v>
      </c>
      <c r="F1260" s="64">
        <f t="shared" ca="1" si="141"/>
        <v>-1.25662658290146E-2</v>
      </c>
      <c r="G1260">
        <f t="shared" ca="1" si="138"/>
        <v>1.777419662541135E-2</v>
      </c>
      <c r="H1260">
        <f t="shared" ca="1" si="142"/>
        <v>0.40385923792147194</v>
      </c>
      <c r="I1260">
        <f t="shared" ca="1" si="143"/>
        <v>2.6281077044531438</v>
      </c>
      <c r="J1260" s="60">
        <v>1255</v>
      </c>
    </row>
    <row r="1261" spans="2:10" x14ac:dyDescent="0.25">
      <c r="B1261" s="53">
        <v>42003</v>
      </c>
      <c r="C1261">
        <v>528.97010660000001</v>
      </c>
      <c r="D1261" s="54">
        <f t="shared" si="139"/>
        <v>1.6964459745846965E-4</v>
      </c>
      <c r="E1261" s="54">
        <f t="shared" ca="1" si="140"/>
        <v>-6.020676484541675E-4</v>
      </c>
      <c r="F1261" s="64">
        <f t="shared" ca="1" si="141"/>
        <v>7.7171224591263718E-4</v>
      </c>
      <c r="G1261">
        <f t="shared" ca="1" si="138"/>
        <v>7.9282507587376452E-3</v>
      </c>
      <c r="H1261">
        <f t="shared" ca="1" si="142"/>
        <v>-0.63943173217982041</v>
      </c>
      <c r="I1261">
        <f t="shared" ca="1" si="143"/>
        <v>2.7748229949902226</v>
      </c>
      <c r="J1261" s="57">
        <v>1256</v>
      </c>
    </row>
    <row r="1262" spans="2:10" x14ac:dyDescent="0.25">
      <c r="B1262" s="53">
        <v>42004</v>
      </c>
      <c r="C1262">
        <v>524.96111629999996</v>
      </c>
      <c r="D1262" s="54">
        <f t="shared" si="139"/>
        <v>-7.5788598447805939E-3</v>
      </c>
      <c r="E1262" s="54">
        <f t="shared" ca="1" si="140"/>
        <v>5.1942852299128543E-3</v>
      </c>
      <c r="F1262" s="64">
        <f t="shared" ca="1" si="141"/>
        <v>-1.2773145074693449E-2</v>
      </c>
      <c r="G1262">
        <f t="shared" ca="1" si="138"/>
        <v>1.0871781262848613E-2</v>
      </c>
      <c r="H1262">
        <f t="shared" ca="1" si="142"/>
        <v>0.76399121191994546</v>
      </c>
      <c r="I1262">
        <f t="shared" ca="1" si="143"/>
        <v>2.623568284897857</v>
      </c>
      <c r="J1262" s="60">
        <v>1257</v>
      </c>
    </row>
    <row r="1263" spans="2:10" x14ac:dyDescent="0.25">
      <c r="B1263" s="53">
        <v>42006</v>
      </c>
      <c r="C1263">
        <v>523.37547659999996</v>
      </c>
      <c r="D1263" s="54">
        <f t="shared" si="139"/>
        <v>-3.0204898053703749E-3</v>
      </c>
      <c r="E1263" s="54">
        <f t="shared" ca="1" si="140"/>
        <v>-9.1966680015847756E-3</v>
      </c>
      <c r="F1263" s="64">
        <f t="shared" ca="1" si="141"/>
        <v>6.1761781962144007E-3</v>
      </c>
      <c r="G1263">
        <f t="shared" ca="1" si="138"/>
        <v>1.3029638958423868E-2</v>
      </c>
      <c r="H1263">
        <f t="shared" ca="1" si="142"/>
        <v>-0.71166424545735396</v>
      </c>
      <c r="I1263">
        <f t="shared" ca="1" si="143"/>
        <v>2.752439143036348</v>
      </c>
      <c r="J1263" s="57">
        <v>1258</v>
      </c>
    </row>
    <row r="1264" spans="2:10" x14ac:dyDescent="0.25">
      <c r="B1264" s="53">
        <v>42009</v>
      </c>
      <c r="C1264">
        <v>512.46533239999997</v>
      </c>
      <c r="D1264" s="54">
        <f t="shared" si="139"/>
        <v>-2.0845730623214286E-2</v>
      </c>
      <c r="E1264" s="54">
        <f t="shared" ca="1" si="140"/>
        <v>-1.2363054637942877E-2</v>
      </c>
      <c r="F1264" s="64">
        <f t="shared" ca="1" si="141"/>
        <v>-8.4826759852714081E-3</v>
      </c>
      <c r="G1264">
        <f t="shared" ca="1" si="138"/>
        <v>1.2285574166223988E-2</v>
      </c>
      <c r="H1264">
        <f t="shared" ca="1" si="142"/>
        <v>-0.72924429209222508</v>
      </c>
      <c r="I1264">
        <f t="shared" ca="1" si="143"/>
        <v>2.7035569335451695</v>
      </c>
      <c r="J1264" s="60">
        <v>1259</v>
      </c>
    </row>
    <row r="1265" spans="2:10" x14ac:dyDescent="0.25">
      <c r="B1265" s="53">
        <v>42010</v>
      </c>
      <c r="C1265">
        <v>500.58789789999997</v>
      </c>
      <c r="D1265" s="54">
        <f t="shared" si="139"/>
        <v>-2.3177049741833412E-2</v>
      </c>
      <c r="E1265" s="54">
        <f t="shared" ca="1" si="140"/>
        <v>-9.0650551407541573E-3</v>
      </c>
      <c r="F1265" s="64">
        <f t="shared" ca="1" si="141"/>
        <v>-1.4111994601079255E-2</v>
      </c>
      <c r="G1265">
        <f t="shared" ca="1" si="138"/>
        <v>1.2530568350127278E-2</v>
      </c>
      <c r="H1265">
        <f t="shared" ca="1" si="142"/>
        <v>-0.61514635361280168</v>
      </c>
      <c r="I1265">
        <f t="shared" ca="1" si="143"/>
        <v>2.5925188668874917</v>
      </c>
      <c r="J1265" s="57">
        <v>1260</v>
      </c>
    </row>
    <row r="1266" spans="2:10" x14ac:dyDescent="0.25">
      <c r="B1266" s="53">
        <v>42011</v>
      </c>
      <c r="C1266">
        <v>499.73025860000001</v>
      </c>
      <c r="D1266" s="54">
        <f t="shared" si="139"/>
        <v>-1.7132641512066405E-3</v>
      </c>
      <c r="E1266" s="54">
        <f t="shared" ca="1" si="140"/>
        <v>-1.0045672610136834E-2</v>
      </c>
      <c r="F1266" s="64">
        <f t="shared" ca="1" si="141"/>
        <v>8.3324084589301937E-3</v>
      </c>
      <c r="G1266">
        <f t="shared" ca="1" si="138"/>
        <v>1.070487260495236E-2</v>
      </c>
      <c r="H1266">
        <f t="shared" ca="1" si="142"/>
        <v>-6.3806276361538641E-2</v>
      </c>
      <c r="I1266">
        <f t="shared" ca="1" si="143"/>
        <v>2.730338153616684</v>
      </c>
      <c r="J1266" s="60">
        <v>1261</v>
      </c>
    </row>
    <row r="1267" spans="2:10" x14ac:dyDescent="0.25">
      <c r="B1267" s="53">
        <v>42012</v>
      </c>
      <c r="C1267">
        <v>501.3059495</v>
      </c>
      <c r="D1267" s="54">
        <f t="shared" si="139"/>
        <v>3.1530828339558616E-3</v>
      </c>
      <c r="E1267" s="54">
        <f t="shared" ca="1" si="140"/>
        <v>-5.7603003478304505E-3</v>
      </c>
      <c r="F1267" s="64">
        <f t="shared" ca="1" si="141"/>
        <v>8.9133831817863121E-3</v>
      </c>
      <c r="G1267">
        <f t="shared" ca="1" si="138"/>
        <v>2.8460033690596554E-3</v>
      </c>
      <c r="H1267">
        <f t="shared" ca="1" si="142"/>
        <v>1.6335210513610678</v>
      </c>
      <c r="I1267">
        <f t="shared" ca="1" si="143"/>
        <v>2.7230985422766572</v>
      </c>
      <c r="J1267" s="57">
        <v>1262</v>
      </c>
    </row>
    <row r="1268" spans="2:10" x14ac:dyDescent="0.25">
      <c r="B1268" s="53">
        <v>42013</v>
      </c>
      <c r="C1268">
        <v>494.81373289999999</v>
      </c>
      <c r="D1268" s="54">
        <f t="shared" si="139"/>
        <v>-1.2950607521166085E-2</v>
      </c>
      <c r="E1268" s="54">
        <f t="shared" ca="1" si="140"/>
        <v>3.8520967512894695E-2</v>
      </c>
      <c r="F1268" s="64">
        <f t="shared" ca="1" si="141"/>
        <v>-5.1471575034060781E-2</v>
      </c>
      <c r="G1268">
        <f t="shared" ca="1" si="138"/>
        <v>2.7292399906788573E-2</v>
      </c>
      <c r="H1268">
        <f t="shared" ca="1" si="142"/>
        <v>1.4396086292423504</v>
      </c>
      <c r="I1268">
        <f t="shared" ca="1" si="143"/>
        <v>0.55811774115683044</v>
      </c>
      <c r="J1268" s="60">
        <v>1263</v>
      </c>
    </row>
    <row r="1269" spans="2:10" x14ac:dyDescent="0.25">
      <c r="B1269" s="53">
        <v>42016</v>
      </c>
      <c r="C1269">
        <v>491.20363939999999</v>
      </c>
      <c r="D1269" s="54">
        <f t="shared" si="139"/>
        <v>-7.2958635946540947E-3</v>
      </c>
      <c r="E1269" s="54">
        <f t="shared" ca="1" si="140"/>
        <v>-1.4906317002694548E-2</v>
      </c>
      <c r="F1269" s="64">
        <f t="shared" ca="1" si="141"/>
        <v>7.6104534080404535E-3</v>
      </c>
      <c r="G1269">
        <f t="shared" ca="1" si="138"/>
        <v>2.4841288358008563E-2</v>
      </c>
      <c r="H1269">
        <f t="shared" ca="1" si="142"/>
        <v>-0.65705957901193845</v>
      </c>
      <c r="I1269">
        <f t="shared" ca="1" si="143"/>
        <v>2.7385746087012302</v>
      </c>
      <c r="J1269" s="57">
        <v>1264</v>
      </c>
    </row>
    <row r="1270" spans="2:10" x14ac:dyDescent="0.25">
      <c r="B1270" s="53">
        <v>42017</v>
      </c>
      <c r="C1270">
        <v>494.8237125</v>
      </c>
      <c r="D1270" s="54">
        <f t="shared" si="139"/>
        <v>7.3698010552647655E-3</v>
      </c>
      <c r="E1270" s="54">
        <f t="shared" ca="1" si="140"/>
        <v>-5.6169199036540862E-3</v>
      </c>
      <c r="F1270" s="64">
        <f t="shared" ca="1" si="141"/>
        <v>1.2986720958918851E-2</v>
      </c>
      <c r="G1270">
        <f t="shared" ca="1" si="138"/>
        <v>1.2382675028037736E-2</v>
      </c>
      <c r="H1270">
        <f t="shared" ca="1" si="142"/>
        <v>1.6117926577383604E-2</v>
      </c>
      <c r="I1270">
        <f t="shared" ca="1" si="143"/>
        <v>2.6570239182667295</v>
      </c>
      <c r="J1270" s="60">
        <v>1265</v>
      </c>
    </row>
    <row r="1271" spans="2:10" x14ac:dyDescent="0.25">
      <c r="B1271" s="53">
        <v>42018</v>
      </c>
      <c r="C1271">
        <v>499.50088729999999</v>
      </c>
      <c r="D1271" s="54">
        <f t="shared" si="139"/>
        <v>9.4522042534491285E-3</v>
      </c>
      <c r="E1271" s="54">
        <f t="shared" ca="1" si="140"/>
        <v>-1.027804663298579E-2</v>
      </c>
      <c r="F1271" s="64">
        <f t="shared" ca="1" si="141"/>
        <v>1.9730250886434916E-2</v>
      </c>
      <c r="G1271">
        <f t="shared" ca="1" si="138"/>
        <v>3.008064386181918E-3</v>
      </c>
      <c r="H1271">
        <f t="shared" ca="1" si="142"/>
        <v>-2.3275616066247062</v>
      </c>
      <c r="I1271">
        <f t="shared" ca="1" si="143"/>
        <v>2.4887059320177114</v>
      </c>
      <c r="J1271" s="57">
        <v>1266</v>
      </c>
    </row>
    <row r="1272" spans="2:10" x14ac:dyDescent="0.25">
      <c r="B1272" s="53">
        <v>42019</v>
      </c>
      <c r="C1272">
        <v>500.41837240000001</v>
      </c>
      <c r="D1272" s="54">
        <f t="shared" si="139"/>
        <v>1.8368037441522714E-3</v>
      </c>
      <c r="E1272" s="54">
        <f t="shared" ca="1" si="140"/>
        <v>5.4363073850907918E-2</v>
      </c>
      <c r="F1272" s="64">
        <f t="shared" ca="1" si="141"/>
        <v>-5.2526270106755646E-2</v>
      </c>
      <c r="G1272">
        <f t="shared" ca="1" si="138"/>
        <v>3.8869812565766382E-2</v>
      </c>
      <c r="H1272">
        <f t="shared" ca="1" si="142"/>
        <v>1.3134353455159853</v>
      </c>
      <c r="I1272">
        <f t="shared" ca="1" si="143"/>
        <v>0.46795341341630042</v>
      </c>
      <c r="J1272" s="60">
        <v>1267</v>
      </c>
    </row>
    <row r="1273" spans="2:10" x14ac:dyDescent="0.25">
      <c r="B1273" s="53">
        <v>42020</v>
      </c>
      <c r="C1273">
        <v>506.69116739999998</v>
      </c>
      <c r="D1273" s="54">
        <f t="shared" si="139"/>
        <v>1.2535101319153672E-2</v>
      </c>
      <c r="E1273" s="54">
        <f t="shared" ca="1" si="140"/>
        <v>-1.7298509567553043E-2</v>
      </c>
      <c r="F1273" s="64">
        <f t="shared" ca="1" si="141"/>
        <v>2.9833610886706715E-2</v>
      </c>
      <c r="G1273">
        <f t="shared" ca="1" si="138"/>
        <v>2.3665812094615064E-2</v>
      </c>
      <c r="H1273">
        <f t="shared" ca="1" si="142"/>
        <v>-0.91033070737418476</v>
      </c>
      <c r="I1273">
        <f t="shared" ca="1" si="143"/>
        <v>2.0990183278834533</v>
      </c>
      <c r="J1273" s="57">
        <v>1268</v>
      </c>
    </row>
    <row r="1274" spans="2:10" x14ac:dyDescent="0.25">
      <c r="B1274" s="53">
        <v>42024</v>
      </c>
      <c r="C1274">
        <v>505.5144042</v>
      </c>
      <c r="D1274" s="54">
        <f t="shared" si="139"/>
        <v>-2.3224466414884307E-3</v>
      </c>
      <c r="E1274" s="54">
        <f t="shared" ca="1" si="140"/>
        <v>3.7653474616678542E-3</v>
      </c>
      <c r="F1274" s="64">
        <f t="shared" ca="1" si="141"/>
        <v>-6.0877941031562844E-3</v>
      </c>
      <c r="G1274">
        <f t="shared" ca="1" si="138"/>
        <v>1.615461886210174E-2</v>
      </c>
      <c r="H1274">
        <f t="shared" ca="1" si="142"/>
        <v>0.18200281379053454</v>
      </c>
      <c r="I1274">
        <f t="shared" ca="1" si="143"/>
        <v>2.7352709360871481</v>
      </c>
      <c r="J1274" s="60">
        <v>1269</v>
      </c>
    </row>
    <row r="1275" spans="2:10" x14ac:dyDescent="0.25">
      <c r="B1275" s="53">
        <v>42025</v>
      </c>
      <c r="C1275">
        <v>516.62398189999999</v>
      </c>
      <c r="D1275" s="54">
        <f t="shared" si="139"/>
        <v>2.1976777729175515E-2</v>
      </c>
      <c r="E1275" s="54">
        <f t="shared" ca="1" si="140"/>
        <v>3.1914496401534097E-3</v>
      </c>
      <c r="F1275" s="64">
        <f t="shared" ca="1" si="141"/>
        <v>1.8785328089022106E-2</v>
      </c>
      <c r="G1275">
        <f t="shared" ca="1" si="138"/>
        <v>4.8777182995320915E-3</v>
      </c>
      <c r="H1275">
        <f t="shared" ca="1" si="142"/>
        <v>-0.49988032243044656</v>
      </c>
      <c r="I1275">
        <f t="shared" ca="1" si="143"/>
        <v>2.5167176685740045</v>
      </c>
      <c r="J1275" s="57">
        <v>1270</v>
      </c>
    </row>
    <row r="1276" spans="2:10" x14ac:dyDescent="0.25">
      <c r="B1276" s="53">
        <v>42026</v>
      </c>
      <c r="C1276">
        <v>532.92923080000003</v>
      </c>
      <c r="D1276" s="54">
        <f t="shared" si="139"/>
        <v>3.1561153704157997E-2</v>
      </c>
      <c r="E1276" s="54">
        <f t="shared" ca="1" si="140"/>
        <v>-5.6564696832364873E-3</v>
      </c>
      <c r="F1276" s="64">
        <f t="shared" ca="1" si="141"/>
        <v>3.7217623387394483E-2</v>
      </c>
      <c r="G1276">
        <f t="shared" ca="1" si="138"/>
        <v>8.4776886873153389E-3</v>
      </c>
      <c r="H1276">
        <f t="shared" ca="1" si="142"/>
        <v>-0.54422747615319189</v>
      </c>
      <c r="I1276">
        <f t="shared" ca="1" si="143"/>
        <v>1.7098978032696057</v>
      </c>
      <c r="J1276" s="60">
        <v>1271</v>
      </c>
    </row>
    <row r="1277" spans="2:10" x14ac:dyDescent="0.25">
      <c r="B1277" s="53">
        <v>42027</v>
      </c>
      <c r="C1277">
        <v>538.47405649999996</v>
      </c>
      <c r="D1277" s="54">
        <f t="shared" si="139"/>
        <v>1.0404431544646908E-2</v>
      </c>
      <c r="E1277" s="54">
        <f t="shared" ca="1" si="140"/>
        <v>2.5767199391422795E-3</v>
      </c>
      <c r="F1277" s="64">
        <f t="shared" ca="1" si="141"/>
        <v>7.8277116055046284E-3</v>
      </c>
      <c r="G1277">
        <f t="shared" ca="1" si="138"/>
        <v>9.341693922762127E-3</v>
      </c>
      <c r="H1277">
        <f t="shared" ca="1" si="142"/>
        <v>-0.78080432382239318</v>
      </c>
      <c r="I1277">
        <f t="shared" ca="1" si="143"/>
        <v>2.7361845923469237</v>
      </c>
      <c r="J1277" s="57">
        <v>1272</v>
      </c>
    </row>
    <row r="1278" spans="2:10" x14ac:dyDescent="0.25">
      <c r="B1278" s="53">
        <v>42030</v>
      </c>
      <c r="C1278">
        <v>533.74704550000001</v>
      </c>
      <c r="D1278" s="54">
        <f t="shared" si="139"/>
        <v>-8.7785306328865779E-3</v>
      </c>
      <c r="E1278" s="54">
        <f t="shared" ca="1" si="140"/>
        <v>5.873501125067607E-3</v>
      </c>
      <c r="F1278" s="64">
        <f t="shared" ca="1" si="141"/>
        <v>-1.4652031757954185E-2</v>
      </c>
      <c r="G1278">
        <f t="shared" ca="1" si="138"/>
        <v>1.3243957181877392E-2</v>
      </c>
      <c r="H1278">
        <f t="shared" ca="1" si="142"/>
        <v>-0.62680846161870574</v>
      </c>
      <c r="I1278">
        <f t="shared" ca="1" si="143"/>
        <v>2.5791750760266012</v>
      </c>
      <c r="J1278" s="60">
        <v>1273</v>
      </c>
    </row>
    <row r="1279" spans="2:10" x14ac:dyDescent="0.25">
      <c r="B1279" s="53">
        <v>42031</v>
      </c>
      <c r="C1279">
        <v>517.21236350000004</v>
      </c>
      <c r="D1279" s="54">
        <f t="shared" si="139"/>
        <v>-3.097849840931808E-2</v>
      </c>
      <c r="E1279" s="54">
        <f t="shared" ca="1" si="140"/>
        <v>4.2102381104759433E-3</v>
      </c>
      <c r="F1279" s="64">
        <f t="shared" ca="1" si="141"/>
        <v>-3.5188736519794026E-2</v>
      </c>
      <c r="G1279">
        <f t="shared" ca="1" si="138"/>
        <v>1.0935447443702217E-2</v>
      </c>
      <c r="H1279">
        <f t="shared" ca="1" si="142"/>
        <v>-4.2289005364696403E-2</v>
      </c>
      <c r="I1279">
        <f t="shared" ca="1" si="143"/>
        <v>1.7220471293207327</v>
      </c>
      <c r="J1279" s="57">
        <v>1274</v>
      </c>
    </row>
    <row r="1280" spans="2:10" x14ac:dyDescent="0.25">
      <c r="B1280" s="53">
        <v>42032</v>
      </c>
      <c r="C1280">
        <v>508.60594040000001</v>
      </c>
      <c r="D1280" s="54">
        <f t="shared" si="139"/>
        <v>-1.6640018118979145E-2</v>
      </c>
      <c r="E1280" s="54">
        <f t="shared" ca="1" si="140"/>
        <v>-4.9307585560495124E-3</v>
      </c>
      <c r="F1280" s="64">
        <f t="shared" ca="1" si="141"/>
        <v>-1.1709259562929633E-2</v>
      </c>
      <c r="G1280">
        <f t="shared" ca="1" si="138"/>
        <v>2.7789740691202018E-3</v>
      </c>
      <c r="H1280">
        <f t="shared" ca="1" si="142"/>
        <v>-0.35538682165497121</v>
      </c>
      <c r="I1280">
        <f t="shared" ca="1" si="143"/>
        <v>2.6461758621417628</v>
      </c>
      <c r="J1280" s="60">
        <v>1275</v>
      </c>
    </row>
    <row r="1281" spans="2:10" x14ac:dyDescent="0.25">
      <c r="B1281" s="53">
        <v>42033</v>
      </c>
      <c r="C1281">
        <v>509.26411539999998</v>
      </c>
      <c r="D1281" s="54">
        <f t="shared" si="139"/>
        <v>1.2940765093745088E-3</v>
      </c>
      <c r="E1281" s="54">
        <f t="shared" ca="1" si="140"/>
        <v>-1.1910009324860756E-2</v>
      </c>
      <c r="F1281" s="64">
        <f t="shared" ca="1" si="141"/>
        <v>1.3204085834235265E-2</v>
      </c>
      <c r="G1281">
        <f t="shared" ca="1" si="138"/>
        <v>6.0503295352433775E-3</v>
      </c>
      <c r="H1281">
        <f t="shared" ca="1" si="142"/>
        <v>0.33111279537984395</v>
      </c>
      <c r="I1281">
        <f t="shared" ca="1" si="143"/>
        <v>2.6527445258119351</v>
      </c>
      <c r="J1281" s="57">
        <v>1276</v>
      </c>
    </row>
    <row r="1282" spans="2:10" x14ac:dyDescent="0.25">
      <c r="B1282" s="53">
        <v>42034</v>
      </c>
      <c r="C1282">
        <v>533.05893170000002</v>
      </c>
      <c r="D1282" s="54">
        <f t="shared" si="139"/>
        <v>4.672392100768865E-2</v>
      </c>
      <c r="E1282" s="54">
        <f t="shared" ca="1" si="140"/>
        <v>-1.7533236336580042E-2</v>
      </c>
      <c r="F1282" s="64">
        <f t="shared" ca="1" si="141"/>
        <v>6.4257157344268692E-2</v>
      </c>
      <c r="G1282">
        <f t="shared" ca="1" si="138"/>
        <v>5.7847161340628638E-3</v>
      </c>
      <c r="H1282">
        <f t="shared" ca="1" si="142"/>
        <v>-1.7390469981487724</v>
      </c>
      <c r="I1282">
        <f t="shared" ca="1" si="143"/>
        <v>-0.46699074370907473</v>
      </c>
      <c r="J1282" s="60">
        <v>1277</v>
      </c>
    </row>
    <row r="1283" spans="2:10" x14ac:dyDescent="0.25">
      <c r="B1283" s="53">
        <v>42037</v>
      </c>
      <c r="C1283">
        <v>527.03540529999998</v>
      </c>
      <c r="D1283" s="54">
        <f t="shared" si="139"/>
        <v>-1.1299925846454093E-2</v>
      </c>
      <c r="E1283" s="54">
        <f t="shared" ca="1" si="140"/>
        <v>-7.9105282303821266E-3</v>
      </c>
      <c r="F1283" s="64">
        <f t="shared" ca="1" si="141"/>
        <v>-3.3893976160719666E-3</v>
      </c>
      <c r="G1283">
        <f t="shared" ca="1" si="138"/>
        <v>2.9074845258546103E-2</v>
      </c>
      <c r="H1283">
        <f t="shared" ca="1" si="142"/>
        <v>-0.29209198016198346</v>
      </c>
      <c r="I1283">
        <f t="shared" ca="1" si="143"/>
        <v>2.7599010270827082</v>
      </c>
      <c r="J1283" s="57">
        <v>1278</v>
      </c>
    </row>
    <row r="1284" spans="2:10" x14ac:dyDescent="0.25">
      <c r="B1284" s="53">
        <v>42038</v>
      </c>
      <c r="C1284">
        <v>527.79334340000003</v>
      </c>
      <c r="D1284" s="54">
        <f t="shared" si="139"/>
        <v>1.4381160969036072E-3</v>
      </c>
      <c r="E1284" s="54">
        <f t="shared" ca="1" si="140"/>
        <v>2.4564398471750907E-2</v>
      </c>
      <c r="F1284" s="64">
        <f t="shared" ca="1" si="141"/>
        <v>-2.3126282374847301E-2</v>
      </c>
      <c r="G1284">
        <f t="shared" ca="1" si="138"/>
        <v>8.2864724233621158E-3</v>
      </c>
      <c r="H1284">
        <f t="shared" ca="1" si="142"/>
        <v>0.43202273495596127</v>
      </c>
      <c r="I1284">
        <f t="shared" ca="1" si="143"/>
        <v>2.3080716031276332</v>
      </c>
      <c r="J1284" s="60">
        <v>1279</v>
      </c>
    </row>
    <row r="1285" spans="2:10" x14ac:dyDescent="0.25">
      <c r="B1285" s="53">
        <v>42039</v>
      </c>
      <c r="C1285">
        <v>521.33103459999995</v>
      </c>
      <c r="D1285" s="54">
        <f t="shared" si="139"/>
        <v>-1.2244013458696594E-2</v>
      </c>
      <c r="E1285" s="54">
        <f t="shared" ca="1" si="140"/>
        <v>-1.4129395272871145E-2</v>
      </c>
      <c r="F1285" s="64">
        <f t="shared" ca="1" si="141"/>
        <v>1.8853818141745509E-3</v>
      </c>
      <c r="G1285">
        <f t="shared" ref="G1285:G1348" ca="1" si="144">SQRT(A_0+A_1*POWER(H1284,2)+B_1*POWER(G1284,2))</f>
        <v>7.5221058254961075E-3</v>
      </c>
      <c r="H1285">
        <f t="shared" ca="1" si="142"/>
        <v>-1.2037050860153347</v>
      </c>
      <c r="I1285">
        <f t="shared" ca="1" si="143"/>
        <v>2.7740709268442378</v>
      </c>
      <c r="J1285" s="57">
        <v>1280</v>
      </c>
    </row>
    <row r="1286" spans="2:10" x14ac:dyDescent="0.25">
      <c r="B1286" s="53">
        <v>42040</v>
      </c>
      <c r="C1286">
        <v>526.13787950000005</v>
      </c>
      <c r="D1286" s="54">
        <f t="shared" si="139"/>
        <v>9.2203313844306887E-3</v>
      </c>
      <c r="E1286" s="54">
        <f t="shared" ca="1" si="140"/>
        <v>5.6672225492052268E-3</v>
      </c>
      <c r="F1286" s="64">
        <f t="shared" ca="1" si="141"/>
        <v>3.5531088352254618E-3</v>
      </c>
      <c r="G1286">
        <f t="shared" ca="1" si="144"/>
        <v>2.0189905437349692E-2</v>
      </c>
      <c r="H1286">
        <f t="shared" ca="1" si="142"/>
        <v>0.24871571733751982</v>
      </c>
      <c r="I1286">
        <f t="shared" ca="1" si="143"/>
        <v>2.7691972840546679</v>
      </c>
      <c r="J1286" s="60">
        <v>1281</v>
      </c>
    </row>
    <row r="1287" spans="2:10" x14ac:dyDescent="0.25">
      <c r="B1287" s="53">
        <v>42041</v>
      </c>
      <c r="C1287">
        <v>529.54853949999995</v>
      </c>
      <c r="D1287" s="54">
        <f t="shared" ref="D1287:D1350" si="145">(C1287-C1286)/C1286</f>
        <v>6.4824452541624939E-3</v>
      </c>
      <c r="E1287" s="54">
        <f t="shared" ca="1" si="140"/>
        <v>-4.1349284961040558E-3</v>
      </c>
      <c r="F1287" s="64">
        <f t="shared" ca="1" si="141"/>
        <v>1.061737375026655E-2</v>
      </c>
      <c r="G1287">
        <f t="shared" ca="1" si="144"/>
        <v>6.2777602833440334E-3</v>
      </c>
      <c r="H1287">
        <f t="shared" ca="1" si="142"/>
        <v>0.21726606562156767</v>
      </c>
      <c r="I1287">
        <f t="shared" ca="1" si="143"/>
        <v>2.6987193572927235</v>
      </c>
      <c r="J1287" s="57">
        <v>1282</v>
      </c>
    </row>
    <row r="1288" spans="2:10" x14ac:dyDescent="0.25">
      <c r="B1288" s="53">
        <v>42044</v>
      </c>
      <c r="C1288">
        <v>526.38720990000002</v>
      </c>
      <c r="D1288" s="54">
        <f t="shared" si="145"/>
        <v>-5.969858028472442E-3</v>
      </c>
      <c r="E1288" s="54">
        <f t="shared" ref="E1288:E1351" ca="1" si="146">((E_1*D1287)+(E_2*D1286)+(G1288*H1288))</f>
        <v>5.3170181817700606E-3</v>
      </c>
      <c r="F1288" s="64">
        <f t="shared" ca="1" si="141"/>
        <v>-1.1286876210242502E-2</v>
      </c>
      <c r="G1288">
        <f t="shared" ca="1" si="144"/>
        <v>4.0267363863294445E-3</v>
      </c>
      <c r="H1288">
        <f t="shared" ca="1" si="142"/>
        <v>0.29201588105293913</v>
      </c>
      <c r="I1288">
        <f t="shared" ca="1" si="143"/>
        <v>2.6546443486465998</v>
      </c>
      <c r="J1288" s="60">
        <v>1283</v>
      </c>
    </row>
    <row r="1289" spans="2:10" x14ac:dyDescent="0.25">
      <c r="B1289" s="53">
        <v>42045</v>
      </c>
      <c r="C1289">
        <v>535.47227290000001</v>
      </c>
      <c r="D1289" s="54">
        <f t="shared" si="145"/>
        <v>1.725927763656324E-2</v>
      </c>
      <c r="E1289" s="54">
        <f t="shared" ca="1" si="146"/>
        <v>-2.735024466861719E-3</v>
      </c>
      <c r="F1289" s="64">
        <f t="shared" ref="F1289:F1352" ca="1" si="147">D1289-E1289</f>
        <v>1.9994302103424958E-2</v>
      </c>
      <c r="G1289">
        <f t="shared" ca="1" si="144"/>
        <v>5.0613153051148885E-3</v>
      </c>
      <c r="H1289">
        <f t="shared" ref="H1289:H1352" ca="1" si="148">_xlfn.NORM.INV(RAND(),0,1)</f>
        <v>-1.1155830533458249</v>
      </c>
      <c r="I1289">
        <f t="shared" ref="I1289:I1352" ca="1" si="149">LN(_xlfn.NORM.DIST(F1289,AVERAGE($F$8:$F$1413),_xlfn.STDEV.S($F$8:$F$1413),FALSE))</f>
        <v>2.4806203746332738</v>
      </c>
      <c r="J1289" s="57">
        <v>1284</v>
      </c>
    </row>
    <row r="1290" spans="2:10" x14ac:dyDescent="0.25">
      <c r="B1290" s="53">
        <v>42046</v>
      </c>
      <c r="C1290">
        <v>534.50492169999995</v>
      </c>
      <c r="D1290" s="54">
        <f t="shared" si="145"/>
        <v>-1.8065383568062106E-3</v>
      </c>
      <c r="E1290" s="54">
        <f t="shared" ca="1" si="146"/>
        <v>2.5472582348567474E-2</v>
      </c>
      <c r="F1290" s="64">
        <f t="shared" ca="1" si="147"/>
        <v>-2.7279120705373684E-2</v>
      </c>
      <c r="G1290">
        <f t="shared" ca="1" si="144"/>
        <v>1.8683758949501906E-2</v>
      </c>
      <c r="H1290">
        <f t="shared" ca="1" si="148"/>
        <v>1.5068417332163146</v>
      </c>
      <c r="I1290">
        <f t="shared" ca="1" si="149"/>
        <v>2.1328527827480452</v>
      </c>
      <c r="J1290" s="60">
        <v>1285</v>
      </c>
    </row>
    <row r="1291" spans="2:10" x14ac:dyDescent="0.25">
      <c r="B1291" s="53">
        <v>42047</v>
      </c>
      <c r="C1291">
        <v>541.44593220000002</v>
      </c>
      <c r="D1291" s="54">
        <f t="shared" si="145"/>
        <v>1.2985868264644011E-2</v>
      </c>
      <c r="E1291" s="54">
        <f t="shared" ca="1" si="146"/>
        <v>-9.4663124847108576E-3</v>
      </c>
      <c r="F1291" s="64">
        <f t="shared" ca="1" si="147"/>
        <v>2.2452180749354868E-2</v>
      </c>
      <c r="G1291">
        <f t="shared" ca="1" si="144"/>
        <v>2.5529160385462265E-2</v>
      </c>
      <c r="H1291">
        <f t="shared" ca="1" si="148"/>
        <v>-0.67443536543521976</v>
      </c>
      <c r="I1291">
        <f t="shared" ca="1" si="149"/>
        <v>2.3999524309913469</v>
      </c>
      <c r="J1291" s="57">
        <v>1286</v>
      </c>
    </row>
    <row r="1292" spans="2:10" x14ac:dyDescent="0.25">
      <c r="B1292" s="53">
        <v>42048</v>
      </c>
      <c r="C1292">
        <v>547.50931419999995</v>
      </c>
      <c r="D1292" s="54">
        <f t="shared" si="145"/>
        <v>1.119849949811837E-2</v>
      </c>
      <c r="E1292" s="54">
        <f t="shared" ca="1" si="146"/>
        <v>4.545266077226693E-3</v>
      </c>
      <c r="F1292" s="64">
        <f t="shared" ca="1" si="147"/>
        <v>6.6532334208916771E-3</v>
      </c>
      <c r="G1292">
        <f t="shared" ca="1" si="144"/>
        <v>1.2711211858833196E-2</v>
      </c>
      <c r="H1292">
        <f t="shared" ca="1" si="148"/>
        <v>0.42139135931185734</v>
      </c>
      <c r="I1292">
        <f t="shared" ca="1" si="149"/>
        <v>2.7481965645406921</v>
      </c>
      <c r="J1292" s="60">
        <v>1287</v>
      </c>
    </row>
    <row r="1293" spans="2:10" x14ac:dyDescent="0.25">
      <c r="B1293" s="53">
        <v>42052</v>
      </c>
      <c r="C1293">
        <v>541.35614969999995</v>
      </c>
      <c r="D1293" s="54">
        <f t="shared" si="145"/>
        <v>-1.1238465429562191E-2</v>
      </c>
      <c r="E1293" s="54">
        <f t="shared" ca="1" si="146"/>
        <v>-2.7137530919578903E-3</v>
      </c>
      <c r="F1293" s="64">
        <f t="shared" ca="1" si="147"/>
        <v>-8.5247123376043007E-3</v>
      </c>
      <c r="G1293">
        <f t="shared" ca="1" si="144"/>
        <v>7.6731186554379049E-3</v>
      </c>
      <c r="H1293">
        <f t="shared" ca="1" si="148"/>
        <v>-1.1137791540046114</v>
      </c>
      <c r="I1293">
        <f t="shared" ca="1" si="149"/>
        <v>2.7029175130185989</v>
      </c>
      <c r="J1293" s="57">
        <v>1288</v>
      </c>
    </row>
    <row r="1294" spans="2:10" x14ac:dyDescent="0.25">
      <c r="B1294" s="53">
        <v>42053</v>
      </c>
      <c r="C1294">
        <v>538.22472600000003</v>
      </c>
      <c r="D1294" s="54">
        <f t="shared" si="145"/>
        <v>-5.7844058883144414E-3</v>
      </c>
      <c r="E1294" s="54">
        <f t="shared" ca="1" si="146"/>
        <v>3.4346403084919187E-3</v>
      </c>
      <c r="F1294" s="64">
        <f t="shared" ca="1" si="147"/>
        <v>-9.219046196806361E-3</v>
      </c>
      <c r="G1294">
        <f t="shared" ca="1" si="144"/>
        <v>1.8699967157525112E-2</v>
      </c>
      <c r="H1294">
        <f t="shared" ca="1" si="148"/>
        <v>-8.5274824963295928E-2</v>
      </c>
      <c r="I1294">
        <f t="shared" ca="1" si="149"/>
        <v>2.6919428529886913</v>
      </c>
      <c r="J1294" s="60">
        <v>1289</v>
      </c>
    </row>
    <row r="1295" spans="2:10" x14ac:dyDescent="0.25">
      <c r="B1295" s="53">
        <v>42054</v>
      </c>
      <c r="C1295">
        <v>541.38605659999996</v>
      </c>
      <c r="D1295" s="54">
        <f t="shared" si="145"/>
        <v>5.8736257315683566E-3</v>
      </c>
      <c r="E1295" s="54">
        <f t="shared" ca="1" si="146"/>
        <v>-8.3052040051356177E-3</v>
      </c>
      <c r="F1295" s="64">
        <f t="shared" ca="1" si="147"/>
        <v>1.4178829736703974E-2</v>
      </c>
      <c r="G1295">
        <f t="shared" ca="1" si="144"/>
        <v>4.6037030892690303E-3</v>
      </c>
      <c r="H1295">
        <f t="shared" ca="1" si="148"/>
        <v>-0.7076226124549887</v>
      </c>
      <c r="I1295">
        <f t="shared" ca="1" si="149"/>
        <v>2.6326154078620791</v>
      </c>
      <c r="J1295" s="57">
        <v>1290</v>
      </c>
    </row>
    <row r="1296" spans="2:10" x14ac:dyDescent="0.25">
      <c r="B1296" s="53">
        <v>42055</v>
      </c>
      <c r="C1296">
        <v>537.47679849999997</v>
      </c>
      <c r="D1296" s="54">
        <f t="shared" si="145"/>
        <v>-7.2208326245984597E-3</v>
      </c>
      <c r="E1296" s="54">
        <f t="shared" ca="1" si="146"/>
        <v>-6.1187398476431638E-3</v>
      </c>
      <c r="F1296" s="64">
        <f t="shared" ca="1" si="147"/>
        <v>-1.1020927769552959E-3</v>
      </c>
      <c r="G1296">
        <f t="shared" ca="1" si="144"/>
        <v>1.1900639255565112E-2</v>
      </c>
      <c r="H1296">
        <f t="shared" ca="1" si="148"/>
        <v>-0.29586213465124295</v>
      </c>
      <c r="I1296">
        <f t="shared" ca="1" si="149"/>
        <v>2.7715659490826918</v>
      </c>
      <c r="J1296" s="60">
        <v>1291</v>
      </c>
    </row>
    <row r="1297" spans="2:10" x14ac:dyDescent="0.25">
      <c r="B1297" s="53">
        <v>42058</v>
      </c>
      <c r="C1297">
        <v>530.45601399999998</v>
      </c>
      <c r="D1297" s="54">
        <f t="shared" si="145"/>
        <v>-1.3062488501073393E-2</v>
      </c>
      <c r="E1297" s="54">
        <f t="shared" ca="1" si="146"/>
        <v>4.5764372710736861E-3</v>
      </c>
      <c r="F1297" s="64">
        <f t="shared" ca="1" si="147"/>
        <v>-1.7638925772147079E-2</v>
      </c>
      <c r="G1297">
        <f t="shared" ca="1" si="144"/>
        <v>5.7233168153593408E-3</v>
      </c>
      <c r="H1297">
        <f t="shared" ca="1" si="148"/>
        <v>0.3387194555810355</v>
      </c>
      <c r="I1297">
        <f t="shared" ca="1" si="149"/>
        <v>2.4968612284591716</v>
      </c>
      <c r="J1297" s="57">
        <v>1292</v>
      </c>
    </row>
    <row r="1298" spans="2:10" x14ac:dyDescent="0.25">
      <c r="B1298" s="53">
        <v>42059</v>
      </c>
      <c r="C1298">
        <v>534.62461210000004</v>
      </c>
      <c r="D1298" s="54">
        <f t="shared" si="145"/>
        <v>7.858517935475897E-3</v>
      </c>
      <c r="E1298" s="54">
        <f t="shared" ca="1" si="146"/>
        <v>-4.1491030844689938E-3</v>
      </c>
      <c r="F1298" s="64">
        <f t="shared" ca="1" si="147"/>
        <v>1.2007621019944891E-2</v>
      </c>
      <c r="G1298">
        <f t="shared" ca="1" si="144"/>
        <v>5.8891987922365619E-3</v>
      </c>
      <c r="H1298">
        <f t="shared" ca="1" si="148"/>
        <v>-0.15381675012986396</v>
      </c>
      <c r="I1298">
        <f t="shared" ca="1" si="149"/>
        <v>2.6753536531823476</v>
      </c>
      <c r="J1298" s="60">
        <v>1293</v>
      </c>
    </row>
    <row r="1299" spans="2:10" x14ac:dyDescent="0.25">
      <c r="B1299" s="53">
        <v>42060</v>
      </c>
      <c r="C1299">
        <v>542.38337539999998</v>
      </c>
      <c r="D1299" s="54">
        <f t="shared" si="145"/>
        <v>1.4512544174731497E-2</v>
      </c>
      <c r="E1299" s="54">
        <f t="shared" ca="1" si="146"/>
        <v>-6.0097008204778139E-3</v>
      </c>
      <c r="F1299" s="64">
        <f t="shared" ca="1" si="147"/>
        <v>2.0522244995209313E-2</v>
      </c>
      <c r="G1299">
        <f t="shared" ca="1" si="144"/>
        <v>3.0674724181657151E-3</v>
      </c>
      <c r="H1299">
        <f t="shared" ca="1" si="148"/>
        <v>-4.6686986590928035E-2</v>
      </c>
      <c r="I1299">
        <f t="shared" ca="1" si="149"/>
        <v>2.464116350452068</v>
      </c>
      <c r="J1299" s="57">
        <v>1294</v>
      </c>
    </row>
    <row r="1300" spans="2:10" x14ac:dyDescent="0.25">
      <c r="B1300" s="53">
        <v>42061</v>
      </c>
      <c r="C1300">
        <v>553.96161440000003</v>
      </c>
      <c r="D1300" s="54">
        <f t="shared" si="145"/>
        <v>2.134696512676346E-2</v>
      </c>
      <c r="E1300" s="54">
        <f t="shared" ca="1" si="146"/>
        <v>5.0903632140835448E-3</v>
      </c>
      <c r="F1300" s="64">
        <f t="shared" ca="1" si="147"/>
        <v>1.6256601912679913E-2</v>
      </c>
      <c r="G1300">
        <f t="shared" ca="1" si="144"/>
        <v>1.4536423529088857E-3</v>
      </c>
      <c r="H1300">
        <f t="shared" ca="1" si="148"/>
        <v>1.0736446356033731</v>
      </c>
      <c r="I1300">
        <f t="shared" ca="1" si="149"/>
        <v>2.5845841218290069</v>
      </c>
      <c r="J1300" s="60">
        <v>1295</v>
      </c>
    </row>
    <row r="1301" spans="2:10" x14ac:dyDescent="0.25">
      <c r="B1301" s="53">
        <v>42062</v>
      </c>
      <c r="C1301">
        <v>556.87361450000003</v>
      </c>
      <c r="D1301" s="54">
        <f t="shared" si="145"/>
        <v>5.2566820954805856E-3</v>
      </c>
      <c r="E1301" s="54">
        <f t="shared" ca="1" si="146"/>
        <v>-1.2161776582882342E-2</v>
      </c>
      <c r="F1301" s="64">
        <f t="shared" ca="1" si="147"/>
        <v>1.7418458678362926E-2</v>
      </c>
      <c r="G1301">
        <f t="shared" ca="1" si="144"/>
        <v>1.7952243168782373E-2</v>
      </c>
      <c r="H1301">
        <f t="shared" ca="1" si="148"/>
        <v>-1.0405395326545115</v>
      </c>
      <c r="I1301">
        <f t="shared" ca="1" si="149"/>
        <v>2.5546849712864841</v>
      </c>
      <c r="J1301" s="57">
        <v>1296</v>
      </c>
    </row>
    <row r="1302" spans="2:10" x14ac:dyDescent="0.25">
      <c r="B1302" s="53">
        <v>42065</v>
      </c>
      <c r="C1302">
        <v>569.7782747</v>
      </c>
      <c r="D1302" s="54">
        <f t="shared" si="145"/>
        <v>2.3173409305065874E-2</v>
      </c>
      <c r="E1302" s="54">
        <f t="shared" ca="1" si="146"/>
        <v>1.3591232619004339E-2</v>
      </c>
      <c r="F1302" s="64">
        <f t="shared" ca="1" si="147"/>
        <v>9.5821766860615352E-3</v>
      </c>
      <c r="G1302">
        <f t="shared" ca="1" si="144"/>
        <v>1.7871811188631855E-2</v>
      </c>
      <c r="H1302">
        <f t="shared" ca="1" si="148"/>
        <v>0.2240283540475663</v>
      </c>
      <c r="I1302">
        <f t="shared" ca="1" si="149"/>
        <v>2.7140893566960984</v>
      </c>
      <c r="J1302" s="60">
        <v>1297</v>
      </c>
    </row>
    <row r="1303" spans="2:10" x14ac:dyDescent="0.25">
      <c r="B1303" s="53">
        <v>42066</v>
      </c>
      <c r="C1303">
        <v>572.07198640000001</v>
      </c>
      <c r="D1303" s="54">
        <f t="shared" si="145"/>
        <v>4.0256215476234215E-3</v>
      </c>
      <c r="E1303" s="54">
        <f t="shared" ca="1" si="146"/>
        <v>2.3986535119080218E-3</v>
      </c>
      <c r="F1303" s="64">
        <f t="shared" ca="1" si="147"/>
        <v>1.6269680357153997E-3</v>
      </c>
      <c r="G1303">
        <f t="shared" ca="1" si="144"/>
        <v>5.6195238957169489E-3</v>
      </c>
      <c r="H1303">
        <f t="shared" ca="1" si="148"/>
        <v>6.6505530228658473E-3</v>
      </c>
      <c r="I1303">
        <f t="shared" ca="1" si="149"/>
        <v>2.7744239836160989</v>
      </c>
      <c r="J1303" s="57">
        <v>1298</v>
      </c>
    </row>
    <row r="1304" spans="2:10" x14ac:dyDescent="0.25">
      <c r="B1304" s="53">
        <v>42067</v>
      </c>
      <c r="C1304">
        <v>571.80269869999995</v>
      </c>
      <c r="D1304" s="54">
        <f t="shared" si="145"/>
        <v>-4.7072345159683126E-4</v>
      </c>
      <c r="E1304" s="54">
        <f t="shared" ca="1" si="146"/>
        <v>8.830827464592619E-3</v>
      </c>
      <c r="F1304" s="64">
        <f t="shared" ca="1" si="147"/>
        <v>-9.3015509161894494E-3</v>
      </c>
      <c r="G1304">
        <f t="shared" ca="1" si="144"/>
        <v>1.6336599364728112E-3</v>
      </c>
      <c r="H1304">
        <f t="shared" ca="1" si="148"/>
        <v>-0.9652462673058243</v>
      </c>
      <c r="I1304">
        <f t="shared" ca="1" si="149"/>
        <v>2.690587002135671</v>
      </c>
      <c r="J1304" s="60">
        <v>1299</v>
      </c>
    </row>
    <row r="1305" spans="2:10" x14ac:dyDescent="0.25">
      <c r="B1305" s="53">
        <v>42068</v>
      </c>
      <c r="C1305">
        <v>573.7573582</v>
      </c>
      <c r="D1305" s="54">
        <f t="shared" si="145"/>
        <v>3.4184160103546014E-3</v>
      </c>
      <c r="E1305" s="54">
        <f t="shared" ca="1" si="146"/>
        <v>1.206058485181084E-2</v>
      </c>
      <c r="F1305" s="64">
        <f t="shared" ca="1" si="147"/>
        <v>-8.6421688414562384E-3</v>
      </c>
      <c r="G1305">
        <f t="shared" ca="1" si="144"/>
        <v>1.6147317590512522E-2</v>
      </c>
      <c r="H1305">
        <f t="shared" ca="1" si="148"/>
        <v>0.63494172594324527</v>
      </c>
      <c r="I1305">
        <f t="shared" ca="1" si="149"/>
        <v>2.7011157322714152</v>
      </c>
      <c r="J1305" s="57">
        <v>1300</v>
      </c>
    </row>
    <row r="1306" spans="2:10" x14ac:dyDescent="0.25">
      <c r="B1306" s="53">
        <v>42069</v>
      </c>
      <c r="C1306">
        <v>566.13323920000005</v>
      </c>
      <c r="D1306" s="54">
        <f t="shared" si="145"/>
        <v>-1.3288054420632528E-2</v>
      </c>
      <c r="E1306" s="54">
        <f t="shared" ca="1" si="146"/>
        <v>-4.6194704993556695E-4</v>
      </c>
      <c r="F1306" s="64">
        <f t="shared" ca="1" si="147"/>
        <v>-1.2826107370696961E-2</v>
      </c>
      <c r="G1306">
        <f t="shared" ca="1" si="144"/>
        <v>1.1263764594975408E-2</v>
      </c>
      <c r="H1306">
        <f t="shared" ca="1" si="148"/>
        <v>-2.2247857637858724E-2</v>
      </c>
      <c r="I1306">
        <f t="shared" ca="1" si="149"/>
        <v>2.6223950491464163</v>
      </c>
      <c r="J1306" s="60">
        <v>1301</v>
      </c>
    </row>
    <row r="1307" spans="2:10" x14ac:dyDescent="0.25">
      <c r="B1307" s="53">
        <v>42072</v>
      </c>
      <c r="C1307">
        <v>567.29504840000004</v>
      </c>
      <c r="D1307" s="54">
        <f t="shared" si="145"/>
        <v>2.0521833369857244E-3</v>
      </c>
      <c r="E1307" s="54">
        <f t="shared" ca="1" si="146"/>
        <v>3.7795733521524635E-4</v>
      </c>
      <c r="F1307" s="64">
        <f t="shared" ca="1" si="147"/>
        <v>1.6742260017704781E-3</v>
      </c>
      <c r="G1307">
        <f t="shared" ca="1" si="144"/>
        <v>2.7822026769397617E-3</v>
      </c>
      <c r="H1307">
        <f t="shared" ca="1" si="148"/>
        <v>-0.41589089488034636</v>
      </c>
      <c r="I1307">
        <f t="shared" ca="1" si="149"/>
        <v>2.7743674792284749</v>
      </c>
      <c r="J1307" s="57">
        <v>1302</v>
      </c>
    </row>
    <row r="1308" spans="2:10" x14ac:dyDescent="0.25">
      <c r="B1308" s="53">
        <v>42073</v>
      </c>
      <c r="C1308">
        <v>553.49292319999995</v>
      </c>
      <c r="D1308" s="54">
        <f t="shared" si="145"/>
        <v>-2.4329712094134488E-2</v>
      </c>
      <c r="E1308" s="54">
        <f t="shared" ca="1" si="146"/>
        <v>-1.807099065632525E-2</v>
      </c>
      <c r="F1308" s="64">
        <f t="shared" ca="1" si="147"/>
        <v>-6.2587214378092386E-3</v>
      </c>
      <c r="G1308">
        <f t="shared" ca="1" si="144"/>
        <v>7.0433531433097933E-3</v>
      </c>
      <c r="H1308">
        <f t="shared" ca="1" si="148"/>
        <v>-1.7183711220682598</v>
      </c>
      <c r="I1308">
        <f t="shared" ca="1" si="149"/>
        <v>2.7333145477813985</v>
      </c>
      <c r="J1308" s="60">
        <v>1303</v>
      </c>
    </row>
    <row r="1309" spans="2:10" x14ac:dyDescent="0.25">
      <c r="B1309" s="53">
        <v>42074</v>
      </c>
      <c r="C1309">
        <v>549.67338670000004</v>
      </c>
      <c r="D1309" s="54">
        <f t="shared" si="145"/>
        <v>-6.9007865139763605E-3</v>
      </c>
      <c r="E1309" s="54">
        <f t="shared" ca="1" si="146"/>
        <v>5.5393892652464638E-2</v>
      </c>
      <c r="F1309" s="64">
        <f t="shared" ca="1" si="147"/>
        <v>-6.2294679166440999E-2</v>
      </c>
      <c r="G1309">
        <f t="shared" ca="1" si="144"/>
        <v>2.8744882858489782E-2</v>
      </c>
      <c r="H1309">
        <f t="shared" ca="1" si="148"/>
        <v>1.8950376513109433</v>
      </c>
      <c r="I1309">
        <f t="shared" ca="1" si="149"/>
        <v>-0.45254564540675762</v>
      </c>
      <c r="J1309" s="57">
        <v>1304</v>
      </c>
    </row>
    <row r="1310" spans="2:10" x14ac:dyDescent="0.25">
      <c r="B1310" s="53">
        <v>42075</v>
      </c>
      <c r="C1310">
        <v>553.99152130000004</v>
      </c>
      <c r="D1310" s="54">
        <f t="shared" si="145"/>
        <v>7.8558189362672431E-3</v>
      </c>
      <c r="E1310" s="54">
        <f t="shared" ca="1" si="146"/>
        <v>3.7433292114056257E-2</v>
      </c>
      <c r="F1310" s="64">
        <f t="shared" ca="1" si="147"/>
        <v>-2.9577473177789013E-2</v>
      </c>
      <c r="G1310">
        <f t="shared" ca="1" si="144"/>
        <v>3.2317736283466243E-2</v>
      </c>
      <c r="H1310">
        <f t="shared" ca="1" si="148"/>
        <v>1.4964034485808362</v>
      </c>
      <c r="I1310">
        <f t="shared" ca="1" si="149"/>
        <v>2.0239009932554142</v>
      </c>
      <c r="J1310" s="60">
        <v>1305</v>
      </c>
    </row>
    <row r="1311" spans="2:10" x14ac:dyDescent="0.25">
      <c r="B1311" s="53">
        <v>42076</v>
      </c>
      <c r="C1311">
        <v>545.82394339999996</v>
      </c>
      <c r="D1311" s="54">
        <f t="shared" si="145"/>
        <v>-1.4743146033776822E-2</v>
      </c>
      <c r="E1311" s="54">
        <f t="shared" ca="1" si="146"/>
        <v>1.7131465925624523E-2</v>
      </c>
      <c r="F1311" s="64">
        <f t="shared" ca="1" si="147"/>
        <v>-3.1874611959401347E-2</v>
      </c>
      <c r="G1311">
        <f t="shared" ca="1" si="144"/>
        <v>2.6059480058733365E-2</v>
      </c>
      <c r="H1311">
        <f t="shared" ca="1" si="148"/>
        <v>0.77632446741136929</v>
      </c>
      <c r="I1311">
        <f t="shared" ca="1" si="149"/>
        <v>1.9064784232731165</v>
      </c>
      <c r="J1311" s="57">
        <v>1306</v>
      </c>
    </row>
    <row r="1312" spans="2:10" x14ac:dyDescent="0.25">
      <c r="B1312" s="53">
        <v>42079</v>
      </c>
      <c r="C1312">
        <v>552.99426329999994</v>
      </c>
      <c r="D1312" s="54">
        <f t="shared" si="145"/>
        <v>1.3136689928505583E-2</v>
      </c>
      <c r="E1312" s="54">
        <f t="shared" ca="1" si="146"/>
        <v>1.4712857133787711E-2</v>
      </c>
      <c r="F1312" s="64">
        <f t="shared" ca="1" si="147"/>
        <v>-1.5761672052821279E-3</v>
      </c>
      <c r="G1312">
        <f t="shared" ca="1" si="144"/>
        <v>1.428908565567011E-2</v>
      </c>
      <c r="H1312">
        <f t="shared" ca="1" si="148"/>
        <v>0.78275866317052523</v>
      </c>
      <c r="I1312">
        <f t="shared" ca="1" si="149"/>
        <v>2.7698426925752355</v>
      </c>
      <c r="J1312" s="60">
        <v>1307</v>
      </c>
    </row>
    <row r="1313" spans="2:10" x14ac:dyDescent="0.25">
      <c r="B1313" s="53">
        <v>42080</v>
      </c>
      <c r="C1313">
        <v>549.33427380000001</v>
      </c>
      <c r="D1313" s="54">
        <f t="shared" si="145"/>
        <v>-6.618494517753053E-3</v>
      </c>
      <c r="E1313" s="54">
        <f t="shared" ca="1" si="146"/>
        <v>-2.7225023267109981E-2</v>
      </c>
      <c r="F1313" s="64">
        <f t="shared" ca="1" si="147"/>
        <v>2.060652874935693E-2</v>
      </c>
      <c r="G1313">
        <f t="shared" ca="1" si="144"/>
        <v>1.3502667868354403E-2</v>
      </c>
      <c r="H1313">
        <f t="shared" ca="1" si="148"/>
        <v>-1.525906412985248</v>
      </c>
      <c r="I1313">
        <f t="shared" ca="1" si="149"/>
        <v>2.4614398688321328</v>
      </c>
      <c r="J1313" s="57">
        <v>1308</v>
      </c>
    </row>
    <row r="1314" spans="2:10" x14ac:dyDescent="0.25">
      <c r="B1314" s="53">
        <v>42081</v>
      </c>
      <c r="C1314">
        <v>557.97060469999997</v>
      </c>
      <c r="D1314" s="54">
        <f t="shared" si="145"/>
        <v>1.5721449237562503E-2</v>
      </c>
      <c r="E1314" s="54">
        <f t="shared" ca="1" si="146"/>
        <v>1.7323920966064492E-2</v>
      </c>
      <c r="F1314" s="64">
        <f t="shared" ca="1" si="147"/>
        <v>-1.602471728501989E-3</v>
      </c>
      <c r="G1314">
        <f t="shared" ca="1" si="144"/>
        <v>2.5674714645781735E-2</v>
      </c>
      <c r="H1314">
        <f t="shared" ca="1" si="148"/>
        <v>0.4449546812787244</v>
      </c>
      <c r="I1314">
        <f t="shared" ca="1" si="149"/>
        <v>2.7697364424243274</v>
      </c>
      <c r="J1314" s="60">
        <v>1309</v>
      </c>
    </row>
    <row r="1315" spans="2:10" x14ac:dyDescent="0.25">
      <c r="B1315" s="53">
        <v>42082</v>
      </c>
      <c r="C1315">
        <v>556.46473809999998</v>
      </c>
      <c r="D1315" s="54">
        <f t="shared" si="145"/>
        <v>-2.6988278366557299E-3</v>
      </c>
      <c r="E1315" s="54">
        <f t="shared" ca="1" si="146"/>
        <v>3.4851205051699297E-3</v>
      </c>
      <c r="F1315" s="64">
        <f t="shared" ca="1" si="147"/>
        <v>-6.1839483418256597E-3</v>
      </c>
      <c r="G1315">
        <f t="shared" ca="1" si="144"/>
        <v>9.5075321801747527E-3</v>
      </c>
      <c r="H1315">
        <f t="shared" ca="1" si="148"/>
        <v>0.67918234651191078</v>
      </c>
      <c r="I1315">
        <f t="shared" ca="1" si="149"/>
        <v>2.734176188947266</v>
      </c>
      <c r="J1315" s="57">
        <v>1310</v>
      </c>
    </row>
    <row r="1316" spans="2:10" x14ac:dyDescent="0.25">
      <c r="B1316" s="53">
        <v>42083</v>
      </c>
      <c r="C1316">
        <v>558.82827399999996</v>
      </c>
      <c r="D1316" s="54">
        <f t="shared" si="145"/>
        <v>4.2474136062422823E-3</v>
      </c>
      <c r="E1316" s="54">
        <f t="shared" ca="1" si="146"/>
        <v>-1.3464283175080298E-2</v>
      </c>
      <c r="F1316" s="64">
        <f t="shared" ca="1" si="147"/>
        <v>1.7711696781322582E-2</v>
      </c>
      <c r="G1316">
        <f t="shared" ca="1" si="144"/>
        <v>1.1585696946319779E-2</v>
      </c>
      <c r="H1316">
        <f t="shared" ca="1" si="148"/>
        <v>-1.7715856445955529</v>
      </c>
      <c r="I1316">
        <f t="shared" ca="1" si="149"/>
        <v>2.5467940885012244</v>
      </c>
      <c r="J1316" s="60">
        <v>1311</v>
      </c>
    </row>
    <row r="1317" spans="2:10" x14ac:dyDescent="0.25">
      <c r="B1317" s="53">
        <v>42086</v>
      </c>
      <c r="C1317">
        <v>557.28249089999997</v>
      </c>
      <c r="D1317" s="54">
        <f t="shared" si="145"/>
        <v>-2.7661146937600985E-3</v>
      </c>
      <c r="E1317" s="54">
        <f t="shared" ca="1" si="146"/>
        <v>-3.2774246312959512E-2</v>
      </c>
      <c r="F1317" s="64">
        <f t="shared" ca="1" si="147"/>
        <v>3.0008131619199414E-2</v>
      </c>
      <c r="G1317">
        <f t="shared" ca="1" si="144"/>
        <v>2.9705264077541007E-2</v>
      </c>
      <c r="H1317">
        <f t="shared" ca="1" si="148"/>
        <v>-1.0625127517350501</v>
      </c>
      <c r="I1317">
        <f t="shared" ca="1" si="149"/>
        <v>2.0908379582096637</v>
      </c>
      <c r="J1317" s="57">
        <v>1312</v>
      </c>
    </row>
    <row r="1318" spans="2:10" x14ac:dyDescent="0.25">
      <c r="B1318" s="53">
        <v>42087</v>
      </c>
      <c r="C1318">
        <v>568.63141940000003</v>
      </c>
      <c r="D1318" s="54">
        <f t="shared" si="145"/>
        <v>2.0364767753014754E-2</v>
      </c>
      <c r="E1318" s="54">
        <f t="shared" ca="1" si="146"/>
        <v>-4.0477285773247905E-2</v>
      </c>
      <c r="F1318" s="64">
        <f t="shared" ca="1" si="147"/>
        <v>6.0842053526262659E-2</v>
      </c>
      <c r="G1318">
        <f t="shared" ca="1" si="144"/>
        <v>1.9009196390986863E-2</v>
      </c>
      <c r="H1318">
        <f t="shared" ca="1" si="148"/>
        <v>-2.2297016534049492</v>
      </c>
      <c r="I1318">
        <f t="shared" ca="1" si="149"/>
        <v>-0.12686962087180154</v>
      </c>
      <c r="J1318" s="60">
        <v>1313</v>
      </c>
    </row>
    <row r="1319" spans="2:10" x14ac:dyDescent="0.25">
      <c r="B1319" s="53">
        <v>42088</v>
      </c>
      <c r="C1319">
        <v>557.25758829999995</v>
      </c>
      <c r="D1319" s="54">
        <f t="shared" si="145"/>
        <v>-2.0002115099445866E-2</v>
      </c>
      <c r="E1319" s="54">
        <f t="shared" ca="1" si="146"/>
        <v>-2.4222941925229832E-2</v>
      </c>
      <c r="F1319" s="64">
        <f t="shared" ca="1" si="147"/>
        <v>4.220826825783966E-3</v>
      </c>
      <c r="G1319">
        <f t="shared" ca="1" si="144"/>
        <v>3.7481948269738316E-2</v>
      </c>
      <c r="H1319">
        <f t="shared" ca="1" si="148"/>
        <v>-0.61312115383543064</v>
      </c>
      <c r="I1319">
        <f t="shared" ca="1" si="149"/>
        <v>2.765986179147141</v>
      </c>
      <c r="J1319" s="57">
        <v>1314</v>
      </c>
    </row>
    <row r="1320" spans="2:10" x14ac:dyDescent="0.25">
      <c r="B1320" s="53">
        <v>42089</v>
      </c>
      <c r="C1320">
        <v>553.65246909999996</v>
      </c>
      <c r="D1320" s="54">
        <f t="shared" si="145"/>
        <v>-6.4693945415762949E-3</v>
      </c>
      <c r="E1320" s="54">
        <f t="shared" ca="1" si="146"/>
        <v>2.6167875051605782E-2</v>
      </c>
      <c r="F1320" s="64">
        <f t="shared" ca="1" si="147"/>
        <v>-3.2637269593182076E-2</v>
      </c>
      <c r="G1320">
        <f t="shared" ca="1" si="144"/>
        <v>1.3366857826586869E-2</v>
      </c>
      <c r="H1320">
        <f t="shared" ca="1" si="148"/>
        <v>1.2734477247434546</v>
      </c>
      <c r="I1320">
        <f t="shared" ca="1" si="149"/>
        <v>1.8656085056587728</v>
      </c>
      <c r="J1320" s="60">
        <v>1315</v>
      </c>
    </row>
    <row r="1321" spans="2:10" x14ac:dyDescent="0.25">
      <c r="B1321" s="53">
        <v>42090</v>
      </c>
      <c r="C1321">
        <v>546.84115959999997</v>
      </c>
      <c r="D1321" s="54">
        <f t="shared" si="145"/>
        <v>-1.2302499998008216E-2</v>
      </c>
      <c r="E1321" s="54">
        <f t="shared" ca="1" si="146"/>
        <v>-2.0537848627005431E-2</v>
      </c>
      <c r="F1321" s="64">
        <f t="shared" ca="1" si="147"/>
        <v>8.2353486289972154E-3</v>
      </c>
      <c r="G1321">
        <f t="shared" ca="1" si="144"/>
        <v>2.149657607259085E-2</v>
      </c>
      <c r="H1321">
        <f t="shared" ca="1" si="148"/>
        <v>-0.53749892990476578</v>
      </c>
      <c r="I1321">
        <f t="shared" ca="1" si="149"/>
        <v>2.7314944642393901</v>
      </c>
      <c r="J1321" s="57">
        <v>1316</v>
      </c>
    </row>
    <row r="1322" spans="2:10" x14ac:dyDescent="0.25">
      <c r="B1322" s="53">
        <v>42093</v>
      </c>
      <c r="C1322">
        <v>550.52104650000001</v>
      </c>
      <c r="D1322" s="54">
        <f t="shared" si="145"/>
        <v>6.729352455275648E-3</v>
      </c>
      <c r="E1322" s="54">
        <f t="shared" ca="1" si="146"/>
        <v>-3.4946239878784055E-3</v>
      </c>
      <c r="F1322" s="64">
        <f t="shared" ca="1" si="147"/>
        <v>1.0223976443154054E-2</v>
      </c>
      <c r="G1322">
        <f t="shared" ca="1" si="144"/>
        <v>1.0271050810309204E-2</v>
      </c>
      <c r="H1322">
        <f t="shared" ca="1" si="148"/>
        <v>-5.7333696794448413E-2</v>
      </c>
      <c r="I1322">
        <f t="shared" ca="1" si="149"/>
        <v>2.7047642640585972</v>
      </c>
      <c r="J1322" s="60">
        <v>1317</v>
      </c>
    </row>
    <row r="1323" spans="2:10" x14ac:dyDescent="0.25">
      <c r="B1323" s="53">
        <v>42094</v>
      </c>
      <c r="C1323">
        <v>546.50204659999997</v>
      </c>
      <c r="D1323" s="54">
        <f t="shared" si="145"/>
        <v>-7.3003564996311906E-3</v>
      </c>
      <c r="E1323" s="54">
        <f t="shared" ca="1" si="146"/>
        <v>-7.3035886746788785E-3</v>
      </c>
      <c r="F1323" s="64">
        <f t="shared" ca="1" si="147"/>
        <v>3.2321750476878644E-6</v>
      </c>
      <c r="G1323">
        <f t="shared" ca="1" si="144"/>
        <v>2.7219391982848079E-3</v>
      </c>
      <c r="H1323">
        <f t="shared" ca="1" si="148"/>
        <v>-0.6533597435248184</v>
      </c>
      <c r="I1323">
        <f t="shared" ca="1" si="149"/>
        <v>2.7741734488787153</v>
      </c>
      <c r="J1323" s="57">
        <v>1318</v>
      </c>
    </row>
    <row r="1324" spans="2:10" x14ac:dyDescent="0.25">
      <c r="B1324" s="53">
        <v>42095</v>
      </c>
      <c r="C1324">
        <v>541.0769123</v>
      </c>
      <c r="D1324" s="54">
        <f t="shared" si="145"/>
        <v>-9.9270155230924036E-3</v>
      </c>
      <c r="E1324" s="54">
        <f t="shared" ca="1" si="146"/>
        <v>1.4754463490655503E-2</v>
      </c>
      <c r="F1324" s="64">
        <f t="shared" ca="1" si="147"/>
        <v>-2.4681479013747905E-2</v>
      </c>
      <c r="G1324">
        <f t="shared" ca="1" si="144"/>
        <v>1.096969496297617E-2</v>
      </c>
      <c r="H1324">
        <f t="shared" ca="1" si="148"/>
        <v>1.0695194693222474</v>
      </c>
      <c r="I1324">
        <f t="shared" ca="1" si="149"/>
        <v>2.2457175858007834</v>
      </c>
      <c r="J1324" s="60">
        <v>1319</v>
      </c>
    </row>
    <row r="1325" spans="2:10" x14ac:dyDescent="0.25">
      <c r="B1325" s="53">
        <v>42096</v>
      </c>
      <c r="C1325">
        <v>534.0661384</v>
      </c>
      <c r="D1325" s="54">
        <f t="shared" si="145"/>
        <v>-1.2957074568564998E-2</v>
      </c>
      <c r="E1325" s="54">
        <f t="shared" ca="1" si="146"/>
        <v>-2.5451932045240516E-2</v>
      </c>
      <c r="F1325" s="64">
        <f t="shared" ca="1" si="147"/>
        <v>1.2494857476675518E-2</v>
      </c>
      <c r="G1325">
        <f t="shared" ca="1" si="144"/>
        <v>1.8054256576318244E-2</v>
      </c>
      <c r="H1325">
        <f t="shared" ca="1" si="148"/>
        <v>-1.2281327982801404</v>
      </c>
      <c r="I1325">
        <f t="shared" ca="1" si="149"/>
        <v>2.666425707280029</v>
      </c>
      <c r="J1325" s="57">
        <v>1320</v>
      </c>
    </row>
    <row r="1326" spans="2:10" x14ac:dyDescent="0.25">
      <c r="B1326" s="53">
        <v>42100</v>
      </c>
      <c r="C1326">
        <v>535.29777200000001</v>
      </c>
      <c r="D1326" s="54">
        <f t="shared" si="145"/>
        <v>2.306144335774292E-3</v>
      </c>
      <c r="E1326" s="54">
        <f t="shared" ca="1" si="146"/>
        <v>1.1788115108771115E-4</v>
      </c>
      <c r="F1326" s="64">
        <f t="shared" ca="1" si="147"/>
        <v>2.1882631846865809E-3</v>
      </c>
      <c r="G1326">
        <f t="shared" ca="1" si="144"/>
        <v>2.0932385518887323E-2</v>
      </c>
      <c r="H1326">
        <f t="shared" ca="1" si="148"/>
        <v>0.21863374988369519</v>
      </c>
      <c r="I1326">
        <f t="shared" ca="1" si="149"/>
        <v>2.7735197729762877</v>
      </c>
      <c r="J1326" s="60">
        <v>1321</v>
      </c>
    </row>
    <row r="1327" spans="2:10" x14ac:dyDescent="0.25">
      <c r="B1327" s="53">
        <v>42101</v>
      </c>
      <c r="C1327">
        <v>535.55204590000005</v>
      </c>
      <c r="D1327" s="54">
        <f t="shared" si="145"/>
        <v>4.7501393299287598E-4</v>
      </c>
      <c r="E1327" s="54">
        <f t="shared" ca="1" si="146"/>
        <v>1.1980513288417016E-3</v>
      </c>
      <c r="F1327" s="64">
        <f t="shared" ca="1" si="147"/>
        <v>-7.2303739584882567E-4</v>
      </c>
      <c r="G1327">
        <f t="shared" ca="1" si="144"/>
        <v>6.0891844997781426E-3</v>
      </c>
      <c r="H1327">
        <f t="shared" ca="1" si="148"/>
        <v>1.1524192253075285</v>
      </c>
      <c r="I1327">
        <f t="shared" ca="1" si="149"/>
        <v>2.7726825588415469</v>
      </c>
      <c r="J1327" s="57">
        <v>1322</v>
      </c>
    </row>
    <row r="1328" spans="2:10" x14ac:dyDescent="0.25">
      <c r="B1328" s="53">
        <v>42102</v>
      </c>
      <c r="C1328">
        <v>540.12952040000005</v>
      </c>
      <c r="D1328" s="54">
        <f t="shared" si="145"/>
        <v>8.5472075684213042E-3</v>
      </c>
      <c r="E1328" s="54">
        <f t="shared" ca="1" si="146"/>
        <v>-4.1512629200174487E-3</v>
      </c>
      <c r="F1328" s="64">
        <f t="shared" ca="1" si="147"/>
        <v>1.2698470488438753E-2</v>
      </c>
      <c r="G1328">
        <f t="shared" ca="1" si="144"/>
        <v>1.9312016691320977E-2</v>
      </c>
      <c r="H1328">
        <f t="shared" ca="1" si="148"/>
        <v>-0.26858959365089935</v>
      </c>
      <c r="I1328">
        <f t="shared" ca="1" si="149"/>
        <v>2.6625811350922977</v>
      </c>
      <c r="J1328" s="60">
        <v>1323</v>
      </c>
    </row>
    <row r="1329" spans="2:10" x14ac:dyDescent="0.25">
      <c r="B1329" s="53">
        <v>42103</v>
      </c>
      <c r="C1329">
        <v>539.30181889999994</v>
      </c>
      <c r="D1329" s="54">
        <f t="shared" si="145"/>
        <v>-1.532413002324216E-3</v>
      </c>
      <c r="E1329" s="54">
        <f t="shared" ca="1" si="146"/>
        <v>-2.405630654488039E-3</v>
      </c>
      <c r="F1329" s="64">
        <f t="shared" ca="1" si="147"/>
        <v>8.7321765216382308E-4</v>
      </c>
      <c r="G1329">
        <f t="shared" ca="1" si="144"/>
        <v>6.3619671861352587E-3</v>
      </c>
      <c r="H1329">
        <f t="shared" ca="1" si="148"/>
        <v>-0.41168339084528688</v>
      </c>
      <c r="I1329">
        <f t="shared" ca="1" si="149"/>
        <v>2.7748374489044827</v>
      </c>
      <c r="J1329" s="57">
        <v>1324</v>
      </c>
    </row>
    <row r="1330" spans="2:10" x14ac:dyDescent="0.25">
      <c r="B1330" s="53">
        <v>42104</v>
      </c>
      <c r="C1330">
        <v>538.53387129999999</v>
      </c>
      <c r="D1330" s="54">
        <f t="shared" si="145"/>
        <v>-1.4239662709951909E-3</v>
      </c>
      <c r="E1330" s="54">
        <f t="shared" ca="1" si="146"/>
        <v>5.4027540579855479E-3</v>
      </c>
      <c r="F1330" s="64">
        <f t="shared" ca="1" si="147"/>
        <v>-6.826720328980739E-3</v>
      </c>
      <c r="G1330">
        <f t="shared" ca="1" si="144"/>
        <v>7.0949113806148536E-3</v>
      </c>
      <c r="H1330">
        <f t="shared" ca="1" si="148"/>
        <v>0.2204479065536028</v>
      </c>
      <c r="I1330">
        <f t="shared" ca="1" si="149"/>
        <v>2.7264743126928597</v>
      </c>
      <c r="J1330" s="60">
        <v>1325</v>
      </c>
    </row>
    <row r="1331" spans="2:10" x14ac:dyDescent="0.25">
      <c r="B1331" s="53">
        <v>42107</v>
      </c>
      <c r="C1331">
        <v>537.69622100000004</v>
      </c>
      <c r="D1331" s="54">
        <f t="shared" si="145"/>
        <v>-1.555427327120381E-3</v>
      </c>
      <c r="E1331" s="54">
        <f t="shared" ca="1" si="146"/>
        <v>-3.5022976454438743E-3</v>
      </c>
      <c r="F1331" s="64">
        <f t="shared" ca="1" si="147"/>
        <v>1.9468703183234933E-3</v>
      </c>
      <c r="G1331">
        <f t="shared" ca="1" si="144"/>
        <v>4.1436492497873975E-3</v>
      </c>
      <c r="H1331">
        <f t="shared" ca="1" si="148"/>
        <v>-0.67912015830030514</v>
      </c>
      <c r="I1331">
        <f t="shared" ca="1" si="149"/>
        <v>2.7739710272768225</v>
      </c>
      <c r="J1331" s="57">
        <v>1326</v>
      </c>
    </row>
    <row r="1332" spans="2:10" x14ac:dyDescent="0.25">
      <c r="B1332" s="53">
        <v>42108</v>
      </c>
      <c r="C1332">
        <v>528.94019969999999</v>
      </c>
      <c r="D1332" s="54">
        <f t="shared" si="145"/>
        <v>-1.6284327391618478E-2</v>
      </c>
      <c r="E1332" s="54">
        <f t="shared" ca="1" si="146"/>
        <v>1.1864618835976006E-2</v>
      </c>
      <c r="F1332" s="64">
        <f t="shared" ca="1" si="147"/>
        <v>-2.8148946227594486E-2</v>
      </c>
      <c r="G1332">
        <f t="shared" ca="1" si="144"/>
        <v>1.1419464161238711E-2</v>
      </c>
      <c r="H1332">
        <f t="shared" ca="1" si="148"/>
        <v>1.0949881042478633</v>
      </c>
      <c r="I1332">
        <f t="shared" ca="1" si="149"/>
        <v>2.0926231532669686</v>
      </c>
      <c r="J1332" s="60">
        <v>1327</v>
      </c>
    </row>
    <row r="1333" spans="2:10" x14ac:dyDescent="0.25">
      <c r="B1333" s="53">
        <v>42109</v>
      </c>
      <c r="C1333">
        <v>531.07436429999996</v>
      </c>
      <c r="D1333" s="54">
        <f t="shared" si="145"/>
        <v>4.0347937275525686E-3</v>
      </c>
      <c r="E1333" s="54">
        <f t="shared" ca="1" si="146"/>
        <v>3.146766958711521E-4</v>
      </c>
      <c r="F1333" s="64">
        <f t="shared" ca="1" si="147"/>
        <v>3.7201170316814164E-3</v>
      </c>
      <c r="G1333">
        <f t="shared" ca="1" si="144"/>
        <v>1.8488854682125515E-2</v>
      </c>
      <c r="H1333">
        <f t="shared" ca="1" si="148"/>
        <v>5.4818479247798577E-2</v>
      </c>
      <c r="I1333">
        <f t="shared" ca="1" si="149"/>
        <v>2.7684616859789619</v>
      </c>
      <c r="J1333" s="57">
        <v>1328</v>
      </c>
    </row>
    <row r="1334" spans="2:10" x14ac:dyDescent="0.25">
      <c r="B1334" s="53">
        <v>42110</v>
      </c>
      <c r="C1334">
        <v>532.34084919999998</v>
      </c>
      <c r="D1334" s="54">
        <f t="shared" si="145"/>
        <v>2.3847599981018765E-3</v>
      </c>
      <c r="E1334" s="54">
        <f t="shared" ca="1" si="146"/>
        <v>-8.0148143284653837E-3</v>
      </c>
      <c r="F1334" s="64">
        <f t="shared" ca="1" si="147"/>
        <v>1.0399574326567261E-2</v>
      </c>
      <c r="G1334">
        <f t="shared" ca="1" si="144"/>
        <v>4.4269429521055581E-3</v>
      </c>
      <c r="H1334">
        <f t="shared" ca="1" si="148"/>
        <v>-0.15840870081316441</v>
      </c>
      <c r="I1334">
        <f t="shared" ca="1" si="149"/>
        <v>2.7020969404302457</v>
      </c>
      <c r="J1334" s="60">
        <v>1329</v>
      </c>
    </row>
    <row r="1335" spans="2:10" x14ac:dyDescent="0.25">
      <c r="B1335" s="53">
        <v>42111</v>
      </c>
      <c r="C1335">
        <v>522.61753950000002</v>
      </c>
      <c r="D1335" s="54">
        <f t="shared" si="145"/>
        <v>-1.8265195531419608E-2</v>
      </c>
      <c r="E1335" s="54">
        <f t="shared" ca="1" si="146"/>
        <v>2.6866127106319176E-3</v>
      </c>
      <c r="F1335" s="64">
        <f t="shared" ca="1" si="147"/>
        <v>-2.0951808242051527E-2</v>
      </c>
      <c r="G1335">
        <f t="shared" ca="1" si="144"/>
        <v>3.0043056447541499E-3</v>
      </c>
      <c r="H1335">
        <f t="shared" ca="1" si="148"/>
        <v>0.2910705643457055</v>
      </c>
      <c r="I1335">
        <f t="shared" ca="1" si="149"/>
        <v>2.3887029947431699</v>
      </c>
      <c r="J1335" s="57">
        <v>1330</v>
      </c>
    </row>
    <row r="1336" spans="2:10" x14ac:dyDescent="0.25">
      <c r="B1336" s="53">
        <v>42114</v>
      </c>
      <c r="C1336">
        <v>533.91654010000002</v>
      </c>
      <c r="D1336" s="54">
        <f t="shared" si="145"/>
        <v>2.162001797874983E-2</v>
      </c>
      <c r="E1336" s="54">
        <f t="shared" ca="1" si="146"/>
        <v>3.5407375962144432E-3</v>
      </c>
      <c r="F1336" s="64">
        <f t="shared" ca="1" si="147"/>
        <v>1.8079280382535385E-2</v>
      </c>
      <c r="G1336">
        <f t="shared" ca="1" si="144"/>
        <v>5.0090127575597165E-3</v>
      </c>
      <c r="H1336">
        <f t="shared" ca="1" si="148"/>
        <v>0.49311291675486668</v>
      </c>
      <c r="I1336">
        <f t="shared" ca="1" si="149"/>
        <v>2.5367063689329767</v>
      </c>
      <c r="J1336" s="60">
        <v>1331</v>
      </c>
    </row>
    <row r="1337" spans="2:10" x14ac:dyDescent="0.25">
      <c r="B1337" s="53">
        <v>42115</v>
      </c>
      <c r="C1337">
        <v>532.51040569999998</v>
      </c>
      <c r="D1337" s="54">
        <f t="shared" si="145"/>
        <v>-2.6336221008187526E-3</v>
      </c>
      <c r="E1337" s="54">
        <f t="shared" ca="1" si="146"/>
        <v>2.7356744059227681E-4</v>
      </c>
      <c r="F1337" s="64">
        <f t="shared" ca="1" si="147"/>
        <v>-2.9071895414110294E-3</v>
      </c>
      <c r="G1337">
        <f t="shared" ca="1" si="144"/>
        <v>8.3705635639912783E-3</v>
      </c>
      <c r="H1337">
        <f t="shared" ca="1" si="148"/>
        <v>1.0126510507105275</v>
      </c>
      <c r="I1337">
        <f t="shared" ca="1" si="149"/>
        <v>2.7630634183575227</v>
      </c>
      <c r="J1337" s="57">
        <v>1332</v>
      </c>
    </row>
    <row r="1338" spans="2:10" x14ac:dyDescent="0.25">
      <c r="B1338" s="53">
        <v>42116</v>
      </c>
      <c r="C1338">
        <v>537.89067910000006</v>
      </c>
      <c r="D1338" s="54">
        <f t="shared" si="145"/>
        <v>1.0103602375483267E-2</v>
      </c>
      <c r="E1338" s="54">
        <f t="shared" ca="1" si="146"/>
        <v>-1.0528196158055003E-4</v>
      </c>
      <c r="F1338" s="64">
        <f t="shared" ca="1" si="147"/>
        <v>1.0208884337063817E-2</v>
      </c>
      <c r="G1338">
        <f t="shared" ca="1" si="144"/>
        <v>1.7039865418323984E-2</v>
      </c>
      <c r="H1338">
        <f t="shared" ca="1" si="148"/>
        <v>-0.57601509298755393</v>
      </c>
      <c r="I1338">
        <f t="shared" ca="1" si="149"/>
        <v>2.7049911874498567</v>
      </c>
      <c r="J1338" s="60">
        <v>1333</v>
      </c>
    </row>
    <row r="1339" spans="2:10" x14ac:dyDescent="0.25">
      <c r="B1339" s="53">
        <v>42117</v>
      </c>
      <c r="C1339">
        <v>545.50478859999998</v>
      </c>
      <c r="D1339" s="54">
        <f t="shared" si="145"/>
        <v>1.4155496266899201E-2</v>
      </c>
      <c r="E1339" s="54">
        <f t="shared" ca="1" si="146"/>
        <v>6.6839646792903988E-3</v>
      </c>
      <c r="F1339" s="64">
        <f t="shared" ca="1" si="147"/>
        <v>7.4715315876088019E-3</v>
      </c>
      <c r="G1339">
        <f t="shared" ca="1" si="144"/>
        <v>1.0417726620156081E-2</v>
      </c>
      <c r="H1339">
        <f t="shared" ca="1" si="148"/>
        <v>0.75511704987341344</v>
      </c>
      <c r="I1339">
        <f t="shared" ca="1" si="149"/>
        <v>2.7400628867891403</v>
      </c>
      <c r="J1339" s="57">
        <v>1334</v>
      </c>
    </row>
    <row r="1340" spans="2:10" x14ac:dyDescent="0.25">
      <c r="B1340" s="53">
        <v>42118</v>
      </c>
      <c r="C1340">
        <v>563.51542940000002</v>
      </c>
      <c r="D1340" s="54">
        <f t="shared" si="145"/>
        <v>3.3016466906226595E-2</v>
      </c>
      <c r="E1340" s="54">
        <f t="shared" ca="1" si="146"/>
        <v>4.8180392449869471E-3</v>
      </c>
      <c r="F1340" s="64">
        <f t="shared" ca="1" si="147"/>
        <v>2.8198427661239648E-2</v>
      </c>
      <c r="G1340">
        <f t="shared" ca="1" si="144"/>
        <v>1.2865219410386647E-2</v>
      </c>
      <c r="H1340">
        <f t="shared" ca="1" si="148"/>
        <v>2.1769167085941461E-2</v>
      </c>
      <c r="I1340">
        <f t="shared" ca="1" si="149"/>
        <v>2.1732741665710207</v>
      </c>
      <c r="J1340" s="60">
        <v>1335</v>
      </c>
    </row>
    <row r="1341" spans="2:10" x14ac:dyDescent="0.25">
      <c r="B1341" s="53">
        <v>42121</v>
      </c>
      <c r="C1341">
        <v>555.36999500000002</v>
      </c>
      <c r="D1341" s="54">
        <f t="shared" si="145"/>
        <v>-1.4454678567848277E-2</v>
      </c>
      <c r="E1341" s="54">
        <f t="shared" ca="1" si="146"/>
        <v>5.9122966997441559E-3</v>
      </c>
      <c r="F1341" s="64">
        <f t="shared" ca="1" si="147"/>
        <v>-2.0366975267592433E-2</v>
      </c>
      <c r="G1341">
        <f t="shared" ca="1" si="144"/>
        <v>3.1209738792703431E-3</v>
      </c>
      <c r="H1341">
        <f t="shared" ca="1" si="148"/>
        <v>-0.14283656035430897</v>
      </c>
      <c r="I1341">
        <f t="shared" ca="1" si="149"/>
        <v>2.4090854151808405</v>
      </c>
      <c r="J1341" s="57">
        <v>1336</v>
      </c>
    </row>
    <row r="1342" spans="2:10" x14ac:dyDescent="0.25">
      <c r="B1342" s="53">
        <v>42122</v>
      </c>
      <c r="C1342">
        <v>553.67999299999997</v>
      </c>
      <c r="D1342" s="54">
        <f t="shared" si="145"/>
        <v>-3.0430199960659551E-3</v>
      </c>
      <c r="E1342" s="54">
        <f t="shared" ca="1" si="146"/>
        <v>1.0844054226620339E-2</v>
      </c>
      <c r="F1342" s="64">
        <f t="shared" ca="1" si="147"/>
        <v>-1.3887074222686294E-2</v>
      </c>
      <c r="G1342">
        <f t="shared" ca="1" si="144"/>
        <v>2.6846304800148316E-3</v>
      </c>
      <c r="H1342">
        <f t="shared" ca="1" si="148"/>
        <v>-1.4840229420112216</v>
      </c>
      <c r="I1342">
        <f t="shared" ca="1" si="149"/>
        <v>2.5979374313101031</v>
      </c>
      <c r="J1342" s="60">
        <v>1337</v>
      </c>
    </row>
    <row r="1343" spans="2:10" x14ac:dyDescent="0.25">
      <c r="B1343" s="53">
        <v>42123</v>
      </c>
      <c r="C1343">
        <v>549.080017</v>
      </c>
      <c r="D1343" s="54">
        <f t="shared" si="145"/>
        <v>-8.3080047286447096E-3</v>
      </c>
      <c r="E1343" s="54">
        <f t="shared" ca="1" si="146"/>
        <v>1.6167344939072494E-2</v>
      </c>
      <c r="F1343" s="64">
        <f t="shared" ca="1" si="147"/>
        <v>-2.4475349667717201E-2</v>
      </c>
      <c r="G1343">
        <f t="shared" ca="1" si="144"/>
        <v>2.4798758234539212E-2</v>
      </c>
      <c r="H1343">
        <f t="shared" ca="1" si="148"/>
        <v>0.91372651869365118</v>
      </c>
      <c r="I1343">
        <f t="shared" ca="1" si="149"/>
        <v>2.2542067866521287</v>
      </c>
      <c r="J1343" s="57">
        <v>1338</v>
      </c>
    </row>
    <row r="1344" spans="2:10" x14ac:dyDescent="0.25">
      <c r="B1344" s="53">
        <v>42124</v>
      </c>
      <c r="C1344">
        <v>537.34002699999996</v>
      </c>
      <c r="D1344" s="54">
        <f t="shared" si="145"/>
        <v>-2.1381200620163954E-2</v>
      </c>
      <c r="E1344" s="54">
        <f t="shared" ca="1" si="146"/>
        <v>-2.3046457493103009E-2</v>
      </c>
      <c r="F1344" s="64">
        <f t="shared" ca="1" si="147"/>
        <v>1.6652568729390547E-3</v>
      </c>
      <c r="G1344">
        <f t="shared" ca="1" si="144"/>
        <v>1.6295626974729669E-2</v>
      </c>
      <c r="H1344">
        <f t="shared" ca="1" si="148"/>
        <v>-1.3303957634726593</v>
      </c>
      <c r="I1344">
        <f t="shared" ca="1" si="149"/>
        <v>2.7743784806817153</v>
      </c>
      <c r="J1344" s="60">
        <v>1339</v>
      </c>
    </row>
    <row r="1345" spans="2:10" x14ac:dyDescent="0.25">
      <c r="B1345" s="53">
        <v>42125</v>
      </c>
      <c r="C1345">
        <v>537.90002400000003</v>
      </c>
      <c r="D1345" s="54">
        <f t="shared" si="145"/>
        <v>1.0421650572479439E-3</v>
      </c>
      <c r="E1345" s="54">
        <f t="shared" ca="1" si="146"/>
        <v>-3.653046056075579E-2</v>
      </c>
      <c r="F1345" s="64">
        <f t="shared" ca="1" si="147"/>
        <v>3.7572625618003737E-2</v>
      </c>
      <c r="G1345">
        <f t="shared" ca="1" si="144"/>
        <v>2.2537195928404783E-2</v>
      </c>
      <c r="H1345">
        <f t="shared" ca="1" si="148"/>
        <v>-1.4553186151921975</v>
      </c>
      <c r="I1345">
        <f t="shared" ca="1" si="149"/>
        <v>1.6889704710220346</v>
      </c>
      <c r="J1345" s="57">
        <v>1340</v>
      </c>
    </row>
    <row r="1346" spans="2:10" x14ac:dyDescent="0.25">
      <c r="B1346" s="53">
        <v>42128</v>
      </c>
      <c r="C1346">
        <v>540.78002900000001</v>
      </c>
      <c r="D1346" s="54">
        <f t="shared" si="145"/>
        <v>5.3541641039227443E-3</v>
      </c>
      <c r="E1346" s="54">
        <f t="shared" ca="1" si="146"/>
        <v>-2.1987687185552607E-3</v>
      </c>
      <c r="F1346" s="64">
        <f t="shared" ca="1" si="147"/>
        <v>7.552932822478005E-3</v>
      </c>
      <c r="G1346">
        <f t="shared" ca="1" si="144"/>
        <v>2.4848774251592834E-2</v>
      </c>
      <c r="H1346">
        <f t="shared" ca="1" si="148"/>
        <v>0.29795991849727083</v>
      </c>
      <c r="I1346">
        <f t="shared" ca="1" si="149"/>
        <v>2.7391946129747056</v>
      </c>
      <c r="J1346" s="60">
        <v>1341</v>
      </c>
    </row>
    <row r="1347" spans="2:10" x14ac:dyDescent="0.25">
      <c r="B1347" s="53">
        <v>42129</v>
      </c>
      <c r="C1347">
        <v>530.79998799999998</v>
      </c>
      <c r="D1347" s="54">
        <f t="shared" si="145"/>
        <v>-1.845489933948731E-2</v>
      </c>
      <c r="E1347" s="54">
        <f t="shared" ca="1" si="146"/>
        <v>1.0622185143892191E-2</v>
      </c>
      <c r="F1347" s="64">
        <f t="shared" ca="1" si="147"/>
        <v>-2.9077084483379499E-2</v>
      </c>
      <c r="G1347">
        <f t="shared" ca="1" si="144"/>
        <v>7.6027521582931711E-3</v>
      </c>
      <c r="H1347">
        <f t="shared" ca="1" si="148"/>
        <v>1.335573679312434</v>
      </c>
      <c r="I1347">
        <f t="shared" ca="1" si="149"/>
        <v>2.0483483982716923</v>
      </c>
      <c r="J1347" s="57">
        <v>1342</v>
      </c>
    </row>
    <row r="1348" spans="2:10" x14ac:dyDescent="0.25">
      <c r="B1348" s="53">
        <v>42130</v>
      </c>
      <c r="C1348">
        <v>524.21997099999999</v>
      </c>
      <c r="D1348" s="54">
        <f t="shared" si="145"/>
        <v>-1.239641512576673E-2</v>
      </c>
      <c r="E1348" s="54">
        <f t="shared" ca="1" si="146"/>
        <v>2.302479732938275E-2</v>
      </c>
      <c r="F1348" s="64">
        <f t="shared" ca="1" si="147"/>
        <v>-3.5421212455149481E-2</v>
      </c>
      <c r="G1348">
        <f t="shared" ca="1" si="144"/>
        <v>2.2382762751153619E-2</v>
      </c>
      <c r="H1348">
        <f t="shared" ca="1" si="148"/>
        <v>0.92126487093331921</v>
      </c>
      <c r="I1348">
        <f t="shared" ca="1" si="149"/>
        <v>1.7084437329838038</v>
      </c>
      <c r="J1348" s="60">
        <v>1343</v>
      </c>
    </row>
    <row r="1349" spans="2:10" x14ac:dyDescent="0.25">
      <c r="B1349" s="53">
        <v>42131</v>
      </c>
      <c r="C1349">
        <v>530.70001200000002</v>
      </c>
      <c r="D1349" s="54">
        <f t="shared" si="145"/>
        <v>1.2361301282815929E-2</v>
      </c>
      <c r="E1349" s="54">
        <f t="shared" ca="1" si="146"/>
        <v>-1.6022235641657424E-2</v>
      </c>
      <c r="F1349" s="64">
        <f t="shared" ca="1" si="147"/>
        <v>2.8383536924473353E-2</v>
      </c>
      <c r="G1349">
        <f t="shared" ref="G1349:G1412" ca="1" si="150">SQRT(A_0+A_1*POWER(H1348,2)+B_1*POWER(G1348,2))</f>
        <v>1.6232211843546958E-2</v>
      </c>
      <c r="H1349">
        <f t="shared" ca="1" si="148"/>
        <v>-0.47643273558172222</v>
      </c>
      <c r="I1349">
        <f t="shared" ca="1" si="149"/>
        <v>2.1650849609106979</v>
      </c>
      <c r="J1349" s="57">
        <v>1344</v>
      </c>
    </row>
    <row r="1350" spans="2:10" x14ac:dyDescent="0.25">
      <c r="B1350" s="53">
        <v>42132</v>
      </c>
      <c r="C1350">
        <v>538.21997099999999</v>
      </c>
      <c r="D1350" s="54">
        <f t="shared" si="145"/>
        <v>1.4169886621370514E-2</v>
      </c>
      <c r="E1350" s="54">
        <f t="shared" ca="1" si="146"/>
        <v>-7.4984748882990001E-3</v>
      </c>
      <c r="F1350" s="64">
        <f t="shared" ca="1" si="147"/>
        <v>2.1668361509669512E-2</v>
      </c>
      <c r="G1350">
        <f t="shared" ca="1" si="150"/>
        <v>8.8280547210268338E-3</v>
      </c>
      <c r="H1350">
        <f t="shared" ca="1" si="148"/>
        <v>-0.21875822752882029</v>
      </c>
      <c r="I1350">
        <f t="shared" ca="1" si="149"/>
        <v>2.4267375562250781</v>
      </c>
      <c r="J1350" s="60">
        <v>1345</v>
      </c>
    </row>
    <row r="1351" spans="2:10" x14ac:dyDescent="0.25">
      <c r="B1351" s="53">
        <v>42135</v>
      </c>
      <c r="C1351">
        <v>535.70001200000002</v>
      </c>
      <c r="D1351" s="54">
        <f t="shared" ref="D1351:D1413" si="151">(C1351-C1350)/C1350</f>
        <v>-4.682024331646311E-3</v>
      </c>
      <c r="E1351" s="54">
        <f t="shared" ca="1" si="146"/>
        <v>5.1081426532917293E-3</v>
      </c>
      <c r="F1351" s="64">
        <f t="shared" ca="1" si="147"/>
        <v>-9.7901669849380403E-3</v>
      </c>
      <c r="G1351">
        <f t="shared" ca="1" si="150"/>
        <v>4.2889960764352772E-3</v>
      </c>
      <c r="H1351">
        <f t="shared" ca="1" si="148"/>
        <v>-0.10347631897689105</v>
      </c>
      <c r="I1351">
        <f t="shared" ca="1" si="149"/>
        <v>2.6823318288744611</v>
      </c>
      <c r="J1351" s="57">
        <v>1346</v>
      </c>
    </row>
    <row r="1352" spans="2:10" x14ac:dyDescent="0.25">
      <c r="B1352" s="53">
        <v>42136</v>
      </c>
      <c r="C1352">
        <v>529.03997800000002</v>
      </c>
      <c r="D1352" s="54">
        <f t="shared" si="151"/>
        <v>-1.2432394718706849E-2</v>
      </c>
      <c r="E1352" s="54">
        <f t="shared" ref="E1352:E1413" ca="1" si="152">((E_1*D1351)+(E_2*D1350)+(G1352*H1352))</f>
        <v>3.4968201727417852E-3</v>
      </c>
      <c r="F1352" s="64">
        <f t="shared" ca="1" si="147"/>
        <v>-1.5929214891448634E-2</v>
      </c>
      <c r="G1352">
        <f t="shared" ca="1" si="150"/>
        <v>2.2260699161273925E-3</v>
      </c>
      <c r="H1352">
        <f t="shared" ca="1" si="148"/>
        <v>-1.2879555132346185</v>
      </c>
      <c r="I1352">
        <f t="shared" ca="1" si="149"/>
        <v>2.5457421126377824</v>
      </c>
      <c r="J1352" s="60">
        <v>1347</v>
      </c>
    </row>
    <row r="1353" spans="2:10" x14ac:dyDescent="0.25">
      <c r="B1353" s="53">
        <v>42137</v>
      </c>
      <c r="C1353">
        <v>529.61999500000002</v>
      </c>
      <c r="D1353" s="54">
        <f t="shared" si="151"/>
        <v>1.0963575988958587E-3</v>
      </c>
      <c r="E1353" s="54">
        <f t="shared" ca="1" si="152"/>
        <v>-1.5817187886186402E-2</v>
      </c>
      <c r="F1353" s="64">
        <f t="shared" ref="F1353:F1413" ca="1" si="153">D1353-E1353</f>
        <v>1.6913545485082261E-2</v>
      </c>
      <c r="G1353">
        <f t="shared" ca="1" si="150"/>
        <v>2.1527636049307849E-2</v>
      </c>
      <c r="H1353">
        <f t="shared" ref="H1353:H1413" ca="1" si="154">_xlfn.NORM.INV(RAND(),0,1)</f>
        <v>-0.63705010158554842</v>
      </c>
      <c r="I1353">
        <f t="shared" ref="I1353:I1412" ca="1" si="155">LN(_xlfn.NORM.DIST(F1353,AVERAGE($F$8:$F$1413),_xlfn.STDEV.S($F$8:$F$1413),FALSE))</f>
        <v>2.5679463479790994</v>
      </c>
      <c r="J1353" s="57">
        <v>1348</v>
      </c>
    </row>
    <row r="1354" spans="2:10" x14ac:dyDescent="0.25">
      <c r="B1354" s="53">
        <v>42138</v>
      </c>
      <c r="C1354">
        <v>538.40002400000003</v>
      </c>
      <c r="D1354" s="54">
        <f t="shared" si="151"/>
        <v>1.6577978707167228E-2</v>
      </c>
      <c r="E1354" s="54">
        <f t="shared" ca="1" si="152"/>
        <v>-1.5430541012913102E-2</v>
      </c>
      <c r="F1354" s="64">
        <f t="shared" ca="1" si="153"/>
        <v>3.2008519720080328E-2</v>
      </c>
      <c r="G1354">
        <f t="shared" ca="1" si="150"/>
        <v>1.1753337599633521E-2</v>
      </c>
      <c r="H1354">
        <f t="shared" ca="1" si="154"/>
        <v>-0.8377979747902784</v>
      </c>
      <c r="I1354">
        <f t="shared" ca="1" si="155"/>
        <v>1.9935582963385823</v>
      </c>
      <c r="J1354" s="60">
        <v>1349</v>
      </c>
    </row>
    <row r="1355" spans="2:10" x14ac:dyDescent="0.25">
      <c r="B1355" s="53">
        <v>42139</v>
      </c>
      <c r="C1355">
        <v>533.84997599999997</v>
      </c>
      <c r="D1355" s="54">
        <f t="shared" si="151"/>
        <v>-8.45105460099322E-3</v>
      </c>
      <c r="E1355" s="54">
        <f t="shared" ca="1" si="152"/>
        <v>9.4684736242648306E-3</v>
      </c>
      <c r="F1355" s="64">
        <f t="shared" ca="1" si="153"/>
        <v>-1.7919528225258052E-2</v>
      </c>
      <c r="G1355">
        <f t="shared" ca="1" si="150"/>
        <v>1.4273916563257489E-2</v>
      </c>
      <c r="H1355">
        <f t="shared" ca="1" si="154"/>
        <v>0.62882473302889663</v>
      </c>
      <c r="I1355">
        <f t="shared" ca="1" si="155"/>
        <v>2.488387575887554</v>
      </c>
      <c r="J1355" s="57">
        <v>1350</v>
      </c>
    </row>
    <row r="1356" spans="2:10" x14ac:dyDescent="0.25">
      <c r="B1356" s="53">
        <v>42142</v>
      </c>
      <c r="C1356">
        <v>532.29998799999998</v>
      </c>
      <c r="D1356" s="54">
        <f t="shared" si="151"/>
        <v>-2.9034149474233282E-3</v>
      </c>
      <c r="E1356" s="54">
        <f t="shared" ca="1" si="152"/>
        <v>5.9414743838991039E-3</v>
      </c>
      <c r="F1356" s="64">
        <f t="shared" ca="1" si="153"/>
        <v>-8.8448893313224329E-3</v>
      </c>
      <c r="G1356">
        <f t="shared" ca="1" si="150"/>
        <v>1.1034513064051765E-2</v>
      </c>
      <c r="H1356">
        <f t="shared" ca="1" si="154"/>
        <v>-0.13628895392832091</v>
      </c>
      <c r="I1356">
        <f t="shared" ca="1" si="155"/>
        <v>2.6979535671745838</v>
      </c>
      <c r="J1356" s="60">
        <v>1351</v>
      </c>
    </row>
    <row r="1357" spans="2:10" x14ac:dyDescent="0.25">
      <c r="B1357" s="53">
        <v>42143</v>
      </c>
      <c r="C1357">
        <v>537.35998500000005</v>
      </c>
      <c r="D1357" s="54">
        <f t="shared" si="151"/>
        <v>9.5059122939526852E-3</v>
      </c>
      <c r="E1357" s="54">
        <f t="shared" ca="1" si="152"/>
        <v>-3.1377978969848483E-3</v>
      </c>
      <c r="F1357" s="64">
        <f t="shared" ca="1" si="153"/>
        <v>1.2643710190937534E-2</v>
      </c>
      <c r="G1357">
        <f t="shared" ca="1" si="150"/>
        <v>3.537298905060467E-3</v>
      </c>
      <c r="H1357">
        <f t="shared" ca="1" si="154"/>
        <v>0.18595828028096109</v>
      </c>
      <c r="I1357">
        <f t="shared" ca="1" si="155"/>
        <v>2.6636216910960773</v>
      </c>
      <c r="J1357" s="57">
        <v>1352</v>
      </c>
    </row>
    <row r="1358" spans="2:10" x14ac:dyDescent="0.25">
      <c r="B1358" s="53">
        <v>42144</v>
      </c>
      <c r="C1358">
        <v>539.27002000000005</v>
      </c>
      <c r="D1358" s="54">
        <f t="shared" si="151"/>
        <v>3.5544794054585089E-3</v>
      </c>
      <c r="E1358" s="54">
        <f t="shared" ca="1" si="152"/>
        <v>3.0500441700393411E-3</v>
      </c>
      <c r="F1358" s="64">
        <f t="shared" ca="1" si="153"/>
        <v>5.0443523541916779E-4</v>
      </c>
      <c r="G1358">
        <f t="shared" ca="1" si="150"/>
        <v>3.3617397010638475E-3</v>
      </c>
      <c r="H1358">
        <f t="shared" ca="1" si="154"/>
        <v>1.295121734848379</v>
      </c>
      <c r="I1358">
        <f t="shared" ca="1" si="155"/>
        <v>2.7747053061025486</v>
      </c>
      <c r="J1358" s="60">
        <v>1353</v>
      </c>
    </row>
    <row r="1359" spans="2:10" x14ac:dyDescent="0.25">
      <c r="B1359" s="53">
        <v>42145</v>
      </c>
      <c r="C1359">
        <v>542.51000999999997</v>
      </c>
      <c r="D1359" s="54">
        <f t="shared" si="151"/>
        <v>6.0081033245644186E-3</v>
      </c>
      <c r="E1359" s="54">
        <f t="shared" ca="1" si="152"/>
        <v>2.8961885385442917E-3</v>
      </c>
      <c r="F1359" s="64">
        <f t="shared" ca="1" si="153"/>
        <v>3.1119147860201269E-3</v>
      </c>
      <c r="G1359">
        <f t="shared" ca="1" si="150"/>
        <v>2.1654694664514099E-2</v>
      </c>
      <c r="H1359">
        <f t="shared" ca="1" si="154"/>
        <v>-6.3412037807316052E-2</v>
      </c>
      <c r="I1359">
        <f t="shared" ca="1" si="155"/>
        <v>2.7709237696718105</v>
      </c>
      <c r="J1359" s="57">
        <v>1354</v>
      </c>
    </row>
    <row r="1360" spans="2:10" x14ac:dyDescent="0.25">
      <c r="B1360" s="53">
        <v>42146</v>
      </c>
      <c r="C1360">
        <v>540.10998500000005</v>
      </c>
      <c r="D1360" s="54">
        <f t="shared" si="151"/>
        <v>-4.4239275879903381E-3</v>
      </c>
      <c r="E1360" s="54">
        <f t="shared" ca="1" si="152"/>
        <v>9.611857265129059E-3</v>
      </c>
      <c r="F1360" s="64">
        <f t="shared" ca="1" si="153"/>
        <v>-1.4035784853119397E-2</v>
      </c>
      <c r="G1360">
        <f t="shared" ca="1" si="150"/>
        <v>5.1456230996784185E-3</v>
      </c>
      <c r="H1360">
        <f t="shared" ca="1" si="154"/>
        <v>1.5577055835403646</v>
      </c>
      <c r="I1360">
        <f t="shared" ca="1" si="155"/>
        <v>2.5943639943021166</v>
      </c>
      <c r="J1360" s="60">
        <v>1355</v>
      </c>
    </row>
    <row r="1361" spans="2:10" x14ac:dyDescent="0.25">
      <c r="B1361" s="53">
        <v>42150</v>
      </c>
      <c r="C1361">
        <v>532.32000700000003</v>
      </c>
      <c r="D1361" s="54">
        <f t="shared" si="151"/>
        <v>-1.4422947577982693E-2</v>
      </c>
      <c r="E1361" s="54">
        <f t="shared" ca="1" si="152"/>
        <v>-1.0191064415254565E-2</v>
      </c>
      <c r="F1361" s="64">
        <f t="shared" ca="1" si="153"/>
        <v>-4.2318831627281284E-3</v>
      </c>
      <c r="G1361">
        <f t="shared" ca="1" si="150"/>
        <v>2.6046519260950744E-2</v>
      </c>
      <c r="H1361">
        <f t="shared" ca="1" si="154"/>
        <v>-0.49485874032347055</v>
      </c>
      <c r="I1361">
        <f t="shared" ca="1" si="155"/>
        <v>2.7534742666195249</v>
      </c>
      <c r="J1361" s="57">
        <v>1356</v>
      </c>
    </row>
    <row r="1362" spans="2:10" x14ac:dyDescent="0.25">
      <c r="B1362" s="53">
        <v>42151</v>
      </c>
      <c r="C1362">
        <v>539.78997800000002</v>
      </c>
      <c r="D1362" s="54">
        <f t="shared" si="151"/>
        <v>1.4032857870773184E-2</v>
      </c>
      <c r="E1362" s="54">
        <f t="shared" ca="1" si="152"/>
        <v>1.0999484419456824E-2</v>
      </c>
      <c r="F1362" s="64">
        <f t="shared" ca="1" si="153"/>
        <v>3.03337345131636E-3</v>
      </c>
      <c r="G1362">
        <f t="shared" ca="1" si="150"/>
        <v>1.0220479971509072E-2</v>
      </c>
      <c r="H1362">
        <f t="shared" ca="1" si="154"/>
        <v>1.2706455564748771</v>
      </c>
      <c r="I1362">
        <f t="shared" ca="1" si="155"/>
        <v>2.7711981405025172</v>
      </c>
      <c r="J1362" s="60">
        <v>1357</v>
      </c>
    </row>
    <row r="1363" spans="2:10" x14ac:dyDescent="0.25">
      <c r="B1363" s="53">
        <v>42152</v>
      </c>
      <c r="C1363">
        <v>539.78002900000001</v>
      </c>
      <c r="D1363" s="54">
        <f t="shared" si="151"/>
        <v>-1.8431242530416117E-5</v>
      </c>
      <c r="E1363" s="54">
        <f t="shared" ca="1" si="152"/>
        <v>-1.3885928225683308E-2</v>
      </c>
      <c r="F1363" s="64">
        <f t="shared" ca="1" si="153"/>
        <v>1.3867496983152891E-2</v>
      </c>
      <c r="G1363">
        <f t="shared" ca="1" si="150"/>
        <v>2.1360347688287592E-2</v>
      </c>
      <c r="H1363">
        <f t="shared" ca="1" si="154"/>
        <v>-0.34683590094412969</v>
      </c>
      <c r="I1363">
        <f t="shared" ca="1" si="155"/>
        <v>2.639211498625766</v>
      </c>
      <c r="J1363" s="57">
        <v>1358</v>
      </c>
    </row>
    <row r="1364" spans="2:10" x14ac:dyDescent="0.25">
      <c r="B1364" s="53">
        <v>42153</v>
      </c>
      <c r="C1364">
        <v>532.10998500000005</v>
      </c>
      <c r="D1364" s="54">
        <f t="shared" si="151"/>
        <v>-1.4209573507581476E-2</v>
      </c>
      <c r="E1364" s="54">
        <f t="shared" ca="1" si="152"/>
        <v>-1.8877083747458421E-3</v>
      </c>
      <c r="F1364" s="64">
        <f t="shared" ca="1" si="153"/>
        <v>-1.2321865132835634E-2</v>
      </c>
      <c r="G1364">
        <f t="shared" ca="1" si="150"/>
        <v>7.6298901422074648E-3</v>
      </c>
      <c r="H1364">
        <f t="shared" ca="1" si="154"/>
        <v>-1.0734290310491057</v>
      </c>
      <c r="I1364">
        <f t="shared" ca="1" si="155"/>
        <v>2.6333813302675413</v>
      </c>
      <c r="J1364" s="60">
        <v>1359</v>
      </c>
    </row>
    <row r="1365" spans="2:10" x14ac:dyDescent="0.25">
      <c r="B1365" s="53">
        <v>42156</v>
      </c>
      <c r="C1365">
        <v>533.98999000000003</v>
      </c>
      <c r="D1365" s="54">
        <f t="shared" si="151"/>
        <v>3.5331135535823155E-3</v>
      </c>
      <c r="E1365" s="54">
        <f t="shared" ca="1" si="152"/>
        <v>-2.3246344251847642E-2</v>
      </c>
      <c r="F1365" s="64">
        <f t="shared" ca="1" si="153"/>
        <v>2.6779457805429958E-2</v>
      </c>
      <c r="G1365">
        <f t="shared" ca="1" si="150"/>
        <v>1.802958843406019E-2</v>
      </c>
      <c r="H1365">
        <f t="shared" ca="1" si="154"/>
        <v>-1.2888714357709787</v>
      </c>
      <c r="I1365">
        <f t="shared" ca="1" si="155"/>
        <v>2.2342103412649448</v>
      </c>
      <c r="J1365" s="57">
        <v>1360</v>
      </c>
    </row>
    <row r="1366" spans="2:10" x14ac:dyDescent="0.25">
      <c r="B1366" s="53">
        <v>42157</v>
      </c>
      <c r="C1366">
        <v>539.17999299999997</v>
      </c>
      <c r="D1366" s="54">
        <f t="shared" si="151"/>
        <v>9.7192889327381085E-3</v>
      </c>
      <c r="E1366" s="54">
        <f t="shared" ca="1" si="152"/>
        <v>-1.2236938186626356E-2</v>
      </c>
      <c r="F1366" s="64">
        <f t="shared" ca="1" si="153"/>
        <v>2.1956227119364465E-2</v>
      </c>
      <c r="G1366">
        <f t="shared" ca="1" si="150"/>
        <v>2.1925147951239232E-2</v>
      </c>
      <c r="H1366">
        <f t="shared" ca="1" si="154"/>
        <v>-0.26705384293866469</v>
      </c>
      <c r="I1366">
        <f t="shared" ca="1" si="155"/>
        <v>2.4170157844684139</v>
      </c>
      <c r="J1366" s="60">
        <v>1361</v>
      </c>
    </row>
    <row r="1367" spans="2:10" x14ac:dyDescent="0.25">
      <c r="B1367" s="53">
        <v>42158</v>
      </c>
      <c r="C1367">
        <v>540.30999799999995</v>
      </c>
      <c r="D1367" s="54">
        <f t="shared" si="151"/>
        <v>2.0957843663905809E-3</v>
      </c>
      <c r="E1367" s="54">
        <f t="shared" ca="1" si="152"/>
        <v>1.4563926795395457E-3</v>
      </c>
      <c r="F1367" s="64">
        <f t="shared" ca="1" si="153"/>
        <v>6.3939168685103525E-4</v>
      </c>
      <c r="G1367">
        <f t="shared" ca="1" si="150"/>
        <v>6.7704249626340295E-3</v>
      </c>
      <c r="H1367">
        <f t="shared" ca="1" si="154"/>
        <v>-1.9284886512361068E-2</v>
      </c>
      <c r="I1367">
        <f t="shared" ca="1" si="155"/>
        <v>2.7747791575057512</v>
      </c>
      <c r="J1367" s="57">
        <v>1362</v>
      </c>
    </row>
    <row r="1368" spans="2:10" x14ac:dyDescent="0.25">
      <c r="B1368" s="53">
        <v>42159</v>
      </c>
      <c r="C1368">
        <v>536.70001200000002</v>
      </c>
      <c r="D1368" s="54">
        <f t="shared" si="151"/>
        <v>-6.6813237092827882E-3</v>
      </c>
      <c r="E1368" s="54">
        <f t="shared" ca="1" si="152"/>
        <v>3.9114381867573975E-3</v>
      </c>
      <c r="F1368" s="64">
        <f t="shared" ca="1" si="153"/>
        <v>-1.0592761896040186E-2</v>
      </c>
      <c r="G1368">
        <f t="shared" ca="1" si="150"/>
        <v>1.870905469174616E-3</v>
      </c>
      <c r="H1368">
        <f t="shared" ca="1" si="154"/>
        <v>-0.24251639632253402</v>
      </c>
      <c r="I1368">
        <f t="shared" ca="1" si="155"/>
        <v>2.6679347637494555</v>
      </c>
      <c r="J1368" s="60">
        <v>1363</v>
      </c>
    </row>
    <row r="1369" spans="2:10" x14ac:dyDescent="0.25">
      <c r="B1369" s="53">
        <v>42160</v>
      </c>
      <c r="C1369">
        <v>533.330017</v>
      </c>
      <c r="D1369" s="54">
        <f t="shared" si="151"/>
        <v>-6.2791036419802002E-3</v>
      </c>
      <c r="E1369" s="54">
        <f t="shared" ca="1" si="152"/>
        <v>-2.4842477522981801E-3</v>
      </c>
      <c r="F1369" s="64">
        <f t="shared" ca="1" si="153"/>
        <v>-3.7948558896820201E-3</v>
      </c>
      <c r="G1369">
        <f t="shared" ca="1" si="150"/>
        <v>4.1934760632940452E-3</v>
      </c>
      <c r="H1369">
        <f t="shared" ca="1" si="154"/>
        <v>-0.81683817727901109</v>
      </c>
      <c r="I1369">
        <f t="shared" ca="1" si="155"/>
        <v>2.7569512087109489</v>
      </c>
      <c r="J1369" s="57">
        <v>1364</v>
      </c>
    </row>
    <row r="1370" spans="2:10" x14ac:dyDescent="0.25">
      <c r="B1370" s="53">
        <v>42163</v>
      </c>
      <c r="C1370">
        <v>526.830017</v>
      </c>
      <c r="D1370" s="54">
        <f t="shared" si="151"/>
        <v>-1.2187575783869671E-2</v>
      </c>
      <c r="E1370" s="54">
        <f t="shared" ca="1" si="152"/>
        <v>1.5409287205779354E-2</v>
      </c>
      <c r="F1370" s="64">
        <f t="shared" ca="1" si="153"/>
        <v>-2.7596862989649026E-2</v>
      </c>
      <c r="G1370">
        <f t="shared" ca="1" si="150"/>
        <v>1.3704919890728128E-2</v>
      </c>
      <c r="H1370">
        <f t="shared" ca="1" si="154"/>
        <v>1.3433213661443717</v>
      </c>
      <c r="I1370">
        <f t="shared" ca="1" si="155"/>
        <v>2.1182988469205291</v>
      </c>
      <c r="J1370" s="60">
        <v>1365</v>
      </c>
    </row>
    <row r="1371" spans="2:10" x14ac:dyDescent="0.25">
      <c r="B1371" s="53">
        <v>42164</v>
      </c>
      <c r="C1371">
        <v>526.69000200000005</v>
      </c>
      <c r="D1371" s="54">
        <f t="shared" si="151"/>
        <v>-2.6576883526351628E-4</v>
      </c>
      <c r="E1371" s="54">
        <f t="shared" ca="1" si="152"/>
        <v>9.7771566357248221E-3</v>
      </c>
      <c r="F1371" s="64">
        <f t="shared" ca="1" si="153"/>
        <v>-1.0042925470988338E-2</v>
      </c>
      <c r="G1371">
        <f t="shared" ca="1" si="150"/>
        <v>2.2660969543993353E-2</v>
      </c>
      <c r="H1371">
        <f t="shared" ca="1" si="154"/>
        <v>0.55590904226126692</v>
      </c>
      <c r="I1371">
        <f t="shared" ca="1" si="155"/>
        <v>2.6779100851717992</v>
      </c>
      <c r="J1371" s="57">
        <v>1366</v>
      </c>
    </row>
    <row r="1372" spans="2:10" x14ac:dyDescent="0.25">
      <c r="B1372" s="53">
        <v>42165</v>
      </c>
      <c r="C1372">
        <v>536.69000200000005</v>
      </c>
      <c r="D1372" s="54">
        <f t="shared" si="151"/>
        <v>1.8986500525977328E-2</v>
      </c>
      <c r="E1372" s="54">
        <f t="shared" ca="1" si="152"/>
        <v>1.5578710026430097E-2</v>
      </c>
      <c r="F1372" s="64">
        <f t="shared" ca="1" si="153"/>
        <v>3.4077904995472308E-3</v>
      </c>
      <c r="G1372">
        <f t="shared" ca="1" si="150"/>
        <v>1.0666377807871833E-2</v>
      </c>
      <c r="H1372">
        <f t="shared" ca="1" si="154"/>
        <v>1.9737158544125315</v>
      </c>
      <c r="I1372">
        <f t="shared" ca="1" si="155"/>
        <v>2.7698006809510334</v>
      </c>
      <c r="J1372" s="60">
        <v>1367</v>
      </c>
    </row>
    <row r="1373" spans="2:10" x14ac:dyDescent="0.25">
      <c r="B1373" s="53">
        <v>42166</v>
      </c>
      <c r="C1373">
        <v>534.60998500000005</v>
      </c>
      <c r="D1373" s="54">
        <f t="shared" si="151"/>
        <v>-3.8756395540232138E-3</v>
      </c>
      <c r="E1373" s="54">
        <f t="shared" ca="1" si="152"/>
        <v>-1.0843707319376077E-2</v>
      </c>
      <c r="F1373" s="64">
        <f t="shared" ca="1" si="153"/>
        <v>6.9680677653528632E-3</v>
      </c>
      <c r="G1373">
        <f t="shared" ca="1" si="150"/>
        <v>3.3049334697767115E-2</v>
      </c>
      <c r="H1373">
        <f t="shared" ca="1" si="154"/>
        <v>-0.32450494129377483</v>
      </c>
      <c r="I1373">
        <f t="shared" ca="1" si="155"/>
        <v>2.7451952447949761</v>
      </c>
      <c r="J1373" s="57">
        <v>1368</v>
      </c>
    </row>
    <row r="1374" spans="2:10" x14ac:dyDescent="0.25">
      <c r="B1374" s="53">
        <v>42167</v>
      </c>
      <c r="C1374">
        <v>532.330017</v>
      </c>
      <c r="D1374" s="54">
        <f t="shared" si="151"/>
        <v>-4.2647314191111736E-3</v>
      </c>
      <c r="E1374" s="54">
        <f t="shared" ca="1" si="152"/>
        <v>9.5516627686236047E-3</v>
      </c>
      <c r="F1374" s="64">
        <f t="shared" ca="1" si="153"/>
        <v>-1.3816394187734778E-2</v>
      </c>
      <c r="G1374">
        <f t="shared" ca="1" si="150"/>
        <v>9.3300512963790678E-3</v>
      </c>
      <c r="H1374">
        <f t="shared" ca="1" si="154"/>
        <v>0.10980774613620685</v>
      </c>
      <c r="I1374">
        <f t="shared" ca="1" si="155"/>
        <v>2.5996233074505364</v>
      </c>
      <c r="J1374" s="60">
        <v>1369</v>
      </c>
    </row>
    <row r="1375" spans="2:10" x14ac:dyDescent="0.25">
      <c r="B1375" s="53">
        <v>42170</v>
      </c>
      <c r="C1375">
        <v>527.20001200000002</v>
      </c>
      <c r="D1375" s="54">
        <f t="shared" si="151"/>
        <v>-9.6368884642475134E-3</v>
      </c>
      <c r="E1375" s="54">
        <f t="shared" ca="1" si="152"/>
        <v>4.0010706758313551E-3</v>
      </c>
      <c r="F1375" s="64">
        <f t="shared" ca="1" si="153"/>
        <v>-1.3637959140078868E-2</v>
      </c>
      <c r="G1375">
        <f t="shared" ca="1" si="150"/>
        <v>2.9824725851027314E-3</v>
      </c>
      <c r="H1375">
        <f t="shared" ca="1" si="154"/>
        <v>1.9251715999545134</v>
      </c>
      <c r="I1375">
        <f t="shared" ca="1" si="155"/>
        <v>2.603843469736614</v>
      </c>
      <c r="J1375" s="57">
        <v>1370</v>
      </c>
    </row>
    <row r="1376" spans="2:10" x14ac:dyDescent="0.25">
      <c r="B1376" s="53">
        <v>42171</v>
      </c>
      <c r="C1376">
        <v>528.15002400000003</v>
      </c>
      <c r="D1376" s="54">
        <f t="shared" si="151"/>
        <v>1.8019954066313929E-3</v>
      </c>
      <c r="E1376" s="54">
        <f t="shared" ca="1" si="152"/>
        <v>7.6718366426446047E-3</v>
      </c>
      <c r="F1376" s="64">
        <f t="shared" ca="1" si="153"/>
        <v>-5.8698412360132114E-3</v>
      </c>
      <c r="G1376">
        <f t="shared" ca="1" si="150"/>
        <v>3.2157160705942552E-2</v>
      </c>
      <c r="H1376">
        <f t="shared" ca="1" si="154"/>
        <v>0.29814134100292411</v>
      </c>
      <c r="I1376">
        <f t="shared" ca="1" si="155"/>
        <v>2.7376970925024366</v>
      </c>
      <c r="J1376" s="60">
        <v>1371</v>
      </c>
    </row>
    <row r="1377" spans="2:10" x14ac:dyDescent="0.25">
      <c r="B1377" s="53">
        <v>42172</v>
      </c>
      <c r="C1377">
        <v>529.26000999999997</v>
      </c>
      <c r="D1377" s="54">
        <f t="shared" si="151"/>
        <v>2.1016490572003366E-3</v>
      </c>
      <c r="E1377" s="54">
        <f t="shared" ca="1" si="152"/>
        <v>-2.7467001350500323E-3</v>
      </c>
      <c r="F1377" s="64">
        <f t="shared" ca="1" si="153"/>
        <v>4.8483491922503685E-3</v>
      </c>
      <c r="G1377">
        <f t="shared" ca="1" si="150"/>
        <v>8.9138555511257839E-3</v>
      </c>
      <c r="H1377">
        <f t="shared" ca="1" si="154"/>
        <v>0.17740790411609006</v>
      </c>
      <c r="I1377">
        <f t="shared" ca="1" si="155"/>
        <v>2.7623117435753088</v>
      </c>
      <c r="J1377" s="57">
        <v>1372</v>
      </c>
    </row>
    <row r="1378" spans="2:10" x14ac:dyDescent="0.25">
      <c r="B1378" s="53">
        <v>42173</v>
      </c>
      <c r="C1378">
        <v>536.72997999999995</v>
      </c>
      <c r="D1378" s="54">
        <f t="shared" si="151"/>
        <v>1.4113989076937799E-2</v>
      </c>
      <c r="E1378" s="54">
        <f t="shared" ca="1" si="152"/>
        <v>6.1074404288025412E-5</v>
      </c>
      <c r="F1378" s="64">
        <f t="shared" ca="1" si="153"/>
        <v>1.4052914672649772E-2</v>
      </c>
      <c r="G1378">
        <f t="shared" ca="1" si="150"/>
        <v>3.7296707162689782E-3</v>
      </c>
      <c r="H1378">
        <f t="shared" ca="1" si="154"/>
        <v>-0.20062737424471189</v>
      </c>
      <c r="I1378">
        <f t="shared" ca="1" si="155"/>
        <v>2.6353019846488723</v>
      </c>
      <c r="J1378" s="60">
        <v>1373</v>
      </c>
    </row>
    <row r="1379" spans="2:10" x14ac:dyDescent="0.25">
      <c r="B1379" s="53">
        <v>42174</v>
      </c>
      <c r="C1379">
        <v>536.69000200000005</v>
      </c>
      <c r="D1379" s="54">
        <f t="shared" si="151"/>
        <v>-7.4484380395344198E-5</v>
      </c>
      <c r="E1379" s="54">
        <f t="shared" ca="1" si="152"/>
        <v>2.8357996638608872E-3</v>
      </c>
      <c r="F1379" s="64">
        <f t="shared" ca="1" si="153"/>
        <v>-2.9102840442562315E-3</v>
      </c>
      <c r="G1379">
        <f t="shared" ca="1" si="150"/>
        <v>3.5991397987601885E-3</v>
      </c>
      <c r="H1379">
        <f t="shared" ca="1" si="154"/>
        <v>0.52558773827740701</v>
      </c>
      <c r="I1379">
        <f t="shared" ca="1" si="155"/>
        <v>2.7630443219239265</v>
      </c>
      <c r="J1379" s="57">
        <v>1374</v>
      </c>
    </row>
    <row r="1380" spans="2:10" x14ac:dyDescent="0.25">
      <c r="B1380" s="53">
        <v>42177</v>
      </c>
      <c r="C1380">
        <v>538.19000200000005</v>
      </c>
      <c r="D1380" s="54">
        <f t="shared" si="151"/>
        <v>2.7949095276792579E-3</v>
      </c>
      <c r="E1380" s="54">
        <f t="shared" ca="1" si="152"/>
        <v>-4.7853696879081699E-3</v>
      </c>
      <c r="F1380" s="64">
        <f t="shared" ca="1" si="153"/>
        <v>7.5802792155874278E-3</v>
      </c>
      <c r="G1380">
        <f t="shared" ca="1" si="150"/>
        <v>8.8686730683358722E-3</v>
      </c>
      <c r="H1380">
        <f t="shared" ca="1" si="154"/>
        <v>-1.2543301002791261</v>
      </c>
      <c r="I1380">
        <f t="shared" ca="1" si="155"/>
        <v>2.7389005176359742</v>
      </c>
      <c r="J1380" s="60">
        <v>1375</v>
      </c>
    </row>
    <row r="1381" spans="2:10" x14ac:dyDescent="0.25">
      <c r="B1381" s="53">
        <v>42178</v>
      </c>
      <c r="C1381">
        <v>540.47997999999995</v>
      </c>
      <c r="D1381" s="54">
        <f t="shared" si="151"/>
        <v>4.2549619864545628E-3</v>
      </c>
      <c r="E1381" s="54">
        <f t="shared" ca="1" si="152"/>
        <v>-1.4300675878465565E-4</v>
      </c>
      <c r="F1381" s="64">
        <f t="shared" ca="1" si="153"/>
        <v>4.3979687452392188E-3</v>
      </c>
      <c r="G1381">
        <f t="shared" ca="1" si="150"/>
        <v>2.1058191766328303E-2</v>
      </c>
      <c r="H1381">
        <f t="shared" ca="1" si="154"/>
        <v>-5.2047440237721794E-3</v>
      </c>
      <c r="I1381">
        <f t="shared" ca="1" si="155"/>
        <v>2.7650133840112794</v>
      </c>
      <c r="J1381" s="57">
        <v>1376</v>
      </c>
    </row>
    <row r="1382" spans="2:10" x14ac:dyDescent="0.25">
      <c r="B1382" s="53">
        <v>42179</v>
      </c>
      <c r="C1382">
        <v>537.84002699999996</v>
      </c>
      <c r="D1382" s="54">
        <f t="shared" si="151"/>
        <v>-4.8844602902775262E-3</v>
      </c>
      <c r="E1382" s="54">
        <f t="shared" ca="1" si="152"/>
        <v>-3.0934840565110013E-3</v>
      </c>
      <c r="F1382" s="64">
        <f t="shared" ca="1" si="153"/>
        <v>-1.7909762337665249E-3</v>
      </c>
      <c r="G1382">
        <f t="shared" ca="1" si="150"/>
        <v>4.9032859237439297E-3</v>
      </c>
      <c r="H1382">
        <f t="shared" ca="1" si="154"/>
        <v>-0.88691691619158552</v>
      </c>
      <c r="I1382">
        <f t="shared" ca="1" si="155"/>
        <v>2.7689423155845621</v>
      </c>
      <c r="J1382" s="60">
        <v>1377</v>
      </c>
    </row>
    <row r="1383" spans="2:10" x14ac:dyDescent="0.25">
      <c r="B1383" s="53">
        <v>42180</v>
      </c>
      <c r="C1383">
        <v>535.22997999999995</v>
      </c>
      <c r="D1383" s="54">
        <f t="shared" si="151"/>
        <v>-4.8528314535429863E-3</v>
      </c>
      <c r="E1383" s="54">
        <f t="shared" ca="1" si="152"/>
        <v>-1.2315934952000832E-3</v>
      </c>
      <c r="F1383" s="64">
        <f t="shared" ca="1" si="153"/>
        <v>-3.6212379583429031E-3</v>
      </c>
      <c r="G1383">
        <f t="shared" ca="1" si="150"/>
        <v>1.4880357507439081E-2</v>
      </c>
      <c r="H1383">
        <f t="shared" ca="1" si="154"/>
        <v>-0.2111843055884855</v>
      </c>
      <c r="I1383">
        <f t="shared" ca="1" si="155"/>
        <v>2.7582468443044177</v>
      </c>
      <c r="J1383" s="57">
        <v>1378</v>
      </c>
    </row>
    <row r="1384" spans="2:10" x14ac:dyDescent="0.25">
      <c r="B1384" s="53">
        <v>42181</v>
      </c>
      <c r="C1384">
        <v>531.69000200000005</v>
      </c>
      <c r="D1384" s="54">
        <f t="shared" si="151"/>
        <v>-6.6139381803685697E-3</v>
      </c>
      <c r="E1384" s="54">
        <f t="shared" ca="1" si="152"/>
        <v>1.2740600692261557E-3</v>
      </c>
      <c r="F1384" s="64">
        <f t="shared" ca="1" si="153"/>
        <v>-7.8879982495947253E-3</v>
      </c>
      <c r="G1384">
        <f t="shared" ca="1" si="150"/>
        <v>4.9936112178080782E-3</v>
      </c>
      <c r="H1384">
        <f t="shared" ca="1" si="154"/>
        <v>0.6944578769407056</v>
      </c>
      <c r="I1384">
        <f t="shared" ca="1" si="155"/>
        <v>2.7122967619487093</v>
      </c>
      <c r="J1384" s="60">
        <v>1379</v>
      </c>
    </row>
    <row r="1385" spans="2:10" x14ac:dyDescent="0.25">
      <c r="B1385" s="53">
        <v>42184</v>
      </c>
      <c r="C1385">
        <v>521.52002000000005</v>
      </c>
      <c r="D1385" s="54">
        <f t="shared" si="151"/>
        <v>-1.9127653259878308E-2</v>
      </c>
      <c r="E1385" s="54">
        <f t="shared" ca="1" si="152"/>
        <v>7.6522428684201831E-3</v>
      </c>
      <c r="F1385" s="64">
        <f t="shared" ca="1" si="153"/>
        <v>-2.6779896128298491E-2</v>
      </c>
      <c r="G1385">
        <f t="shared" ca="1" si="150"/>
        <v>1.1690888807382404E-2</v>
      </c>
      <c r="H1385">
        <f t="shared" ca="1" si="154"/>
        <v>0.84098487392219345</v>
      </c>
      <c r="I1385">
        <f t="shared" ca="1" si="155"/>
        <v>2.1553898808230425</v>
      </c>
      <c r="J1385" s="57">
        <v>1380</v>
      </c>
    </row>
    <row r="1386" spans="2:10" x14ac:dyDescent="0.25">
      <c r="B1386" s="53">
        <v>42185</v>
      </c>
      <c r="C1386">
        <v>520.51000999999997</v>
      </c>
      <c r="D1386" s="54">
        <f t="shared" si="151"/>
        <v>-1.9366658254079665E-3</v>
      </c>
      <c r="E1386" s="54">
        <f t="shared" ca="1" si="152"/>
        <v>-1.7406763050727955E-2</v>
      </c>
      <c r="F1386" s="64">
        <f t="shared" ca="1" si="153"/>
        <v>1.5470097225319989E-2</v>
      </c>
      <c r="G1386">
        <f t="shared" ca="1" si="150"/>
        <v>1.4323382620656777E-2</v>
      </c>
      <c r="H1386">
        <f t="shared" ca="1" si="154"/>
        <v>-1.007861180130178</v>
      </c>
      <c r="I1386">
        <f t="shared" ca="1" si="155"/>
        <v>2.6035860015041878</v>
      </c>
      <c r="J1386" s="60">
        <v>1381</v>
      </c>
    </row>
    <row r="1387" spans="2:10" x14ac:dyDescent="0.25">
      <c r="B1387" s="53">
        <v>42186</v>
      </c>
      <c r="C1387">
        <v>521.84002699999996</v>
      </c>
      <c r="D1387" s="54">
        <f t="shared" si="151"/>
        <v>2.5552188708147959E-3</v>
      </c>
      <c r="E1387" s="54">
        <f t="shared" ca="1" si="152"/>
        <v>1.7205810667911502E-2</v>
      </c>
      <c r="F1387" s="64">
        <f t="shared" ca="1" si="153"/>
        <v>-1.4650591797096706E-2</v>
      </c>
      <c r="G1387">
        <f t="shared" ca="1" si="150"/>
        <v>1.7166032651569747E-2</v>
      </c>
      <c r="H1387">
        <f t="shared" ca="1" si="154"/>
        <v>1.5027616888550019</v>
      </c>
      <c r="I1387">
        <f t="shared" ca="1" si="155"/>
        <v>2.5792112826078708</v>
      </c>
      <c r="J1387" s="57">
        <v>1382</v>
      </c>
    </row>
    <row r="1388" spans="2:10" x14ac:dyDescent="0.25">
      <c r="B1388" s="53">
        <v>42187</v>
      </c>
      <c r="C1388">
        <v>523.40002400000003</v>
      </c>
      <c r="D1388" s="54">
        <f t="shared" si="151"/>
        <v>2.9894161415104838E-3</v>
      </c>
      <c r="E1388" s="54">
        <f t="shared" ca="1" si="152"/>
        <v>7.5498120869283807E-3</v>
      </c>
      <c r="F1388" s="64">
        <f t="shared" ca="1" si="153"/>
        <v>-4.5603959454178968E-3</v>
      </c>
      <c r="G1388">
        <f t="shared" ca="1" si="150"/>
        <v>2.5406548945268708E-2</v>
      </c>
      <c r="H1388">
        <f t="shared" ca="1" si="154"/>
        <v>0.33139343246691189</v>
      </c>
      <c r="I1388">
        <f t="shared" ca="1" si="155"/>
        <v>2.7506574819947702</v>
      </c>
      <c r="J1388" s="60">
        <v>1383</v>
      </c>
    </row>
    <row r="1389" spans="2:10" x14ac:dyDescent="0.25">
      <c r="B1389" s="53">
        <v>42191</v>
      </c>
      <c r="C1389">
        <v>522.85998500000005</v>
      </c>
      <c r="D1389" s="54">
        <f t="shared" si="151"/>
        <v>-1.0317901704948696E-3</v>
      </c>
      <c r="E1389" s="54">
        <f t="shared" ca="1" si="152"/>
        <v>-2.3824816198061089E-3</v>
      </c>
      <c r="F1389" s="64">
        <f t="shared" ca="1" si="153"/>
        <v>1.3506914493112393E-3</v>
      </c>
      <c r="G1389">
        <f t="shared" ca="1" si="150"/>
        <v>8.0696437774824756E-3</v>
      </c>
      <c r="H1389">
        <f t="shared" ca="1" si="154"/>
        <v>-0.43745835714240272</v>
      </c>
      <c r="I1389">
        <f t="shared" ca="1" si="155"/>
        <v>2.7746821041554921</v>
      </c>
      <c r="J1389" s="57">
        <v>1384</v>
      </c>
    </row>
    <row r="1390" spans="2:10" x14ac:dyDescent="0.25">
      <c r="B1390" s="53">
        <v>42192</v>
      </c>
      <c r="C1390">
        <v>525.02002000000005</v>
      </c>
      <c r="D1390" s="54">
        <f t="shared" si="151"/>
        <v>4.1311920245723013E-3</v>
      </c>
      <c r="E1390" s="54">
        <f t="shared" ca="1" si="152"/>
        <v>3.2840336504284364E-3</v>
      </c>
      <c r="F1390" s="64">
        <f t="shared" ca="1" si="153"/>
        <v>8.4715837414386496E-4</v>
      </c>
      <c r="G1390">
        <f t="shared" ca="1" si="150"/>
        <v>7.5970223207064173E-3</v>
      </c>
      <c r="H1390">
        <f t="shared" ca="1" si="154"/>
        <v>0.255553384927517</v>
      </c>
      <c r="I1390">
        <f t="shared" ca="1" si="155"/>
        <v>2.7748353265198937</v>
      </c>
      <c r="J1390" s="60">
        <v>1385</v>
      </c>
    </row>
    <row r="1391" spans="2:10" x14ac:dyDescent="0.25">
      <c r="B1391" s="53">
        <v>42193</v>
      </c>
      <c r="C1391">
        <v>516.830017</v>
      </c>
      <c r="D1391" s="54">
        <f t="shared" si="151"/>
        <v>-1.5599410856751799E-2</v>
      </c>
      <c r="E1391" s="54">
        <f t="shared" ca="1" si="152"/>
        <v>-8.5683999530118439E-3</v>
      </c>
      <c r="F1391" s="64">
        <f t="shared" ca="1" si="153"/>
        <v>-7.0310109037399551E-3</v>
      </c>
      <c r="G1391">
        <f t="shared" ca="1" si="150"/>
        <v>4.712574370581874E-3</v>
      </c>
      <c r="H1391">
        <f t="shared" ca="1" si="154"/>
        <v>-1.7198823572390773</v>
      </c>
      <c r="I1391">
        <f t="shared" ca="1" si="155"/>
        <v>2.7238866448646704</v>
      </c>
      <c r="J1391" s="57">
        <v>1386</v>
      </c>
    </row>
    <row r="1392" spans="2:10" x14ac:dyDescent="0.25">
      <c r="B1392" s="53">
        <v>42194</v>
      </c>
      <c r="C1392">
        <v>520.67999299999997</v>
      </c>
      <c r="D1392" s="54">
        <f t="shared" si="151"/>
        <v>7.4492112945521308E-3</v>
      </c>
      <c r="E1392" s="54">
        <f t="shared" ca="1" si="152"/>
        <v>3.8697587080635212E-2</v>
      </c>
      <c r="F1392" s="64">
        <f t="shared" ca="1" si="153"/>
        <v>-3.1248375786083082E-2</v>
      </c>
      <c r="G1392">
        <f t="shared" ca="1" si="150"/>
        <v>2.8745325112208783E-2</v>
      </c>
      <c r="H1392">
        <f t="shared" ca="1" si="154"/>
        <v>1.2816850979947283</v>
      </c>
      <c r="I1392">
        <f t="shared" ca="1" si="155"/>
        <v>1.9393350069967916</v>
      </c>
      <c r="J1392" s="60">
        <v>1387</v>
      </c>
    </row>
    <row r="1393" spans="2:10" x14ac:dyDescent="0.25">
      <c r="B1393" s="53">
        <v>42195</v>
      </c>
      <c r="C1393">
        <v>530.13000499999998</v>
      </c>
      <c r="D1393" s="54">
        <f t="shared" si="151"/>
        <v>1.8149366457412577E-2</v>
      </c>
      <c r="E1393" s="54">
        <f t="shared" ca="1" si="152"/>
        <v>-6.3891090168389014E-3</v>
      </c>
      <c r="F1393" s="64">
        <f t="shared" ca="1" si="153"/>
        <v>2.4538475474251479E-2</v>
      </c>
      <c r="G1393">
        <f t="shared" ca="1" si="150"/>
        <v>2.2396021173524096E-2</v>
      </c>
      <c r="H1393">
        <f t="shared" ca="1" si="154"/>
        <v>2.7539286973084928E-2</v>
      </c>
      <c r="I1393">
        <f t="shared" ca="1" si="155"/>
        <v>2.3238208825960074</v>
      </c>
      <c r="J1393" s="57">
        <v>1388</v>
      </c>
    </row>
    <row r="1394" spans="2:10" x14ac:dyDescent="0.25">
      <c r="B1394" s="53">
        <v>42198</v>
      </c>
      <c r="C1394">
        <v>546.54998799999998</v>
      </c>
      <c r="D1394" s="54">
        <f t="shared" si="151"/>
        <v>3.0973502433615321E-2</v>
      </c>
      <c r="E1394" s="54">
        <f t="shared" ca="1" si="152"/>
        <v>1.0134416055714969E-3</v>
      </c>
      <c r="F1394" s="64">
        <f t="shared" ca="1" si="153"/>
        <v>2.9960060828043825E-2</v>
      </c>
      <c r="G1394">
        <f t="shared" ca="1" si="150"/>
        <v>5.2214408116351358E-3</v>
      </c>
      <c r="H1394">
        <f t="shared" ca="1" si="154"/>
        <v>-0.44670834033384677</v>
      </c>
      <c r="I1394">
        <f t="shared" ca="1" si="155"/>
        <v>2.0930961074653678</v>
      </c>
      <c r="J1394" s="60">
        <v>1389</v>
      </c>
    </row>
    <row r="1395" spans="2:10" x14ac:dyDescent="0.25">
      <c r="B1395" s="53">
        <v>42199</v>
      </c>
      <c r="C1395">
        <v>561.09997599999997</v>
      </c>
      <c r="D1395" s="54">
        <f t="shared" si="151"/>
        <v>2.6621513712301068E-2</v>
      </c>
      <c r="E1395" s="54">
        <f t="shared" ca="1" si="152"/>
        <v>-1.1824213845447358E-3</v>
      </c>
      <c r="F1395" s="64">
        <f t="shared" ca="1" si="153"/>
        <v>2.7803935096845804E-2</v>
      </c>
      <c r="G1395">
        <f t="shared" ca="1" si="150"/>
        <v>7.6176405088573575E-3</v>
      </c>
      <c r="H1395">
        <f t="shared" ca="1" si="154"/>
        <v>-1.2253399373811893</v>
      </c>
      <c r="I1395">
        <f t="shared" ca="1" si="155"/>
        <v>2.1905417381978065</v>
      </c>
      <c r="J1395" s="57">
        <v>1390</v>
      </c>
    </row>
    <row r="1396" spans="2:10" x14ac:dyDescent="0.25">
      <c r="B1396" s="53">
        <v>42200</v>
      </c>
      <c r="C1396">
        <v>560.21997099999999</v>
      </c>
      <c r="D1396" s="54">
        <f t="shared" si="151"/>
        <v>-1.56835686622803E-3</v>
      </c>
      <c r="E1396" s="54">
        <f t="shared" ca="1" si="152"/>
        <v>-1.1798100138340472E-2</v>
      </c>
      <c r="F1396" s="64">
        <f t="shared" ca="1" si="153"/>
        <v>1.0229743272112441E-2</v>
      </c>
      <c r="G1396">
        <f t="shared" ca="1" si="150"/>
        <v>2.055112683767632E-2</v>
      </c>
      <c r="H1396">
        <f t="shared" ca="1" si="154"/>
        <v>-1.2509960847764778</v>
      </c>
      <c r="I1396">
        <f t="shared" ca="1" si="155"/>
        <v>2.7046774574184407</v>
      </c>
      <c r="J1396" s="60">
        <v>1391</v>
      </c>
    </row>
    <row r="1397" spans="2:10" x14ac:dyDescent="0.25">
      <c r="B1397" s="53">
        <v>42201</v>
      </c>
      <c r="C1397">
        <v>579.84997599999997</v>
      </c>
      <c r="D1397" s="54">
        <f t="shared" si="151"/>
        <v>3.503981652949674E-2</v>
      </c>
      <c r="E1397" s="54">
        <f t="shared" ca="1" si="152"/>
        <v>3.1736923698078359E-3</v>
      </c>
      <c r="F1397" s="64">
        <f t="shared" ca="1" si="153"/>
        <v>3.1866124159688904E-2</v>
      </c>
      <c r="G1397">
        <f t="shared" ca="1" si="150"/>
        <v>2.142334908231134E-2</v>
      </c>
      <c r="H1397">
        <f t="shared" ca="1" si="154"/>
        <v>-0.40995157023962514</v>
      </c>
      <c r="I1397">
        <f t="shared" ca="1" si="155"/>
        <v>2.0006967879051629</v>
      </c>
      <c r="J1397" s="57">
        <v>1392</v>
      </c>
    </row>
    <row r="1398" spans="2:10" x14ac:dyDescent="0.25">
      <c r="B1398" s="53">
        <v>42202</v>
      </c>
      <c r="C1398">
        <v>672.92999299999997</v>
      </c>
      <c r="D1398" s="54">
        <f t="shared" si="151"/>
        <v>0.16052430948104413</v>
      </c>
      <c r="E1398" s="54">
        <f t="shared" ca="1" si="152"/>
        <v>1.2208334258830347E-2</v>
      </c>
      <c r="F1398" s="64">
        <f t="shared" ca="1" si="153"/>
        <v>0.14831597522221379</v>
      </c>
      <c r="G1398">
        <f t="shared" ca="1" si="150"/>
        <v>8.4653955692759811E-3</v>
      </c>
      <c r="H1398">
        <f t="shared" ca="1" si="154"/>
        <v>1.5252814562160613</v>
      </c>
      <c r="I1398">
        <f t="shared" ca="1" si="155"/>
        <v>-14.778943814872111</v>
      </c>
      <c r="J1398" s="60">
        <v>1393</v>
      </c>
    </row>
    <row r="1399" spans="2:10" x14ac:dyDescent="0.25">
      <c r="B1399" s="53">
        <v>42205</v>
      </c>
      <c r="C1399">
        <v>663.02002000000005</v>
      </c>
      <c r="D1399" s="54">
        <f t="shared" si="151"/>
        <v>-1.472660321740173E-2</v>
      </c>
      <c r="E1399" s="54">
        <f t="shared" ca="1" si="152"/>
        <v>-9.8288802340608938E-3</v>
      </c>
      <c r="F1399" s="64">
        <f t="shared" ca="1" si="153"/>
        <v>-4.897722983340836E-3</v>
      </c>
      <c r="G1399">
        <f t="shared" ca="1" si="150"/>
        <v>2.5552219310356731E-2</v>
      </c>
      <c r="H1399">
        <f t="shared" ca="1" si="154"/>
        <v>-1.0006461555970794</v>
      </c>
      <c r="I1399">
        <f t="shared" ca="1" si="155"/>
        <v>2.7475836674974894</v>
      </c>
      <c r="J1399" s="57">
        <v>1394</v>
      </c>
    </row>
    <row r="1400" spans="2:10" x14ac:dyDescent="0.25">
      <c r="B1400" s="53">
        <v>42206</v>
      </c>
      <c r="C1400">
        <v>662.29998799999998</v>
      </c>
      <c r="D1400" s="54">
        <f t="shared" si="151"/>
        <v>-1.0859883235502603E-3</v>
      </c>
      <c r="E1400" s="54">
        <f t="shared" ca="1" si="152"/>
        <v>9.2605377947075282E-2</v>
      </c>
      <c r="F1400" s="64">
        <f t="shared" ca="1" si="153"/>
        <v>-9.3691366270625548E-2</v>
      </c>
      <c r="G1400">
        <f t="shared" ca="1" si="150"/>
        <v>1.7716550709147572E-2</v>
      </c>
      <c r="H1400">
        <f t="shared" ca="1" si="154"/>
        <v>1.1577281404076116</v>
      </c>
      <c r="I1400">
        <f t="shared" ca="1" si="155"/>
        <v>-4.4552615980303232</v>
      </c>
      <c r="J1400" s="60">
        <v>1395</v>
      </c>
    </row>
    <row r="1401" spans="2:10" x14ac:dyDescent="0.25">
      <c r="B1401" s="53">
        <v>42207</v>
      </c>
      <c r="C1401">
        <v>662.09997599999997</v>
      </c>
      <c r="D1401" s="54">
        <f t="shared" si="151"/>
        <v>-3.0199607975836952E-4</v>
      </c>
      <c r="E1401" s="54">
        <f t="shared" ca="1" si="152"/>
        <v>-2.2708217356466782E-3</v>
      </c>
      <c r="F1401" s="64">
        <f t="shared" ca="1" si="153"/>
        <v>1.9688256558883085E-3</v>
      </c>
      <c r="G1401">
        <f t="shared" ca="1" si="150"/>
        <v>1.9767099670518956E-2</v>
      </c>
      <c r="H1401">
        <f t="shared" ca="1" si="154"/>
        <v>0.21971910432573727</v>
      </c>
      <c r="I1401">
        <f t="shared" ca="1" si="155"/>
        <v>2.7739338766703971</v>
      </c>
      <c r="J1401" s="57">
        <v>1396</v>
      </c>
    </row>
    <row r="1402" spans="2:10" x14ac:dyDescent="0.25">
      <c r="B1402" s="53">
        <v>42208</v>
      </c>
      <c r="C1402">
        <v>644.28002900000001</v>
      </c>
      <c r="D1402" s="54">
        <f t="shared" si="151"/>
        <v>-2.6914284316482073E-2</v>
      </c>
      <c r="E1402" s="54">
        <f t="shared" ca="1" si="152"/>
        <v>1.4912109729160124E-2</v>
      </c>
      <c r="F1402" s="64">
        <f t="shared" ca="1" si="153"/>
        <v>-4.1826394045642201E-2</v>
      </c>
      <c r="G1402">
        <f t="shared" ca="1" si="150"/>
        <v>5.8948310945576886E-3</v>
      </c>
      <c r="H1402">
        <f t="shared" ca="1" si="154"/>
        <v>2.6124334681138497</v>
      </c>
      <c r="I1402">
        <f t="shared" ca="1" si="155"/>
        <v>1.2992955669682704</v>
      </c>
      <c r="J1402" s="60">
        <v>1397</v>
      </c>
    </row>
    <row r="1403" spans="2:10" x14ac:dyDescent="0.25">
      <c r="B1403" s="53">
        <v>42209</v>
      </c>
      <c r="C1403">
        <v>623.55999799999995</v>
      </c>
      <c r="D1403" s="54">
        <f t="shared" si="151"/>
        <v>-3.2159977133173041E-2</v>
      </c>
      <c r="E1403" s="54">
        <f t="shared" ca="1" si="152"/>
        <v>3.842551013217315E-2</v>
      </c>
      <c r="F1403" s="64">
        <f t="shared" ca="1" si="153"/>
        <v>-7.0585487265346192E-2</v>
      </c>
      <c r="G1403">
        <f t="shared" ca="1" si="150"/>
        <v>4.3637975766185513E-2</v>
      </c>
      <c r="H1403">
        <f t="shared" ca="1" si="154"/>
        <v>0.88367083416779302</v>
      </c>
      <c r="I1403">
        <f t="shared" ca="1" si="155"/>
        <v>-1.3547665119319596</v>
      </c>
      <c r="J1403" s="57">
        <v>1398</v>
      </c>
    </row>
    <row r="1404" spans="2:10" x14ac:dyDescent="0.25">
      <c r="B1404" s="53">
        <v>42212</v>
      </c>
      <c r="C1404">
        <v>627.26000999999997</v>
      </c>
      <c r="D1404" s="54">
        <f t="shared" si="151"/>
        <v>5.9336904417656624E-3</v>
      </c>
      <c r="E1404" s="54">
        <f t="shared" ca="1" si="152"/>
        <v>-4.9677278745915987E-3</v>
      </c>
      <c r="F1404" s="64">
        <f t="shared" ca="1" si="153"/>
        <v>1.0901418316357261E-2</v>
      </c>
      <c r="G1404">
        <f t="shared" ca="1" si="150"/>
        <v>1.7816218502968845E-2</v>
      </c>
      <c r="H1404">
        <f t="shared" ca="1" si="154"/>
        <v>0.3996678918443915</v>
      </c>
      <c r="I1404">
        <f t="shared" ca="1" si="155"/>
        <v>2.694199300431726</v>
      </c>
      <c r="J1404" s="60">
        <v>1399</v>
      </c>
    </row>
    <row r="1405" spans="2:10" x14ac:dyDescent="0.25">
      <c r="B1405" s="53">
        <v>42213</v>
      </c>
      <c r="C1405">
        <v>628</v>
      </c>
      <c r="D1405" s="54">
        <f t="shared" si="151"/>
        <v>1.1797181204011944E-3</v>
      </c>
      <c r="E1405" s="54">
        <f t="shared" ca="1" si="152"/>
        <v>-1.7688917439707137E-2</v>
      </c>
      <c r="F1405" s="64">
        <f t="shared" ca="1" si="153"/>
        <v>1.8868635560108333E-2</v>
      </c>
      <c r="G1405">
        <f t="shared" ca="1" si="150"/>
        <v>7.87378389410167E-3</v>
      </c>
      <c r="H1405">
        <f t="shared" ca="1" si="154"/>
        <v>-0.41216902807220568</v>
      </c>
      <c r="I1405">
        <f t="shared" ca="1" si="155"/>
        <v>2.5143060510924036</v>
      </c>
      <c r="J1405" s="57">
        <v>1400</v>
      </c>
    </row>
    <row r="1406" spans="2:10" x14ac:dyDescent="0.25">
      <c r="B1406" s="53">
        <v>42214</v>
      </c>
      <c r="C1406">
        <v>631.92999299999997</v>
      </c>
      <c r="D1406" s="54">
        <f t="shared" si="151"/>
        <v>6.2579506369426236E-3</v>
      </c>
      <c r="E1406" s="54">
        <f t="shared" ca="1" si="152"/>
        <v>1.3377635587125518E-3</v>
      </c>
      <c r="F1406" s="64">
        <f t="shared" ca="1" si="153"/>
        <v>4.9201870782300721E-3</v>
      </c>
      <c r="G1406">
        <f t="shared" ca="1" si="150"/>
        <v>7.1809703018602044E-3</v>
      </c>
      <c r="H1406">
        <f t="shared" ca="1" si="154"/>
        <v>-0.18482126172011204</v>
      </c>
      <c r="I1406">
        <f t="shared" ca="1" si="155"/>
        <v>2.761850511230044</v>
      </c>
      <c r="J1406" s="60">
        <v>1401</v>
      </c>
    </row>
    <row r="1407" spans="2:10" x14ac:dyDescent="0.25">
      <c r="B1407" s="53">
        <v>42215</v>
      </c>
      <c r="C1407">
        <v>632.59002699999996</v>
      </c>
      <c r="D1407" s="54">
        <f t="shared" si="151"/>
        <v>1.0444732918381927E-3</v>
      </c>
      <c r="E1407" s="54">
        <f t="shared" ca="1" si="152"/>
        <v>1.437092124732771E-3</v>
      </c>
      <c r="F1407" s="64">
        <f t="shared" ca="1" si="153"/>
        <v>-3.9261883289457835E-4</v>
      </c>
      <c r="G1407">
        <f t="shared" ca="1" si="150"/>
        <v>3.6346854089249966E-3</v>
      </c>
      <c r="H1407">
        <f t="shared" ca="1" si="154"/>
        <v>0.2495812266326666</v>
      </c>
      <c r="I1407">
        <f t="shared" ca="1" si="155"/>
        <v>2.7734665110321965</v>
      </c>
      <c r="J1407" s="57">
        <v>1402</v>
      </c>
    </row>
    <row r="1408" spans="2:10" x14ac:dyDescent="0.25">
      <c r="B1408" s="53">
        <v>42216</v>
      </c>
      <c r="C1408">
        <v>625.60998500000005</v>
      </c>
      <c r="D1408" s="54">
        <f t="shared" si="151"/>
        <v>-1.1034068989519356E-2</v>
      </c>
      <c r="E1408" s="54">
        <f t="shared" ca="1" si="152"/>
        <v>4.6676139650388823E-3</v>
      </c>
      <c r="F1408" s="64">
        <f t="shared" ca="1" si="153"/>
        <v>-1.570168295455824E-2</v>
      </c>
      <c r="G1408">
        <f t="shared" ca="1" si="150"/>
        <v>4.3655335411464302E-3</v>
      </c>
      <c r="H1408">
        <f t="shared" ca="1" si="154"/>
        <v>0.42538328475430442</v>
      </c>
      <c r="I1408">
        <f t="shared" ca="1" si="155"/>
        <v>2.5518911852377992</v>
      </c>
      <c r="J1408" s="60">
        <v>1403</v>
      </c>
    </row>
    <row r="1409" spans="2:10" x14ac:dyDescent="0.25">
      <c r="B1409" s="53">
        <v>42219</v>
      </c>
      <c r="C1409">
        <v>631.21002199999998</v>
      </c>
      <c r="D1409" s="54">
        <f t="shared" si="151"/>
        <v>8.9513229236581459E-3</v>
      </c>
      <c r="E1409" s="54">
        <f t="shared" ca="1" si="152"/>
        <v>-1.0460740745492341E-2</v>
      </c>
      <c r="F1409" s="64">
        <f t="shared" ca="1" si="153"/>
        <v>1.9412063669150485E-2</v>
      </c>
      <c r="G1409">
        <f t="shared" ca="1" si="150"/>
        <v>7.2402441040820553E-3</v>
      </c>
      <c r="H1409">
        <f t="shared" ca="1" si="154"/>
        <v>-1.5095685045301026</v>
      </c>
      <c r="I1409">
        <f t="shared" ca="1" si="155"/>
        <v>2.4982995295617703</v>
      </c>
      <c r="J1409" s="57">
        <v>1404</v>
      </c>
    </row>
    <row r="1410" spans="2:10" x14ac:dyDescent="0.25">
      <c r="B1410" s="53">
        <v>42220</v>
      </c>
      <c r="C1410">
        <v>629.25</v>
      </c>
      <c r="D1410" s="54">
        <f t="shared" si="151"/>
        <v>-3.1051820023224866E-3</v>
      </c>
      <c r="E1410" s="54">
        <f t="shared" ca="1" si="152"/>
        <v>3.3231819722418829E-2</v>
      </c>
      <c r="F1410" s="64">
        <f t="shared" ca="1" si="153"/>
        <v>-3.6337001724741316E-2</v>
      </c>
      <c r="G1410">
        <f t="shared" ca="1" si="150"/>
        <v>2.5271155407448537E-2</v>
      </c>
      <c r="H1410">
        <f t="shared" ca="1" si="154"/>
        <v>1.5111017372222539</v>
      </c>
      <c r="I1410">
        <f t="shared" ca="1" si="155"/>
        <v>1.6540065240107438</v>
      </c>
      <c r="J1410" s="60">
        <v>1405</v>
      </c>
    </row>
    <row r="1411" spans="2:10" x14ac:dyDescent="0.25">
      <c r="B1411" s="53">
        <v>42221</v>
      </c>
      <c r="C1411">
        <v>643.78002900000001</v>
      </c>
      <c r="D1411" s="54">
        <f t="shared" si="151"/>
        <v>2.3091027413587626E-2</v>
      </c>
      <c r="E1411" s="54">
        <f t="shared" ca="1" si="152"/>
        <v>3.5152062111011143E-2</v>
      </c>
      <c r="F1411" s="64">
        <f t="shared" ca="1" si="153"/>
        <v>-1.2061034697423516E-2</v>
      </c>
      <c r="G1411">
        <f t="shared" ca="1" si="150"/>
        <v>2.5891099695878581E-2</v>
      </c>
      <c r="H1411">
        <f t="shared" ca="1" si="154"/>
        <v>1.2024169534783995</v>
      </c>
      <c r="I1411">
        <f t="shared" ca="1" si="155"/>
        <v>2.6389030120146222</v>
      </c>
      <c r="J1411" s="57">
        <v>1406</v>
      </c>
    </row>
    <row r="1412" spans="2:10" x14ac:dyDescent="0.25">
      <c r="B1412" s="53">
        <v>42222</v>
      </c>
      <c r="C1412">
        <v>642.67999299999997</v>
      </c>
      <c r="D1412" s="54">
        <f t="shared" si="151"/>
        <v>-1.7087140800387355E-3</v>
      </c>
      <c r="E1412" s="54">
        <f t="shared" ca="1" si="152"/>
        <v>-2.0203976364099097E-2</v>
      </c>
      <c r="F1412" s="64">
        <f t="shared" ca="1" si="153"/>
        <v>1.849526228406036E-2</v>
      </c>
      <c r="G1412">
        <f t="shared" ca="1" si="150"/>
        <v>2.0943411985811844E-2</v>
      </c>
      <c r="H1412">
        <f t="shared" ca="1" si="154"/>
        <v>-0.89812371004457658</v>
      </c>
      <c r="I1412">
        <f t="shared" ca="1" si="155"/>
        <v>2.5250271126171935</v>
      </c>
      <c r="J1412" s="60">
        <v>1407</v>
      </c>
    </row>
    <row r="1413" spans="2:10" ht="15.75" thickBot="1" x14ac:dyDescent="0.3">
      <c r="B1413" s="69">
        <v>42223</v>
      </c>
      <c r="C1413" s="70">
        <v>635.29998799999998</v>
      </c>
      <c r="D1413" s="71">
        <f t="shared" si="151"/>
        <v>-1.1483172154699366E-2</v>
      </c>
      <c r="E1413" s="71">
        <f t="shared" ca="1" si="152"/>
        <v>-5.0360661106358257E-3</v>
      </c>
      <c r="F1413" s="73">
        <f t="shared" ca="1" si="153"/>
        <v>-6.4471060440635403E-3</v>
      </c>
      <c r="G1413" s="70">
        <f ca="1">SQRT(A_0+A_1*POWER(H1412,2)+B_1*POWER(G1412,2))</f>
        <v>1.5764441181113288E-2</v>
      </c>
      <c r="H1413" s="70">
        <f t="shared" ca="1" si="154"/>
        <v>-0.97730578420072722</v>
      </c>
      <c r="I1413" s="70">
        <f ca="1">LN(_xlfn.NORM.DIST(F1413,AVERAGE($F$8:$F$1413),_xlfn.STDEV.S($F$8:$F$1413),FALSE))</f>
        <v>2.7311036641357416</v>
      </c>
      <c r="J1413" s="67">
        <v>1408</v>
      </c>
    </row>
    <row r="1414" spans="2:10" x14ac:dyDescent="0.25">
      <c r="B1414" s="1"/>
      <c r="D1414" s="54"/>
      <c r="E1414" s="54"/>
      <c r="F1414" s="64"/>
      <c r="J1414" s="4"/>
    </row>
    <row r="1415" spans="2:10" x14ac:dyDescent="0.25">
      <c r="B1415" s="1"/>
      <c r="D1415" s="54"/>
      <c r="E1415" s="54"/>
      <c r="F1415" s="64"/>
      <c r="J1415" s="8"/>
    </row>
    <row r="1416" spans="2:10" x14ac:dyDescent="0.25">
      <c r="B1416" s="1"/>
      <c r="D1416" s="54"/>
      <c r="E1416" s="54"/>
      <c r="F1416" s="64"/>
      <c r="J1416" s="4"/>
    </row>
    <row r="1417" spans="2:10" x14ac:dyDescent="0.25">
      <c r="B1417" s="1"/>
      <c r="D1417" s="54"/>
      <c r="E1417" s="54"/>
      <c r="F1417" s="64"/>
      <c r="J1417" s="8"/>
    </row>
    <row r="1418" spans="2:10" x14ac:dyDescent="0.25">
      <c r="B1418" s="1"/>
      <c r="D1418" s="54"/>
      <c r="E1418" s="54"/>
      <c r="F1418" s="64"/>
      <c r="J1418" s="4"/>
    </row>
    <row r="1419" spans="2:10" x14ac:dyDescent="0.25">
      <c r="B1419" s="1"/>
      <c r="D1419" s="54"/>
      <c r="E1419" s="54"/>
      <c r="F1419" s="64"/>
      <c r="J1419" s="8"/>
    </row>
    <row r="1420" spans="2:10" x14ac:dyDescent="0.25">
      <c r="B1420" s="1"/>
      <c r="D1420" s="54"/>
      <c r="E1420" s="54"/>
      <c r="F1420" s="64"/>
      <c r="J1420" s="4"/>
    </row>
    <row r="1421" spans="2:10" x14ac:dyDescent="0.25">
      <c r="B1421" s="1"/>
      <c r="D1421" s="54"/>
      <c r="E1421" s="54"/>
      <c r="F1421" s="64"/>
      <c r="J1421" s="8"/>
    </row>
    <row r="1422" spans="2:10" x14ac:dyDescent="0.25">
      <c r="B1422" s="1"/>
      <c r="D1422" s="54"/>
      <c r="E1422" s="54"/>
      <c r="F1422" s="64"/>
      <c r="J1422" s="4"/>
    </row>
    <row r="1423" spans="2:10" x14ac:dyDescent="0.25">
      <c r="B1423" s="1"/>
      <c r="D1423" s="54"/>
      <c r="E1423" s="54"/>
      <c r="F1423" s="64"/>
      <c r="J1423" s="8"/>
    </row>
    <row r="1424" spans="2:10" x14ac:dyDescent="0.25">
      <c r="B1424" s="1"/>
      <c r="D1424" s="54"/>
      <c r="E1424" s="54"/>
      <c r="F1424" s="64"/>
      <c r="J1424" s="4"/>
    </row>
    <row r="1425" spans="2:10" x14ac:dyDescent="0.25">
      <c r="B1425" s="1"/>
      <c r="D1425" s="54"/>
      <c r="E1425" s="54"/>
      <c r="F1425" s="64"/>
      <c r="J1425" s="8"/>
    </row>
    <row r="1426" spans="2:10" x14ac:dyDescent="0.25">
      <c r="B1426" s="1"/>
      <c r="D1426" s="54"/>
      <c r="E1426" s="54"/>
      <c r="F1426" s="64"/>
      <c r="J1426" s="4"/>
    </row>
    <row r="1427" spans="2:10" x14ac:dyDescent="0.25">
      <c r="B1427" s="1"/>
      <c r="D1427" s="54"/>
      <c r="E1427" s="54"/>
      <c r="F1427" s="64"/>
      <c r="J1427" s="8"/>
    </row>
    <row r="1428" spans="2:10" x14ac:dyDescent="0.25">
      <c r="B1428" s="1"/>
      <c r="D1428" s="54"/>
      <c r="E1428" s="54"/>
      <c r="F1428" s="64"/>
      <c r="J1428" s="4"/>
    </row>
    <row r="1429" spans="2:10" x14ac:dyDescent="0.25">
      <c r="B1429" s="1"/>
      <c r="D1429" s="54"/>
      <c r="E1429" s="54"/>
      <c r="F1429" s="64"/>
      <c r="J1429" s="8"/>
    </row>
    <row r="1430" spans="2:10" x14ac:dyDescent="0.25">
      <c r="B1430" s="1"/>
      <c r="D1430" s="54"/>
      <c r="E1430" s="54"/>
      <c r="F1430" s="64"/>
      <c r="J1430" s="4"/>
    </row>
    <row r="1431" spans="2:10" x14ac:dyDescent="0.25">
      <c r="B1431" s="1"/>
      <c r="D1431" s="54"/>
      <c r="E1431" s="54"/>
      <c r="F1431" s="64"/>
      <c r="J1431" s="8"/>
    </row>
    <row r="1432" spans="2:10" x14ac:dyDescent="0.25">
      <c r="B1432" s="1"/>
      <c r="D1432" s="54"/>
      <c r="E1432" s="54"/>
      <c r="F1432" s="64"/>
      <c r="J1432" s="4"/>
    </row>
    <row r="1433" spans="2:10" x14ac:dyDescent="0.25">
      <c r="B1433" s="1"/>
      <c r="D1433" s="54"/>
      <c r="E1433" s="54"/>
      <c r="F1433" s="64"/>
      <c r="J1433" s="8"/>
    </row>
    <row r="1434" spans="2:10" x14ac:dyDescent="0.25">
      <c r="B1434" s="1"/>
      <c r="D1434" s="54"/>
      <c r="E1434" s="54"/>
      <c r="F1434" s="64"/>
      <c r="J1434" s="4"/>
    </row>
    <row r="1435" spans="2:10" x14ac:dyDescent="0.25">
      <c r="B1435" s="1"/>
      <c r="D1435" s="54"/>
      <c r="E1435" s="54"/>
      <c r="F1435" s="64"/>
      <c r="J1435" s="8"/>
    </row>
    <row r="1436" spans="2:10" x14ac:dyDescent="0.25">
      <c r="B1436" s="1"/>
      <c r="D1436" s="54"/>
      <c r="E1436" s="54"/>
      <c r="F1436" s="64"/>
      <c r="J1436" s="4"/>
    </row>
    <row r="1437" spans="2:10" x14ac:dyDescent="0.25">
      <c r="B1437" s="1"/>
      <c r="D1437" s="54"/>
      <c r="E1437" s="54"/>
      <c r="F1437" s="64"/>
      <c r="J1437" s="8"/>
    </row>
    <row r="1438" spans="2:10" x14ac:dyDescent="0.25">
      <c r="B1438" s="1"/>
      <c r="D1438" s="54"/>
      <c r="E1438" s="54"/>
      <c r="F1438" s="64"/>
      <c r="J1438" s="4"/>
    </row>
    <row r="1439" spans="2:10" x14ac:dyDescent="0.25">
      <c r="B1439" s="1"/>
      <c r="D1439" s="54"/>
      <c r="E1439" s="54"/>
      <c r="F1439" s="64"/>
      <c r="J1439" s="8"/>
    </row>
    <row r="1440" spans="2:10" x14ac:dyDescent="0.25">
      <c r="B1440" s="1"/>
      <c r="D1440" s="54"/>
      <c r="E1440" s="54"/>
      <c r="F1440" s="64"/>
      <c r="J1440" s="4"/>
    </row>
    <row r="1441" spans="2:10" x14ac:dyDescent="0.25">
      <c r="B1441" s="1"/>
      <c r="D1441" s="54"/>
      <c r="E1441" s="54"/>
      <c r="F1441" s="64"/>
      <c r="J1441" s="8"/>
    </row>
    <row r="1442" spans="2:10" x14ac:dyDescent="0.25">
      <c r="B1442" s="1"/>
      <c r="D1442" s="54"/>
      <c r="E1442" s="54"/>
      <c r="F1442" s="64"/>
      <c r="J1442" s="4"/>
    </row>
    <row r="1443" spans="2:10" x14ac:dyDescent="0.25">
      <c r="B1443" s="1"/>
      <c r="D1443" s="54"/>
      <c r="E1443" s="54"/>
      <c r="F1443" s="64"/>
      <c r="J1443" s="8"/>
    </row>
    <row r="1444" spans="2:10" x14ac:dyDescent="0.25">
      <c r="B1444" s="1"/>
      <c r="D1444" s="54"/>
      <c r="E1444" s="54"/>
      <c r="F1444" s="64"/>
      <c r="J1444" s="4"/>
    </row>
    <row r="1445" spans="2:10" x14ac:dyDescent="0.25">
      <c r="B1445" s="1"/>
      <c r="D1445" s="54"/>
      <c r="E1445" s="54"/>
      <c r="F1445" s="64"/>
      <c r="J1445" s="8"/>
    </row>
    <row r="1446" spans="2:10" x14ac:dyDescent="0.25">
      <c r="B1446" s="1"/>
      <c r="D1446" s="54"/>
      <c r="E1446" s="54"/>
      <c r="F1446" s="64"/>
      <c r="J1446" s="4"/>
    </row>
    <row r="1447" spans="2:10" x14ac:dyDescent="0.25">
      <c r="B1447" s="1"/>
      <c r="D1447" s="54"/>
      <c r="E1447" s="54"/>
      <c r="F1447" s="64"/>
      <c r="J1447" s="8"/>
    </row>
    <row r="1448" spans="2:10" x14ac:dyDescent="0.25">
      <c r="B1448" s="1"/>
      <c r="D1448" s="54"/>
      <c r="E1448" s="54"/>
      <c r="F1448" s="64"/>
      <c r="J1448" s="4"/>
    </row>
    <row r="1449" spans="2:10" x14ac:dyDescent="0.25">
      <c r="B1449" s="1"/>
      <c r="D1449" s="54"/>
      <c r="E1449" s="54"/>
      <c r="F1449" s="64"/>
      <c r="J1449" s="8"/>
    </row>
    <row r="1450" spans="2:10" x14ac:dyDescent="0.25">
      <c r="B1450" s="1"/>
      <c r="D1450" s="54"/>
      <c r="E1450" s="54"/>
      <c r="F1450" s="64"/>
      <c r="J1450" s="4"/>
    </row>
    <row r="1451" spans="2:10" x14ac:dyDescent="0.25">
      <c r="B1451" s="1"/>
      <c r="D1451" s="54"/>
      <c r="E1451" s="54"/>
      <c r="F1451" s="64"/>
      <c r="J1451" s="8"/>
    </row>
    <row r="1452" spans="2:10" x14ac:dyDescent="0.25">
      <c r="B1452" s="1"/>
      <c r="D1452" s="54"/>
      <c r="E1452" s="54"/>
      <c r="F1452" s="64"/>
      <c r="J1452" s="4"/>
    </row>
    <row r="1453" spans="2:10" x14ac:dyDescent="0.25">
      <c r="B1453" s="1"/>
      <c r="D1453" s="54"/>
      <c r="E1453" s="54"/>
      <c r="F1453" s="64"/>
      <c r="J1453" s="8"/>
    </row>
    <row r="1454" spans="2:10" x14ac:dyDescent="0.25">
      <c r="B1454" s="1"/>
      <c r="D1454" s="54"/>
      <c r="E1454" s="54"/>
      <c r="F1454" s="64"/>
      <c r="J1454" s="4"/>
    </row>
    <row r="1455" spans="2:10" x14ac:dyDescent="0.25">
      <c r="B1455" s="1"/>
      <c r="D1455" s="54"/>
      <c r="E1455" s="54"/>
      <c r="F1455" s="64"/>
      <c r="J1455" s="8"/>
    </row>
    <row r="1456" spans="2:10" x14ac:dyDescent="0.25">
      <c r="B1456" s="1"/>
      <c r="D1456" s="54"/>
      <c r="E1456" s="54"/>
      <c r="F1456" s="64"/>
      <c r="J1456" s="4"/>
    </row>
    <row r="1457" spans="2:10" x14ac:dyDescent="0.25">
      <c r="B1457" s="1"/>
      <c r="D1457" s="54"/>
      <c r="E1457" s="54"/>
      <c r="F1457" s="64"/>
      <c r="J1457" s="8"/>
    </row>
    <row r="1458" spans="2:10" x14ac:dyDescent="0.25">
      <c r="B1458" s="1"/>
      <c r="D1458" s="54"/>
      <c r="E1458" s="54"/>
      <c r="F1458" s="64"/>
      <c r="J1458" s="4"/>
    </row>
    <row r="1459" spans="2:10" x14ac:dyDescent="0.25">
      <c r="B1459" s="1"/>
      <c r="D1459" s="54"/>
      <c r="E1459" s="54"/>
      <c r="F1459" s="64"/>
      <c r="J1459" s="8"/>
    </row>
    <row r="1460" spans="2:10" x14ac:dyDescent="0.25">
      <c r="B1460" s="1"/>
      <c r="D1460" s="54"/>
      <c r="E1460" s="54"/>
      <c r="F1460" s="64"/>
      <c r="J1460" s="4"/>
    </row>
    <row r="1461" spans="2:10" x14ac:dyDescent="0.25">
      <c r="B1461" s="1"/>
      <c r="D1461" s="54"/>
      <c r="E1461" s="54"/>
      <c r="F1461" s="64"/>
      <c r="J1461" s="8"/>
    </row>
    <row r="1462" spans="2:10" x14ac:dyDescent="0.25">
      <c r="B1462" s="1"/>
      <c r="D1462" s="54"/>
      <c r="E1462" s="54"/>
      <c r="F1462" s="64"/>
      <c r="J1462" s="4"/>
    </row>
    <row r="1463" spans="2:10" x14ac:dyDescent="0.25">
      <c r="B1463" s="1"/>
      <c r="D1463" s="54"/>
      <c r="E1463" s="54"/>
      <c r="F1463" s="64"/>
      <c r="J1463" s="8"/>
    </row>
    <row r="1464" spans="2:10" x14ac:dyDescent="0.25">
      <c r="B1464" s="1"/>
      <c r="D1464" s="54"/>
      <c r="E1464" s="54"/>
      <c r="F1464" s="64"/>
      <c r="J1464" s="4"/>
    </row>
    <row r="1465" spans="2:10" x14ac:dyDescent="0.25">
      <c r="B1465" s="1"/>
      <c r="D1465" s="54"/>
      <c r="E1465" s="54"/>
      <c r="F1465" s="64"/>
      <c r="J1465" s="8"/>
    </row>
    <row r="1466" spans="2:10" x14ac:dyDescent="0.25">
      <c r="B1466" s="1"/>
      <c r="D1466" s="54"/>
      <c r="E1466" s="54"/>
      <c r="F1466" s="64"/>
      <c r="J1466" s="4"/>
    </row>
    <row r="1467" spans="2:10" x14ac:dyDescent="0.25">
      <c r="B1467" s="1"/>
      <c r="D1467" s="54"/>
      <c r="E1467" s="54"/>
      <c r="F1467" s="64"/>
      <c r="J1467" s="8"/>
    </row>
    <row r="1468" spans="2:10" x14ac:dyDescent="0.25">
      <c r="B1468" s="1"/>
      <c r="D1468" s="54"/>
      <c r="E1468" s="54"/>
      <c r="F1468" s="64"/>
      <c r="J1468" s="4"/>
    </row>
    <row r="1469" spans="2:10" x14ac:dyDescent="0.25">
      <c r="B1469" s="1"/>
      <c r="D1469" s="54"/>
      <c r="E1469" s="54"/>
      <c r="F1469" s="64"/>
      <c r="J1469" s="8"/>
    </row>
    <row r="1470" spans="2:10" x14ac:dyDescent="0.25">
      <c r="B1470" s="1"/>
      <c r="D1470" s="54"/>
      <c r="E1470" s="54"/>
      <c r="F1470" s="64"/>
      <c r="J1470" s="4"/>
    </row>
    <row r="1471" spans="2:10" x14ac:dyDescent="0.25">
      <c r="B1471" s="1"/>
      <c r="D1471" s="54"/>
      <c r="E1471" s="54"/>
      <c r="F1471" s="64"/>
      <c r="J1471" s="8"/>
    </row>
    <row r="1472" spans="2:10" x14ac:dyDescent="0.25">
      <c r="B1472" s="1"/>
      <c r="D1472" s="54"/>
      <c r="E1472" s="54"/>
      <c r="F1472" s="64"/>
      <c r="J1472" s="4"/>
    </row>
    <row r="1473" spans="2:10" x14ac:dyDescent="0.25">
      <c r="B1473" s="1"/>
      <c r="D1473" s="54"/>
      <c r="E1473" s="54"/>
      <c r="F1473" s="64"/>
      <c r="J1473" s="8"/>
    </row>
    <row r="1474" spans="2:10" x14ac:dyDescent="0.25">
      <c r="B1474" s="1"/>
      <c r="D1474" s="54"/>
      <c r="E1474" s="54"/>
      <c r="F1474" s="64"/>
      <c r="J1474" s="4"/>
    </row>
    <row r="1475" spans="2:10" x14ac:dyDescent="0.25">
      <c r="B1475" s="1"/>
      <c r="D1475" s="54"/>
      <c r="E1475" s="54"/>
      <c r="F1475" s="64"/>
      <c r="J1475" s="8"/>
    </row>
    <row r="1476" spans="2:10" x14ac:dyDescent="0.25">
      <c r="B1476" s="1"/>
      <c r="D1476" s="54"/>
      <c r="E1476" s="54"/>
      <c r="F1476" s="64"/>
      <c r="J1476" s="4"/>
    </row>
    <row r="1477" spans="2:10" x14ac:dyDescent="0.25">
      <c r="B1477" s="1"/>
      <c r="D1477" s="54"/>
      <c r="E1477" s="54"/>
      <c r="F1477" s="64"/>
      <c r="J1477" s="8"/>
    </row>
    <row r="1478" spans="2:10" x14ac:dyDescent="0.25">
      <c r="B1478" s="1"/>
      <c r="D1478" s="54"/>
      <c r="E1478" s="54"/>
      <c r="F1478" s="64"/>
      <c r="J1478" s="4"/>
    </row>
    <row r="1479" spans="2:10" x14ac:dyDescent="0.25">
      <c r="B1479" s="1"/>
      <c r="D1479" s="54"/>
      <c r="E1479" s="54"/>
      <c r="F1479" s="64"/>
      <c r="J1479" s="8"/>
    </row>
    <row r="1480" spans="2:10" x14ac:dyDescent="0.25">
      <c r="B1480" s="1"/>
      <c r="D1480" s="54"/>
      <c r="E1480" s="54"/>
      <c r="F1480" s="64"/>
      <c r="J1480" s="4"/>
    </row>
    <row r="1481" spans="2:10" x14ac:dyDescent="0.25">
      <c r="B1481" s="1"/>
      <c r="D1481" s="54"/>
      <c r="E1481" s="54"/>
      <c r="F1481" s="64"/>
      <c r="J1481" s="8"/>
    </row>
    <row r="1482" spans="2:10" x14ac:dyDescent="0.25">
      <c r="B1482" s="1"/>
      <c r="D1482" s="54"/>
      <c r="E1482" s="54"/>
      <c r="F1482" s="64"/>
      <c r="J1482" s="4"/>
    </row>
    <row r="1483" spans="2:10" x14ac:dyDescent="0.25">
      <c r="B1483" s="1"/>
      <c r="D1483" s="54"/>
      <c r="E1483" s="54"/>
      <c r="F1483" s="64"/>
      <c r="J1483" s="8"/>
    </row>
    <row r="1484" spans="2:10" x14ac:dyDescent="0.25">
      <c r="B1484" s="1"/>
      <c r="D1484" s="54"/>
      <c r="E1484" s="54"/>
      <c r="F1484" s="64"/>
      <c r="J1484" s="4"/>
    </row>
    <row r="1485" spans="2:10" x14ac:dyDescent="0.25">
      <c r="B1485" s="1"/>
      <c r="D1485" s="54"/>
      <c r="E1485" s="54"/>
      <c r="F1485" s="64"/>
      <c r="J1485" s="8"/>
    </row>
    <row r="1486" spans="2:10" x14ac:dyDescent="0.25">
      <c r="B1486" s="1"/>
      <c r="D1486" s="54"/>
      <c r="E1486" s="54"/>
      <c r="F1486" s="64"/>
      <c r="J1486" s="4"/>
    </row>
    <row r="1487" spans="2:10" x14ac:dyDescent="0.25">
      <c r="B1487" s="1"/>
      <c r="D1487" s="54"/>
      <c r="E1487" s="54"/>
      <c r="F1487" s="64"/>
      <c r="J1487" s="8"/>
    </row>
    <row r="1488" spans="2:10" x14ac:dyDescent="0.25">
      <c r="B1488" s="1"/>
      <c r="D1488" s="54"/>
      <c r="E1488" s="54"/>
      <c r="F1488" s="64"/>
      <c r="J1488" s="4"/>
    </row>
    <row r="1489" spans="2:10" x14ac:dyDescent="0.25">
      <c r="B1489" s="1"/>
      <c r="D1489" s="54"/>
      <c r="E1489" s="54"/>
      <c r="F1489" s="64"/>
      <c r="J1489" s="8"/>
    </row>
    <row r="1490" spans="2:10" x14ac:dyDescent="0.25">
      <c r="B1490" s="1"/>
      <c r="D1490" s="54"/>
      <c r="E1490" s="54"/>
      <c r="F1490" s="64"/>
      <c r="J1490" s="4"/>
    </row>
    <row r="1491" spans="2:10" x14ac:dyDescent="0.25">
      <c r="B1491" s="1"/>
      <c r="D1491" s="54"/>
      <c r="E1491" s="54"/>
      <c r="F1491" s="64"/>
      <c r="J1491" s="8"/>
    </row>
    <row r="1492" spans="2:10" x14ac:dyDescent="0.25">
      <c r="B1492" s="1"/>
      <c r="D1492" s="54"/>
      <c r="E1492" s="54"/>
      <c r="F1492" s="64"/>
      <c r="J1492" s="4"/>
    </row>
    <row r="1493" spans="2:10" x14ac:dyDescent="0.25">
      <c r="B1493" s="1"/>
      <c r="D1493" s="54"/>
      <c r="E1493" s="54"/>
      <c r="F1493" s="64"/>
      <c r="J1493" s="8"/>
    </row>
    <row r="1494" spans="2:10" x14ac:dyDescent="0.25">
      <c r="B1494" s="1"/>
      <c r="D1494" s="54"/>
      <c r="E1494" s="54"/>
      <c r="F1494" s="64"/>
      <c r="J1494" s="4"/>
    </row>
    <row r="1495" spans="2:10" x14ac:dyDescent="0.25">
      <c r="B1495" s="1"/>
      <c r="D1495" s="54"/>
      <c r="E1495" s="54"/>
      <c r="F1495" s="64"/>
      <c r="J1495" s="8"/>
    </row>
    <row r="1496" spans="2:10" x14ac:dyDescent="0.25">
      <c r="B1496" s="1"/>
      <c r="D1496" s="54"/>
      <c r="E1496" s="54"/>
      <c r="F1496" s="64"/>
      <c r="J1496" s="4"/>
    </row>
    <row r="1497" spans="2:10" x14ac:dyDescent="0.25">
      <c r="B1497" s="1"/>
      <c r="D1497" s="54"/>
      <c r="E1497" s="54"/>
      <c r="F1497" s="64"/>
      <c r="J1497" s="8"/>
    </row>
    <row r="1498" spans="2:10" x14ac:dyDescent="0.25">
      <c r="B1498" s="1"/>
      <c r="D1498" s="54"/>
      <c r="E1498" s="54"/>
      <c r="F1498" s="64"/>
      <c r="J1498" s="4"/>
    </row>
    <row r="1499" spans="2:10" x14ac:dyDescent="0.25">
      <c r="B1499" s="1"/>
      <c r="D1499" s="54"/>
      <c r="E1499" s="54"/>
      <c r="F1499" s="64"/>
      <c r="J1499" s="8"/>
    </row>
    <row r="1500" spans="2:10" x14ac:dyDescent="0.25">
      <c r="B1500" s="1"/>
      <c r="D1500" s="54"/>
      <c r="E1500" s="54"/>
      <c r="F1500" s="64"/>
      <c r="J1500" s="4"/>
    </row>
    <row r="1501" spans="2:10" x14ac:dyDescent="0.25">
      <c r="B1501" s="1"/>
      <c r="D1501" s="54"/>
      <c r="E1501" s="54"/>
      <c r="F1501" s="64"/>
      <c r="J1501" s="8"/>
    </row>
    <row r="1502" spans="2:10" x14ac:dyDescent="0.25">
      <c r="B1502" s="1"/>
      <c r="D1502" s="54"/>
      <c r="E1502" s="54"/>
      <c r="F1502" s="64"/>
      <c r="J1502" s="4"/>
    </row>
    <row r="1503" spans="2:10" x14ac:dyDescent="0.25">
      <c r="B1503" s="1"/>
      <c r="D1503" s="54"/>
      <c r="E1503" s="54"/>
      <c r="F1503" s="64"/>
      <c r="J1503" s="8"/>
    </row>
    <row r="1504" spans="2:10" x14ac:dyDescent="0.25">
      <c r="B1504" s="1"/>
      <c r="D1504" s="54"/>
      <c r="E1504" s="54"/>
      <c r="F1504" s="64"/>
      <c r="J1504" s="4"/>
    </row>
    <row r="1505" spans="2:10" x14ac:dyDescent="0.25">
      <c r="B1505" s="1"/>
      <c r="D1505" s="54"/>
      <c r="E1505" s="54"/>
      <c r="F1505" s="64"/>
      <c r="J1505" s="8"/>
    </row>
    <row r="1506" spans="2:10" x14ac:dyDescent="0.25">
      <c r="B1506" s="1"/>
      <c r="D1506" s="54"/>
      <c r="E1506" s="54"/>
      <c r="F1506" s="64"/>
      <c r="J1506" s="4"/>
    </row>
    <row r="1507" spans="2:10" x14ac:dyDescent="0.25">
      <c r="B1507" s="1"/>
      <c r="D1507" s="54"/>
      <c r="E1507" s="54"/>
      <c r="F1507" s="64"/>
      <c r="J1507" s="8"/>
    </row>
    <row r="1508" spans="2:10" x14ac:dyDescent="0.25">
      <c r="B1508" s="1"/>
      <c r="D1508" s="54"/>
      <c r="E1508" s="54"/>
      <c r="F1508" s="64"/>
      <c r="J1508" s="4"/>
    </row>
    <row r="1509" spans="2:10" x14ac:dyDescent="0.25">
      <c r="B1509" s="1"/>
      <c r="D1509" s="54"/>
      <c r="E1509" s="54"/>
      <c r="F1509" s="64"/>
      <c r="J1509" s="8"/>
    </row>
    <row r="1510" spans="2:10" x14ac:dyDescent="0.25">
      <c r="B1510" s="1"/>
      <c r="D1510" s="54"/>
      <c r="E1510" s="54"/>
      <c r="F1510" s="64"/>
      <c r="J1510" s="4"/>
    </row>
    <row r="1511" spans="2:10" x14ac:dyDescent="0.25">
      <c r="B1511" s="1"/>
      <c r="D1511" s="54"/>
      <c r="E1511" s="54"/>
      <c r="F1511" s="64"/>
      <c r="J1511" s="8"/>
    </row>
    <row r="1512" spans="2:10" x14ac:dyDescent="0.25">
      <c r="B1512" s="1"/>
      <c r="D1512" s="54"/>
      <c r="E1512" s="54"/>
      <c r="F1512" s="64"/>
      <c r="J1512" s="4"/>
    </row>
    <row r="1513" spans="2:10" x14ac:dyDescent="0.25">
      <c r="B1513" s="1"/>
      <c r="D1513" s="54"/>
      <c r="E1513" s="54"/>
      <c r="F1513" s="64"/>
      <c r="J1513" s="8"/>
    </row>
    <row r="1514" spans="2:10" x14ac:dyDescent="0.25">
      <c r="B1514" s="1"/>
      <c r="D1514" s="54"/>
      <c r="E1514" s="54"/>
      <c r="F1514" s="64"/>
      <c r="J1514" s="4"/>
    </row>
    <row r="1515" spans="2:10" x14ac:dyDescent="0.25">
      <c r="B1515" s="1"/>
      <c r="D1515" s="54"/>
      <c r="E1515" s="54"/>
      <c r="F1515" s="64"/>
      <c r="J1515" s="8"/>
    </row>
    <row r="1516" spans="2:10" x14ac:dyDescent="0.25">
      <c r="B1516" s="1"/>
      <c r="D1516" s="54"/>
      <c r="E1516" s="54"/>
      <c r="F1516" s="64"/>
      <c r="J1516" s="4"/>
    </row>
    <row r="1517" spans="2:10" x14ac:dyDescent="0.25">
      <c r="B1517" s="1"/>
      <c r="D1517" s="54"/>
      <c r="E1517" s="54"/>
      <c r="F1517" s="64"/>
      <c r="J1517" s="8"/>
    </row>
    <row r="1518" spans="2:10" x14ac:dyDescent="0.25">
      <c r="B1518" s="1"/>
      <c r="D1518" s="54"/>
      <c r="E1518" s="54"/>
      <c r="F1518" s="64"/>
      <c r="J1518" s="4"/>
    </row>
    <row r="1519" spans="2:10" x14ac:dyDescent="0.25">
      <c r="B1519" s="1"/>
      <c r="D1519" s="54"/>
      <c r="E1519" s="54"/>
      <c r="F1519" s="64"/>
      <c r="J1519" s="8"/>
    </row>
    <row r="1520" spans="2:10" x14ac:dyDescent="0.25">
      <c r="B1520" s="1"/>
      <c r="D1520" s="54"/>
      <c r="E1520" s="54"/>
      <c r="F1520" s="64"/>
      <c r="J1520" s="4"/>
    </row>
    <row r="1521" spans="2:10" x14ac:dyDescent="0.25">
      <c r="B1521" s="1"/>
      <c r="D1521" s="54"/>
      <c r="E1521" s="54"/>
      <c r="F1521" s="64"/>
      <c r="J1521" s="8"/>
    </row>
    <row r="1522" spans="2:10" x14ac:dyDescent="0.25">
      <c r="B1522" s="1"/>
      <c r="D1522" s="54"/>
      <c r="E1522" s="54"/>
      <c r="F1522" s="64"/>
      <c r="J1522" s="4"/>
    </row>
    <row r="1523" spans="2:10" x14ac:dyDescent="0.25">
      <c r="B1523" s="1"/>
      <c r="D1523" s="54"/>
      <c r="E1523" s="54"/>
      <c r="F1523" s="64"/>
      <c r="J1523" s="8"/>
    </row>
    <row r="1524" spans="2:10" x14ac:dyDescent="0.25">
      <c r="B1524" s="1"/>
      <c r="D1524" s="54"/>
      <c r="E1524" s="54"/>
      <c r="F1524" s="64"/>
      <c r="J1524" s="4"/>
    </row>
    <row r="1525" spans="2:10" x14ac:dyDescent="0.25">
      <c r="B1525" s="1"/>
      <c r="D1525" s="54"/>
      <c r="E1525" s="54"/>
      <c r="F1525" s="64"/>
      <c r="J1525" s="8"/>
    </row>
    <row r="1526" spans="2:10" x14ac:dyDescent="0.25">
      <c r="B1526" s="1"/>
      <c r="D1526" s="54"/>
      <c r="E1526" s="54"/>
      <c r="F1526" s="64"/>
      <c r="J1526" s="4"/>
    </row>
    <row r="1527" spans="2:10" x14ac:dyDescent="0.25">
      <c r="B1527" s="1"/>
      <c r="D1527" s="54"/>
      <c r="E1527" s="54"/>
      <c r="F1527" s="64"/>
      <c r="J1527" s="8"/>
    </row>
    <row r="1528" spans="2:10" x14ac:dyDescent="0.25">
      <c r="B1528" s="1"/>
      <c r="D1528" s="54"/>
      <c r="E1528" s="54"/>
      <c r="F1528" s="64"/>
      <c r="J1528" s="4"/>
    </row>
    <row r="1529" spans="2:10" x14ac:dyDescent="0.25">
      <c r="B1529" s="1"/>
      <c r="D1529" s="54"/>
      <c r="E1529" s="54"/>
      <c r="F1529" s="64"/>
      <c r="J1529" s="8"/>
    </row>
    <row r="1530" spans="2:10" x14ac:dyDescent="0.25">
      <c r="B1530" s="1"/>
      <c r="D1530" s="54"/>
      <c r="E1530" s="54"/>
      <c r="F1530" s="64"/>
      <c r="J1530" s="4"/>
    </row>
    <row r="1531" spans="2:10" x14ac:dyDescent="0.25">
      <c r="B1531" s="1"/>
      <c r="D1531" s="54"/>
      <c r="E1531" s="54"/>
      <c r="F1531" s="64"/>
      <c r="J1531" s="8"/>
    </row>
    <row r="1532" spans="2:10" x14ac:dyDescent="0.25">
      <c r="B1532" s="1"/>
      <c r="D1532" s="54"/>
      <c r="E1532" s="54"/>
      <c r="F1532" s="64"/>
      <c r="J1532" s="4"/>
    </row>
    <row r="1533" spans="2:10" x14ac:dyDescent="0.25">
      <c r="B1533" s="1"/>
      <c r="D1533" s="54"/>
      <c r="E1533" s="54"/>
      <c r="F1533" s="64"/>
      <c r="J1533" s="8"/>
    </row>
    <row r="1534" spans="2:10" x14ac:dyDescent="0.25">
      <c r="B1534" s="1"/>
      <c r="D1534" s="54"/>
      <c r="E1534" s="54"/>
      <c r="F1534" s="64"/>
      <c r="J1534" s="4"/>
    </row>
    <row r="1535" spans="2:10" x14ac:dyDescent="0.25">
      <c r="B1535" s="1"/>
      <c r="D1535" s="54"/>
      <c r="E1535" s="54"/>
      <c r="F1535" s="64"/>
      <c r="J1535" s="8"/>
    </row>
    <row r="1536" spans="2:10" x14ac:dyDescent="0.25">
      <c r="B1536" s="1"/>
      <c r="D1536" s="54"/>
      <c r="E1536" s="54"/>
      <c r="F1536" s="64"/>
      <c r="J1536" s="4"/>
    </row>
    <row r="1537" spans="2:10" x14ac:dyDescent="0.25">
      <c r="B1537" s="1"/>
      <c r="D1537" s="54"/>
      <c r="E1537" s="54"/>
      <c r="F1537" s="64"/>
      <c r="J1537" s="8"/>
    </row>
    <row r="1538" spans="2:10" x14ac:dyDescent="0.25">
      <c r="B1538" s="1"/>
      <c r="D1538" s="54"/>
      <c r="E1538" s="54"/>
      <c r="F1538" s="64"/>
      <c r="J1538" s="4"/>
    </row>
    <row r="1539" spans="2:10" x14ac:dyDescent="0.25">
      <c r="B1539" s="1"/>
      <c r="D1539" s="54"/>
      <c r="E1539" s="54"/>
      <c r="F1539" s="64"/>
      <c r="J1539" s="8"/>
    </row>
    <row r="1540" spans="2:10" x14ac:dyDescent="0.25">
      <c r="B1540" s="1"/>
      <c r="D1540" s="54"/>
      <c r="E1540" s="54"/>
      <c r="F1540" s="64"/>
      <c r="J1540" s="4"/>
    </row>
    <row r="1541" spans="2:10" x14ac:dyDescent="0.25">
      <c r="B1541" s="1"/>
      <c r="D1541" s="54"/>
      <c r="E1541" s="54"/>
      <c r="F1541" s="64"/>
      <c r="J1541" s="8"/>
    </row>
    <row r="1542" spans="2:10" x14ac:dyDescent="0.25">
      <c r="B1542" s="1"/>
      <c r="D1542" s="54"/>
      <c r="E1542" s="54"/>
      <c r="F1542" s="64"/>
      <c r="J1542" s="4"/>
    </row>
    <row r="1543" spans="2:10" x14ac:dyDescent="0.25">
      <c r="B1543" s="1"/>
      <c r="D1543" s="54"/>
      <c r="E1543" s="54"/>
      <c r="F1543" s="64"/>
      <c r="J1543" s="8"/>
    </row>
    <row r="1544" spans="2:10" x14ac:dyDescent="0.25">
      <c r="B1544" s="1"/>
      <c r="D1544" s="54"/>
      <c r="E1544" s="54"/>
      <c r="F1544" s="64"/>
      <c r="J1544" s="4"/>
    </row>
    <row r="1545" spans="2:10" x14ac:dyDescent="0.25">
      <c r="B1545" s="1"/>
      <c r="D1545" s="54"/>
      <c r="E1545" s="54"/>
      <c r="F1545" s="64"/>
      <c r="J1545" s="8"/>
    </row>
    <row r="1546" spans="2:10" x14ac:dyDescent="0.25">
      <c r="B1546" s="1"/>
      <c r="D1546" s="54"/>
      <c r="E1546" s="54"/>
      <c r="F1546" s="64"/>
      <c r="J1546" s="4"/>
    </row>
    <row r="1547" spans="2:10" x14ac:dyDescent="0.25">
      <c r="B1547" s="1"/>
      <c r="D1547" s="54"/>
      <c r="E1547" s="54"/>
      <c r="F1547" s="64"/>
      <c r="J1547" s="8"/>
    </row>
    <row r="1548" spans="2:10" x14ac:dyDescent="0.25">
      <c r="B1548" s="1"/>
      <c r="D1548" s="54"/>
      <c r="E1548" s="54"/>
      <c r="F1548" s="64"/>
      <c r="J1548" s="4"/>
    </row>
    <row r="1549" spans="2:10" x14ac:dyDescent="0.25">
      <c r="B1549" s="1"/>
      <c r="D1549" s="54"/>
      <c r="E1549" s="54"/>
      <c r="F1549" s="64"/>
      <c r="J1549" s="8"/>
    </row>
    <row r="1550" spans="2:10" x14ac:dyDescent="0.25">
      <c r="B1550" s="1"/>
      <c r="D1550" s="54"/>
      <c r="E1550" s="54"/>
      <c r="F1550" s="64"/>
      <c r="J1550" s="4"/>
    </row>
    <row r="1551" spans="2:10" x14ac:dyDescent="0.25">
      <c r="B1551" s="1"/>
      <c r="D1551" s="54"/>
      <c r="E1551" s="54"/>
      <c r="F1551" s="64"/>
      <c r="J1551" s="8"/>
    </row>
    <row r="1552" spans="2:10" x14ac:dyDescent="0.25">
      <c r="B1552" s="1"/>
      <c r="D1552" s="54"/>
      <c r="E1552" s="54"/>
      <c r="F1552" s="64"/>
      <c r="J1552" s="4"/>
    </row>
    <row r="1553" spans="2:10" x14ac:dyDescent="0.25">
      <c r="B1553" s="1"/>
      <c r="D1553" s="54"/>
      <c r="E1553" s="54"/>
      <c r="F1553" s="64"/>
      <c r="J1553" s="8"/>
    </row>
    <row r="1554" spans="2:10" x14ac:dyDescent="0.25">
      <c r="B1554" s="1"/>
      <c r="D1554" s="54"/>
      <c r="E1554" s="54"/>
      <c r="F1554" s="64"/>
      <c r="J1554" s="4"/>
    </row>
    <row r="1555" spans="2:10" x14ac:dyDescent="0.25">
      <c r="B1555" s="1"/>
      <c r="D1555" s="54"/>
      <c r="E1555" s="54"/>
      <c r="F1555" s="64"/>
      <c r="J1555" s="8"/>
    </row>
    <row r="1556" spans="2:10" x14ac:dyDescent="0.25">
      <c r="B1556" s="1"/>
      <c r="D1556" s="54"/>
      <c r="E1556" s="54"/>
      <c r="F1556" s="64"/>
      <c r="J1556" s="4"/>
    </row>
    <row r="1557" spans="2:10" x14ac:dyDescent="0.25">
      <c r="B1557" s="1"/>
      <c r="D1557" s="54"/>
      <c r="E1557" s="54"/>
      <c r="F1557" s="64"/>
      <c r="J1557" s="8"/>
    </row>
    <row r="1558" spans="2:10" x14ac:dyDescent="0.25">
      <c r="B1558" s="1"/>
      <c r="D1558" s="54"/>
      <c r="E1558" s="54"/>
      <c r="F1558" s="64"/>
      <c r="J1558" s="4"/>
    </row>
    <row r="1559" spans="2:10" x14ac:dyDescent="0.25">
      <c r="B1559" s="1"/>
      <c r="D1559" s="54"/>
      <c r="E1559" s="54"/>
      <c r="F1559" s="64"/>
      <c r="J1559" s="8"/>
    </row>
    <row r="1560" spans="2:10" x14ac:dyDescent="0.25">
      <c r="B1560" s="1"/>
      <c r="D1560" s="54"/>
      <c r="E1560" s="54"/>
      <c r="F1560" s="64"/>
      <c r="J1560" s="4"/>
    </row>
    <row r="1561" spans="2:10" x14ac:dyDescent="0.25">
      <c r="B1561" s="1"/>
      <c r="D1561" s="54"/>
      <c r="E1561" s="54"/>
      <c r="F1561" s="64"/>
      <c r="J1561" s="8"/>
    </row>
    <row r="1562" spans="2:10" x14ac:dyDescent="0.25">
      <c r="B1562" s="1"/>
      <c r="D1562" s="54"/>
      <c r="E1562" s="54"/>
      <c r="F1562" s="64"/>
      <c r="J1562" s="4"/>
    </row>
    <row r="1563" spans="2:10" x14ac:dyDescent="0.25">
      <c r="B1563" s="1"/>
      <c r="D1563" s="54"/>
      <c r="E1563" s="54"/>
      <c r="F1563" s="64"/>
      <c r="J1563" s="8"/>
    </row>
    <row r="1564" spans="2:10" x14ac:dyDescent="0.25">
      <c r="B1564" s="1"/>
      <c r="D1564" s="54"/>
      <c r="E1564" s="54"/>
      <c r="F1564" s="64"/>
      <c r="J1564" s="4"/>
    </row>
    <row r="1565" spans="2:10" x14ac:dyDescent="0.25">
      <c r="B1565" s="1"/>
      <c r="D1565" s="54"/>
      <c r="E1565" s="54"/>
      <c r="F1565" s="64"/>
      <c r="J1565" s="8"/>
    </row>
    <row r="1566" spans="2:10" x14ac:dyDescent="0.25">
      <c r="B1566" s="1"/>
      <c r="D1566" s="54"/>
      <c r="E1566" s="54"/>
      <c r="F1566" s="64"/>
      <c r="J1566" s="4"/>
    </row>
    <row r="1567" spans="2:10" x14ac:dyDescent="0.25">
      <c r="B1567" s="1"/>
      <c r="D1567" s="54"/>
      <c r="E1567" s="54"/>
      <c r="F1567" s="64"/>
      <c r="J1567" s="8"/>
    </row>
    <row r="1568" spans="2:10" x14ac:dyDescent="0.25">
      <c r="B1568" s="1"/>
      <c r="D1568" s="54"/>
      <c r="E1568" s="54"/>
      <c r="F1568" s="64"/>
      <c r="J1568" s="4"/>
    </row>
    <row r="1569" spans="2:10" x14ac:dyDescent="0.25">
      <c r="B1569" s="1"/>
      <c r="D1569" s="54"/>
      <c r="E1569" s="54"/>
      <c r="F1569" s="64"/>
      <c r="J1569" s="8"/>
    </row>
    <row r="1570" spans="2:10" x14ac:dyDescent="0.25">
      <c r="B1570" s="1"/>
      <c r="D1570" s="54"/>
      <c r="E1570" s="54"/>
      <c r="F1570" s="64"/>
      <c r="J1570" s="4"/>
    </row>
    <row r="1571" spans="2:10" x14ac:dyDescent="0.25">
      <c r="B1571" s="1"/>
      <c r="D1571" s="54"/>
      <c r="E1571" s="54"/>
      <c r="F1571" s="64"/>
      <c r="J1571" s="8"/>
    </row>
    <row r="1572" spans="2:10" x14ac:dyDescent="0.25">
      <c r="B1572" s="1"/>
      <c r="D1572" s="54"/>
      <c r="E1572" s="54"/>
      <c r="F1572" s="64"/>
      <c r="J1572" s="4"/>
    </row>
    <row r="1573" spans="2:10" x14ac:dyDescent="0.25">
      <c r="B1573" s="1"/>
      <c r="D1573" s="54"/>
      <c r="E1573" s="54"/>
      <c r="F1573" s="64"/>
      <c r="J1573" s="8"/>
    </row>
    <row r="1574" spans="2:10" x14ac:dyDescent="0.25">
      <c r="B1574" s="1"/>
      <c r="D1574" s="54"/>
      <c r="E1574" s="54"/>
      <c r="F1574" s="64"/>
      <c r="J1574" s="4"/>
    </row>
    <row r="1575" spans="2:10" x14ac:dyDescent="0.25">
      <c r="B1575" s="1"/>
      <c r="D1575" s="54"/>
      <c r="E1575" s="54"/>
      <c r="F1575" s="64"/>
      <c r="J1575" s="8"/>
    </row>
    <row r="1576" spans="2:10" x14ac:dyDescent="0.25">
      <c r="B1576" s="1"/>
      <c r="D1576" s="54"/>
      <c r="E1576" s="54"/>
      <c r="F1576" s="64"/>
      <c r="J1576" s="4"/>
    </row>
    <row r="1577" spans="2:10" x14ac:dyDescent="0.25">
      <c r="B1577" s="1"/>
      <c r="D1577" s="54"/>
      <c r="E1577" s="54"/>
      <c r="F1577" s="64"/>
      <c r="J1577" s="8"/>
    </row>
    <row r="1578" spans="2:10" x14ac:dyDescent="0.25">
      <c r="B1578" s="1"/>
      <c r="D1578" s="54"/>
      <c r="E1578" s="54"/>
      <c r="F1578" s="64"/>
      <c r="J1578" s="4"/>
    </row>
    <row r="1579" spans="2:10" x14ac:dyDescent="0.25">
      <c r="B1579" s="1"/>
      <c r="D1579" s="54"/>
      <c r="E1579" s="54"/>
      <c r="F1579" s="64"/>
      <c r="J1579" s="8"/>
    </row>
    <row r="1580" spans="2:10" x14ac:dyDescent="0.25">
      <c r="B1580" s="1"/>
      <c r="D1580" s="54"/>
      <c r="E1580" s="54"/>
      <c r="F1580" s="64"/>
      <c r="J1580" s="4"/>
    </row>
    <row r="1581" spans="2:10" x14ac:dyDescent="0.25">
      <c r="B1581" s="1"/>
      <c r="D1581" s="54"/>
      <c r="E1581" s="54"/>
      <c r="F1581" s="64"/>
      <c r="J1581" s="8"/>
    </row>
    <row r="1582" spans="2:10" x14ac:dyDescent="0.25">
      <c r="B1582" s="1"/>
      <c r="D1582" s="54"/>
      <c r="E1582" s="54"/>
      <c r="F1582" s="64"/>
      <c r="J1582" s="4"/>
    </row>
    <row r="1583" spans="2:10" x14ac:dyDescent="0.25">
      <c r="B1583" s="1"/>
      <c r="D1583" s="54"/>
      <c r="E1583" s="54"/>
      <c r="F1583" s="64"/>
      <c r="J1583" s="8"/>
    </row>
    <row r="1584" spans="2:10" x14ac:dyDescent="0.25">
      <c r="B1584" s="1"/>
      <c r="D1584" s="54"/>
      <c r="E1584" s="54"/>
      <c r="F1584" s="64"/>
      <c r="J1584" s="4"/>
    </row>
    <row r="1585" spans="2:10" x14ac:dyDescent="0.25">
      <c r="B1585" s="1"/>
      <c r="D1585" s="54"/>
      <c r="E1585" s="54"/>
      <c r="F1585" s="64"/>
      <c r="J1585" s="8"/>
    </row>
    <row r="1586" spans="2:10" x14ac:dyDescent="0.25">
      <c r="B1586" s="1"/>
      <c r="D1586" s="54"/>
      <c r="E1586" s="54"/>
      <c r="F1586" s="64"/>
      <c r="J1586" s="4"/>
    </row>
    <row r="1587" spans="2:10" x14ac:dyDescent="0.25">
      <c r="B1587" s="1"/>
      <c r="D1587" s="54"/>
      <c r="E1587" s="54"/>
      <c r="F1587" s="64"/>
      <c r="J1587" s="8"/>
    </row>
    <row r="1588" spans="2:10" x14ac:dyDescent="0.25">
      <c r="B1588" s="1"/>
      <c r="D1588" s="54"/>
      <c r="E1588" s="54"/>
      <c r="F1588" s="64"/>
      <c r="J1588" s="4"/>
    </row>
    <row r="1589" spans="2:10" x14ac:dyDescent="0.25">
      <c r="B1589" s="1"/>
      <c r="D1589" s="54"/>
      <c r="E1589" s="54"/>
      <c r="F1589" s="64"/>
      <c r="J1589" s="8"/>
    </row>
    <row r="1590" spans="2:10" x14ac:dyDescent="0.25">
      <c r="B1590" s="1"/>
      <c r="D1590" s="54"/>
      <c r="E1590" s="54"/>
      <c r="F1590" s="64"/>
      <c r="J1590" s="4"/>
    </row>
    <row r="1591" spans="2:10" x14ac:dyDescent="0.25">
      <c r="B1591" s="1"/>
      <c r="D1591" s="54"/>
      <c r="E1591" s="54"/>
      <c r="F1591" s="64"/>
      <c r="J1591" s="8"/>
    </row>
    <row r="1592" spans="2:10" x14ac:dyDescent="0.25">
      <c r="B1592" s="1"/>
      <c r="D1592" s="54"/>
      <c r="E1592" s="54"/>
      <c r="F1592" s="64"/>
      <c r="J1592" s="4"/>
    </row>
    <row r="1593" spans="2:10" x14ac:dyDescent="0.25">
      <c r="B1593" s="1"/>
      <c r="D1593" s="54"/>
      <c r="E1593" s="54"/>
      <c r="F1593" s="64"/>
      <c r="J1593" s="8"/>
    </row>
    <row r="1594" spans="2:10" x14ac:dyDescent="0.25">
      <c r="B1594" s="1"/>
      <c r="D1594" s="54"/>
      <c r="E1594" s="54"/>
      <c r="F1594" s="64"/>
      <c r="J1594" s="4"/>
    </row>
    <row r="1595" spans="2:10" x14ac:dyDescent="0.25">
      <c r="B1595" s="1"/>
      <c r="D1595" s="54"/>
      <c r="E1595" s="54"/>
      <c r="F1595" s="64"/>
      <c r="J1595" s="8"/>
    </row>
    <row r="1596" spans="2:10" x14ac:dyDescent="0.25">
      <c r="B1596" s="1"/>
      <c r="D1596" s="54"/>
      <c r="E1596" s="54"/>
      <c r="F1596" s="64"/>
      <c r="J1596" s="4"/>
    </row>
    <row r="1597" spans="2:10" x14ac:dyDescent="0.25">
      <c r="B1597" s="1"/>
      <c r="D1597" s="54"/>
      <c r="E1597" s="54"/>
      <c r="F1597" s="64"/>
      <c r="J1597" s="8"/>
    </row>
    <row r="1598" spans="2:10" x14ac:dyDescent="0.25">
      <c r="B1598" s="1"/>
      <c r="D1598" s="54"/>
      <c r="E1598" s="54"/>
      <c r="F1598" s="64"/>
      <c r="J1598" s="4"/>
    </row>
    <row r="1599" spans="2:10" x14ac:dyDescent="0.25">
      <c r="B1599" s="1"/>
      <c r="D1599" s="54"/>
      <c r="E1599" s="54"/>
      <c r="F1599" s="64"/>
      <c r="J1599" s="8"/>
    </row>
    <row r="1600" spans="2:10" x14ac:dyDescent="0.25">
      <c r="B1600" s="1"/>
      <c r="D1600" s="54"/>
      <c r="E1600" s="54"/>
      <c r="F1600" s="64"/>
      <c r="J1600" s="4"/>
    </row>
    <row r="1601" spans="2:10" x14ac:dyDescent="0.25">
      <c r="B1601" s="1"/>
      <c r="D1601" s="54"/>
      <c r="E1601" s="54"/>
      <c r="F1601" s="64"/>
      <c r="J1601" s="8"/>
    </row>
    <row r="1602" spans="2:10" x14ac:dyDescent="0.25">
      <c r="B1602" s="1"/>
      <c r="D1602" s="54"/>
      <c r="E1602" s="54"/>
      <c r="F1602" s="64"/>
      <c r="J1602" s="4"/>
    </row>
    <row r="1603" spans="2:10" x14ac:dyDescent="0.25">
      <c r="B1603" s="1"/>
      <c r="D1603" s="54"/>
      <c r="E1603" s="54"/>
      <c r="F1603" s="64"/>
      <c r="J1603" s="8"/>
    </row>
    <row r="1604" spans="2:10" x14ac:dyDescent="0.25">
      <c r="B1604" s="1"/>
      <c r="D1604" s="54"/>
      <c r="E1604" s="54"/>
      <c r="F1604" s="64"/>
      <c r="J1604" s="4"/>
    </row>
    <row r="1605" spans="2:10" x14ac:dyDescent="0.25">
      <c r="B1605" s="1"/>
      <c r="D1605" s="54"/>
      <c r="E1605" s="54"/>
      <c r="F1605" s="64"/>
      <c r="J1605" s="8"/>
    </row>
    <row r="1606" spans="2:10" x14ac:dyDescent="0.25">
      <c r="B1606" s="1"/>
      <c r="D1606" s="54"/>
      <c r="E1606" s="54"/>
      <c r="F1606" s="64"/>
      <c r="J1606" s="4"/>
    </row>
    <row r="1607" spans="2:10" x14ac:dyDescent="0.25">
      <c r="B1607" s="1"/>
      <c r="D1607" s="54"/>
      <c r="E1607" s="54"/>
      <c r="F1607" s="64"/>
      <c r="J1607" s="8"/>
    </row>
    <row r="1608" spans="2:10" x14ac:dyDescent="0.25">
      <c r="B1608" s="1"/>
      <c r="D1608" s="54"/>
      <c r="E1608" s="54"/>
      <c r="F1608" s="64"/>
      <c r="J1608" s="4"/>
    </row>
    <row r="1609" spans="2:10" x14ac:dyDescent="0.25">
      <c r="B1609" s="1"/>
      <c r="D1609" s="54"/>
      <c r="E1609" s="54"/>
      <c r="F1609" s="64"/>
      <c r="J1609" s="8"/>
    </row>
    <row r="1610" spans="2:10" x14ac:dyDescent="0.25">
      <c r="B1610" s="1"/>
      <c r="D1610" s="54"/>
      <c r="E1610" s="54"/>
      <c r="F1610" s="64"/>
      <c r="J1610" s="4"/>
    </row>
    <row r="1611" spans="2:10" x14ac:dyDescent="0.25">
      <c r="B1611" s="1"/>
      <c r="D1611" s="54"/>
      <c r="E1611" s="54"/>
      <c r="F1611" s="64"/>
      <c r="J1611" s="8"/>
    </row>
    <row r="1612" spans="2:10" x14ac:dyDescent="0.25">
      <c r="B1612" s="1"/>
      <c r="D1612" s="54"/>
      <c r="E1612" s="54"/>
      <c r="F1612" s="64"/>
      <c r="J1612" s="4"/>
    </row>
    <row r="1613" spans="2:10" x14ac:dyDescent="0.25">
      <c r="B1613" s="1"/>
      <c r="D1613" s="54"/>
      <c r="E1613" s="54"/>
      <c r="F1613" s="64"/>
      <c r="J1613" s="8"/>
    </row>
    <row r="1614" spans="2:10" x14ac:dyDescent="0.25">
      <c r="B1614" s="1"/>
      <c r="D1614" s="54"/>
      <c r="E1614" s="54"/>
      <c r="F1614" s="64"/>
      <c r="J1614" s="4"/>
    </row>
    <row r="1615" spans="2:10" x14ac:dyDescent="0.25">
      <c r="B1615" s="1"/>
      <c r="D1615" s="54"/>
      <c r="E1615" s="54"/>
      <c r="F1615" s="64"/>
      <c r="J1615" s="8"/>
    </row>
    <row r="1616" spans="2:10" x14ac:dyDescent="0.25">
      <c r="B1616" s="1"/>
      <c r="D1616" s="54"/>
      <c r="E1616" s="54"/>
      <c r="F1616" s="64"/>
      <c r="J1616" s="4"/>
    </row>
    <row r="1617" spans="2:10" x14ac:dyDescent="0.25">
      <c r="B1617" s="1"/>
      <c r="D1617" s="54"/>
      <c r="E1617" s="54"/>
      <c r="F1617" s="64"/>
      <c r="J1617" s="8"/>
    </row>
    <row r="1618" spans="2:10" x14ac:dyDescent="0.25">
      <c r="B1618" s="1"/>
      <c r="D1618" s="54"/>
      <c r="E1618" s="54"/>
      <c r="F1618" s="64"/>
      <c r="J1618" s="4"/>
    </row>
    <row r="1619" spans="2:10" x14ac:dyDescent="0.25">
      <c r="B1619" s="1"/>
      <c r="D1619" s="54"/>
      <c r="E1619" s="54"/>
      <c r="F1619" s="64"/>
      <c r="J1619" s="8"/>
    </row>
    <row r="1620" spans="2:10" x14ac:dyDescent="0.25">
      <c r="B1620" s="1"/>
      <c r="D1620" s="54"/>
      <c r="E1620" s="54"/>
      <c r="F1620" s="64"/>
      <c r="J1620" s="4"/>
    </row>
    <row r="1621" spans="2:10" x14ac:dyDescent="0.25">
      <c r="B1621" s="1"/>
      <c r="D1621" s="54"/>
      <c r="E1621" s="54"/>
      <c r="F1621" s="64"/>
      <c r="J1621" s="8"/>
    </row>
    <row r="1622" spans="2:10" x14ac:dyDescent="0.25">
      <c r="B1622" s="1"/>
      <c r="D1622" s="54"/>
      <c r="E1622" s="54"/>
      <c r="F1622" s="64"/>
      <c r="J1622" s="4"/>
    </row>
    <row r="1623" spans="2:10" x14ac:dyDescent="0.25">
      <c r="B1623" s="1"/>
      <c r="D1623" s="54"/>
      <c r="E1623" s="54"/>
      <c r="F1623" s="64"/>
      <c r="J1623" s="8"/>
    </row>
    <row r="1624" spans="2:10" x14ac:dyDescent="0.25">
      <c r="B1624" s="1"/>
      <c r="D1624" s="54"/>
      <c r="E1624" s="54"/>
      <c r="F1624" s="64"/>
      <c r="J1624" s="4"/>
    </row>
    <row r="1625" spans="2:10" x14ac:dyDescent="0.25">
      <c r="B1625" s="1"/>
      <c r="D1625" s="54"/>
      <c r="E1625" s="54"/>
      <c r="F1625" s="64"/>
      <c r="J1625" s="8"/>
    </row>
    <row r="1626" spans="2:10" x14ac:dyDescent="0.25">
      <c r="B1626" s="1"/>
      <c r="D1626" s="54"/>
      <c r="E1626" s="54"/>
      <c r="F1626" s="64"/>
      <c r="J1626" s="4"/>
    </row>
    <row r="1627" spans="2:10" x14ac:dyDescent="0.25">
      <c r="B1627" s="1"/>
      <c r="D1627" s="54"/>
      <c r="E1627" s="54"/>
      <c r="F1627" s="64"/>
      <c r="J1627" s="8"/>
    </row>
    <row r="1628" spans="2:10" x14ac:dyDescent="0.25">
      <c r="B1628" s="1"/>
      <c r="D1628" s="54"/>
      <c r="E1628" s="54"/>
      <c r="F1628" s="64"/>
      <c r="J1628" s="4"/>
    </row>
    <row r="1629" spans="2:10" x14ac:dyDescent="0.25">
      <c r="B1629" s="1"/>
      <c r="D1629" s="54"/>
      <c r="E1629" s="54"/>
      <c r="F1629" s="64"/>
      <c r="J1629" s="8"/>
    </row>
    <row r="1630" spans="2:10" x14ac:dyDescent="0.25">
      <c r="B1630" s="1"/>
      <c r="D1630" s="54"/>
      <c r="E1630" s="54"/>
      <c r="F1630" s="64"/>
      <c r="J1630" s="4"/>
    </row>
    <row r="1631" spans="2:10" x14ac:dyDescent="0.25">
      <c r="B1631" s="1"/>
      <c r="D1631" s="54"/>
      <c r="E1631" s="54"/>
      <c r="F1631" s="64"/>
      <c r="J1631" s="8"/>
    </row>
    <row r="1632" spans="2:10" x14ac:dyDescent="0.25">
      <c r="B1632" s="1"/>
      <c r="D1632" s="54"/>
      <c r="E1632" s="54"/>
      <c r="F1632" s="64"/>
      <c r="J1632" s="4"/>
    </row>
    <row r="1633" spans="2:10" x14ac:dyDescent="0.25">
      <c r="B1633" s="1"/>
      <c r="D1633" s="54"/>
      <c r="E1633" s="54"/>
      <c r="F1633" s="64"/>
      <c r="J1633" s="8"/>
    </row>
    <row r="1634" spans="2:10" x14ac:dyDescent="0.25">
      <c r="B1634" s="1"/>
      <c r="D1634" s="54"/>
      <c r="E1634" s="54"/>
      <c r="F1634" s="64"/>
      <c r="J1634" s="4"/>
    </row>
    <row r="1635" spans="2:10" x14ac:dyDescent="0.25">
      <c r="B1635" s="1"/>
      <c r="D1635" s="54"/>
      <c r="E1635" s="54"/>
      <c r="F1635" s="64"/>
      <c r="J1635" s="8"/>
    </row>
    <row r="1636" spans="2:10" x14ac:dyDescent="0.25">
      <c r="B1636" s="1"/>
      <c r="D1636" s="54"/>
      <c r="E1636" s="54"/>
      <c r="F1636" s="64"/>
      <c r="J1636" s="4"/>
    </row>
    <row r="1637" spans="2:10" x14ac:dyDescent="0.25">
      <c r="B1637" s="1"/>
      <c r="D1637" s="54"/>
      <c r="E1637" s="54"/>
      <c r="F1637" s="64"/>
      <c r="J1637" s="8"/>
    </row>
    <row r="1638" spans="2:10" x14ac:dyDescent="0.25">
      <c r="B1638" s="1"/>
      <c r="D1638" s="54"/>
      <c r="E1638" s="54"/>
      <c r="F1638" s="64"/>
      <c r="J1638" s="4"/>
    </row>
    <row r="1639" spans="2:10" x14ac:dyDescent="0.25">
      <c r="B1639" s="1"/>
      <c r="D1639" s="54"/>
      <c r="E1639" s="54"/>
      <c r="F1639" s="64"/>
      <c r="J1639" s="8"/>
    </row>
    <row r="1640" spans="2:10" x14ac:dyDescent="0.25">
      <c r="B1640" s="1"/>
      <c r="D1640" s="54"/>
      <c r="E1640" s="54"/>
      <c r="F1640" s="64"/>
      <c r="J1640" s="4"/>
    </row>
    <row r="1641" spans="2:10" x14ac:dyDescent="0.25">
      <c r="B1641" s="1"/>
      <c r="D1641" s="54"/>
      <c r="E1641" s="54"/>
      <c r="F1641" s="64"/>
      <c r="J1641" s="8"/>
    </row>
    <row r="1642" spans="2:10" x14ac:dyDescent="0.25">
      <c r="B1642" s="1"/>
      <c r="D1642" s="54"/>
      <c r="E1642" s="54"/>
      <c r="F1642" s="64"/>
      <c r="J1642" s="4"/>
    </row>
    <row r="1643" spans="2:10" x14ac:dyDescent="0.25">
      <c r="B1643" s="1"/>
      <c r="D1643" s="54"/>
      <c r="E1643" s="54"/>
      <c r="F1643" s="64"/>
      <c r="J1643" s="8"/>
    </row>
    <row r="1644" spans="2:10" x14ac:dyDescent="0.25">
      <c r="B1644" s="1"/>
      <c r="D1644" s="54"/>
      <c r="E1644" s="54"/>
      <c r="F1644" s="64"/>
      <c r="J1644" s="4"/>
    </row>
    <row r="1645" spans="2:10" x14ac:dyDescent="0.25">
      <c r="B1645" s="1"/>
      <c r="D1645" s="54"/>
      <c r="E1645" s="54"/>
      <c r="F1645" s="64"/>
      <c r="J1645" s="8"/>
    </row>
    <row r="1646" spans="2:10" x14ac:dyDescent="0.25">
      <c r="B1646" s="1"/>
      <c r="D1646" s="54"/>
      <c r="E1646" s="54"/>
      <c r="F1646" s="64"/>
      <c r="J1646" s="4"/>
    </row>
    <row r="1647" spans="2:10" x14ac:dyDescent="0.25">
      <c r="B1647" s="1"/>
      <c r="D1647" s="54"/>
      <c r="E1647" s="54"/>
      <c r="F1647" s="64"/>
      <c r="J1647" s="8"/>
    </row>
    <row r="1648" spans="2:10" x14ac:dyDescent="0.25">
      <c r="B1648" s="1"/>
      <c r="D1648" s="54"/>
      <c r="E1648" s="54"/>
      <c r="F1648" s="64"/>
      <c r="J1648" s="4"/>
    </row>
    <row r="1649" spans="2:10" x14ac:dyDescent="0.25">
      <c r="B1649" s="1"/>
      <c r="D1649" s="54"/>
      <c r="E1649" s="54"/>
      <c r="F1649" s="64"/>
      <c r="J1649" s="8"/>
    </row>
    <row r="1650" spans="2:10" x14ac:dyDescent="0.25">
      <c r="B1650" s="1"/>
      <c r="D1650" s="54"/>
      <c r="E1650" s="54"/>
      <c r="F1650" s="64"/>
      <c r="J1650" s="4"/>
    </row>
    <row r="1651" spans="2:10" x14ac:dyDescent="0.25">
      <c r="B1651" s="1"/>
      <c r="D1651" s="54"/>
      <c r="E1651" s="54"/>
      <c r="F1651" s="64"/>
      <c r="J1651" s="8"/>
    </row>
    <row r="1652" spans="2:10" x14ac:dyDescent="0.25">
      <c r="B1652" s="1"/>
      <c r="D1652" s="54"/>
      <c r="E1652" s="54"/>
      <c r="F1652" s="64"/>
      <c r="J1652" s="4"/>
    </row>
    <row r="1653" spans="2:10" x14ac:dyDescent="0.25">
      <c r="B1653" s="1"/>
      <c r="D1653" s="54"/>
      <c r="E1653" s="54"/>
      <c r="F1653" s="64"/>
      <c r="J1653" s="8"/>
    </row>
    <row r="1654" spans="2:10" x14ac:dyDescent="0.25">
      <c r="B1654" s="1"/>
      <c r="D1654" s="54"/>
      <c r="E1654" s="54"/>
      <c r="F1654" s="64"/>
      <c r="J1654" s="4"/>
    </row>
    <row r="1655" spans="2:10" x14ac:dyDescent="0.25">
      <c r="B1655" s="1"/>
      <c r="D1655" s="54"/>
      <c r="E1655" s="54"/>
      <c r="F1655" s="64"/>
      <c r="J1655" s="8"/>
    </row>
    <row r="1656" spans="2:10" x14ac:dyDescent="0.25">
      <c r="B1656" s="1"/>
      <c r="D1656" s="54"/>
      <c r="E1656" s="54"/>
      <c r="F1656" s="64"/>
      <c r="J1656" s="4"/>
    </row>
    <row r="1657" spans="2:10" x14ac:dyDescent="0.25">
      <c r="B1657" s="1"/>
      <c r="D1657" s="54"/>
      <c r="E1657" s="54"/>
      <c r="F1657" s="64"/>
      <c r="J1657" s="8"/>
    </row>
    <row r="1658" spans="2:10" x14ac:dyDescent="0.25">
      <c r="B1658" s="1"/>
      <c r="D1658" s="54"/>
      <c r="E1658" s="54"/>
      <c r="F1658" s="64"/>
      <c r="J1658" s="4"/>
    </row>
    <row r="1659" spans="2:10" x14ac:dyDescent="0.25">
      <c r="B1659" s="1"/>
      <c r="D1659" s="54"/>
      <c r="E1659" s="54"/>
      <c r="F1659" s="64"/>
      <c r="J1659" s="8"/>
    </row>
    <row r="1660" spans="2:10" x14ac:dyDescent="0.25">
      <c r="B1660" s="1"/>
      <c r="D1660" s="54"/>
      <c r="E1660" s="54"/>
      <c r="F1660" s="64"/>
      <c r="J1660" s="4"/>
    </row>
    <row r="1661" spans="2:10" x14ac:dyDescent="0.25">
      <c r="B1661" s="1"/>
      <c r="D1661" s="54"/>
      <c r="E1661" s="54"/>
      <c r="F1661" s="64"/>
      <c r="J1661" s="8"/>
    </row>
    <row r="1662" spans="2:10" x14ac:dyDescent="0.25">
      <c r="B1662" s="1"/>
      <c r="D1662" s="54"/>
      <c r="E1662" s="54"/>
      <c r="F1662" s="64"/>
      <c r="J1662" s="4"/>
    </row>
    <row r="1663" spans="2:10" x14ac:dyDescent="0.25">
      <c r="B1663" s="1"/>
      <c r="D1663" s="54"/>
      <c r="E1663" s="54"/>
      <c r="F1663" s="64"/>
      <c r="J1663" s="8"/>
    </row>
    <row r="1664" spans="2:10" x14ac:dyDescent="0.25">
      <c r="B1664" s="1"/>
      <c r="D1664" s="54"/>
      <c r="E1664" s="54"/>
      <c r="F1664" s="64"/>
      <c r="J1664" s="4"/>
    </row>
    <row r="1665" spans="2:10" x14ac:dyDescent="0.25">
      <c r="B1665" s="1"/>
      <c r="D1665" s="54"/>
      <c r="E1665" s="54"/>
      <c r="F1665" s="64"/>
      <c r="J1665" s="8"/>
    </row>
    <row r="1666" spans="2:10" x14ac:dyDescent="0.25">
      <c r="B1666" s="1"/>
      <c r="D1666" s="54"/>
      <c r="E1666" s="54"/>
      <c r="F1666" s="64"/>
      <c r="J1666" s="4"/>
    </row>
    <row r="1667" spans="2:10" x14ac:dyDescent="0.25">
      <c r="B1667" s="1"/>
      <c r="D1667" s="54"/>
      <c r="E1667" s="54"/>
      <c r="F1667" s="64"/>
      <c r="J1667" s="8"/>
    </row>
    <row r="1668" spans="2:10" x14ac:dyDescent="0.25">
      <c r="B1668" s="1"/>
      <c r="D1668" s="54"/>
      <c r="E1668" s="54"/>
      <c r="F1668" s="64"/>
      <c r="J1668" s="4"/>
    </row>
    <row r="1669" spans="2:10" x14ac:dyDescent="0.25">
      <c r="B1669" s="1"/>
      <c r="D1669" s="54"/>
      <c r="E1669" s="54"/>
      <c r="F1669" s="64"/>
      <c r="J1669" s="8"/>
    </row>
    <row r="1670" spans="2:10" x14ac:dyDescent="0.25">
      <c r="B1670" s="1"/>
      <c r="D1670" s="54"/>
      <c r="E1670" s="54"/>
      <c r="F1670" s="64"/>
      <c r="J1670" s="4"/>
    </row>
    <row r="1671" spans="2:10" x14ac:dyDescent="0.25">
      <c r="B1671" s="1"/>
      <c r="D1671" s="54"/>
      <c r="E1671" s="54"/>
      <c r="F1671" s="64"/>
      <c r="J1671" s="8"/>
    </row>
    <row r="1672" spans="2:10" x14ac:dyDescent="0.25">
      <c r="B1672" s="1"/>
      <c r="D1672" s="54"/>
      <c r="E1672" s="54"/>
      <c r="F1672" s="64"/>
      <c r="J1672" s="4"/>
    </row>
    <row r="1673" spans="2:10" x14ac:dyDescent="0.25">
      <c r="B1673" s="1"/>
      <c r="D1673" s="54"/>
      <c r="E1673" s="54"/>
      <c r="F1673" s="64"/>
      <c r="J1673" s="8"/>
    </row>
    <row r="1674" spans="2:10" x14ac:dyDescent="0.25">
      <c r="B1674" s="1"/>
      <c r="D1674" s="54"/>
      <c r="E1674" s="54"/>
      <c r="F1674" s="64"/>
      <c r="J1674" s="4"/>
    </row>
    <row r="1675" spans="2:10" x14ac:dyDescent="0.25">
      <c r="B1675" s="1"/>
      <c r="D1675" s="54"/>
      <c r="E1675" s="54"/>
      <c r="F1675" s="64"/>
      <c r="J1675" s="8"/>
    </row>
    <row r="1676" spans="2:10" x14ac:dyDescent="0.25">
      <c r="B1676" s="1"/>
      <c r="D1676" s="54"/>
      <c r="E1676" s="54"/>
      <c r="F1676" s="64"/>
      <c r="J1676" s="4"/>
    </row>
    <row r="1677" spans="2:10" x14ac:dyDescent="0.25">
      <c r="B1677" s="1"/>
      <c r="D1677" s="54"/>
      <c r="E1677" s="54"/>
      <c r="F1677" s="64"/>
      <c r="J1677" s="8"/>
    </row>
    <row r="1678" spans="2:10" x14ac:dyDescent="0.25">
      <c r="B1678" s="1"/>
      <c r="D1678" s="54"/>
      <c r="E1678" s="54"/>
      <c r="F1678" s="64"/>
      <c r="J1678" s="4"/>
    </row>
    <row r="1679" spans="2:10" x14ac:dyDescent="0.25">
      <c r="B1679" s="1"/>
      <c r="D1679" s="54"/>
      <c r="E1679" s="54"/>
      <c r="F1679" s="64"/>
      <c r="J1679" s="8"/>
    </row>
    <row r="1680" spans="2:10" x14ac:dyDescent="0.25">
      <c r="B1680" s="1"/>
      <c r="D1680" s="54"/>
      <c r="E1680" s="54"/>
      <c r="F1680" s="64"/>
      <c r="J1680" s="4"/>
    </row>
    <row r="1681" spans="2:10" x14ac:dyDescent="0.25">
      <c r="B1681" s="1"/>
      <c r="D1681" s="54"/>
      <c r="E1681" s="54"/>
      <c r="F1681" s="64"/>
      <c r="J1681" s="8"/>
    </row>
    <row r="1682" spans="2:10" x14ac:dyDescent="0.25">
      <c r="B1682" s="1"/>
      <c r="D1682" s="54"/>
      <c r="E1682" s="54"/>
      <c r="F1682" s="64"/>
      <c r="J1682" s="4"/>
    </row>
    <row r="1683" spans="2:10" x14ac:dyDescent="0.25">
      <c r="B1683" s="1"/>
      <c r="D1683" s="54"/>
      <c r="E1683" s="54"/>
      <c r="F1683" s="64"/>
      <c r="J1683" s="8"/>
    </row>
    <row r="1684" spans="2:10" x14ac:dyDescent="0.25">
      <c r="B1684" s="1"/>
      <c r="D1684" s="54"/>
      <c r="E1684" s="54"/>
      <c r="F1684" s="64"/>
      <c r="J1684" s="4"/>
    </row>
    <row r="1685" spans="2:10" x14ac:dyDescent="0.25">
      <c r="B1685" s="1"/>
      <c r="D1685" s="54"/>
      <c r="E1685" s="54"/>
      <c r="F1685" s="64"/>
      <c r="J1685" s="8"/>
    </row>
    <row r="1686" spans="2:10" x14ac:dyDescent="0.25">
      <c r="B1686" s="1"/>
      <c r="D1686" s="54"/>
      <c r="E1686" s="54"/>
      <c r="F1686" s="64"/>
      <c r="J1686" s="4"/>
    </row>
    <row r="1687" spans="2:10" x14ac:dyDescent="0.25">
      <c r="B1687" s="1"/>
      <c r="D1687" s="54"/>
      <c r="E1687" s="54"/>
      <c r="F1687" s="64"/>
      <c r="J1687" s="8"/>
    </row>
    <row r="1688" spans="2:10" x14ac:dyDescent="0.25">
      <c r="B1688" s="1"/>
      <c r="D1688" s="54"/>
      <c r="E1688" s="54"/>
      <c r="F1688" s="64"/>
      <c r="J1688" s="4"/>
    </row>
    <row r="1689" spans="2:10" x14ac:dyDescent="0.25">
      <c r="B1689" s="1"/>
      <c r="D1689" s="54"/>
      <c r="E1689" s="54"/>
      <c r="F1689" s="64"/>
      <c r="J1689" s="8"/>
    </row>
    <row r="1690" spans="2:10" x14ac:dyDescent="0.25">
      <c r="B1690" s="1"/>
      <c r="D1690" s="54"/>
      <c r="E1690" s="54"/>
      <c r="F1690" s="64"/>
      <c r="J1690" s="4"/>
    </row>
    <row r="1691" spans="2:10" x14ac:dyDescent="0.25">
      <c r="B1691" s="1"/>
      <c r="D1691" s="54"/>
      <c r="E1691" s="54"/>
      <c r="F1691" s="64"/>
      <c r="J1691" s="8"/>
    </row>
    <row r="1692" spans="2:10" x14ac:dyDescent="0.25">
      <c r="B1692" s="1"/>
      <c r="D1692" s="54"/>
      <c r="E1692" s="54"/>
      <c r="F1692" s="64"/>
      <c r="J1692" s="4"/>
    </row>
    <row r="1693" spans="2:10" x14ac:dyDescent="0.25">
      <c r="B1693" s="1"/>
      <c r="D1693" s="54"/>
      <c r="E1693" s="54"/>
      <c r="F1693" s="64"/>
      <c r="J1693" s="8"/>
    </row>
    <row r="1694" spans="2:10" x14ac:dyDescent="0.25">
      <c r="B1694" s="1"/>
      <c r="D1694" s="54"/>
      <c r="E1694" s="54"/>
      <c r="F1694" s="64"/>
      <c r="J1694" s="4"/>
    </row>
    <row r="1695" spans="2:10" x14ac:dyDescent="0.25">
      <c r="B1695" s="1"/>
      <c r="D1695" s="54"/>
      <c r="E1695" s="54"/>
      <c r="F1695" s="64"/>
      <c r="J1695" s="8"/>
    </row>
    <row r="1696" spans="2:10" x14ac:dyDescent="0.25">
      <c r="B1696" s="1"/>
      <c r="D1696" s="54"/>
      <c r="E1696" s="54"/>
      <c r="F1696" s="64"/>
      <c r="J1696" s="4"/>
    </row>
    <row r="1697" spans="2:10" x14ac:dyDescent="0.25">
      <c r="B1697" s="1"/>
      <c r="D1697" s="54"/>
      <c r="E1697" s="54"/>
      <c r="F1697" s="64"/>
      <c r="J1697" s="8"/>
    </row>
    <row r="1698" spans="2:10" x14ac:dyDescent="0.25">
      <c r="B1698" s="1"/>
      <c r="D1698" s="54"/>
      <c r="E1698" s="54"/>
      <c r="F1698" s="64"/>
      <c r="J1698" s="4"/>
    </row>
    <row r="1699" spans="2:10" x14ac:dyDescent="0.25">
      <c r="B1699" s="1"/>
      <c r="D1699" s="54"/>
      <c r="E1699" s="54"/>
      <c r="F1699" s="64"/>
      <c r="J1699" s="8"/>
    </row>
    <row r="1700" spans="2:10" x14ac:dyDescent="0.25">
      <c r="B1700" s="1"/>
      <c r="D1700" s="54"/>
      <c r="E1700" s="54"/>
      <c r="F1700" s="64"/>
      <c r="J1700" s="4"/>
    </row>
    <row r="1701" spans="2:10" x14ac:dyDescent="0.25">
      <c r="B1701" s="1"/>
      <c r="D1701" s="54"/>
      <c r="E1701" s="54"/>
      <c r="F1701" s="64"/>
      <c r="J1701" s="8"/>
    </row>
    <row r="1702" spans="2:10" x14ac:dyDescent="0.25">
      <c r="B1702" s="1"/>
      <c r="D1702" s="54"/>
      <c r="E1702" s="54"/>
      <c r="F1702" s="64"/>
      <c r="J1702" s="4"/>
    </row>
    <row r="1703" spans="2:10" x14ac:dyDescent="0.25">
      <c r="B1703" s="1"/>
      <c r="D1703" s="54"/>
      <c r="E1703" s="54"/>
      <c r="F1703" s="64"/>
      <c r="J1703" s="8"/>
    </row>
    <row r="1704" spans="2:10" x14ac:dyDescent="0.25">
      <c r="B1704" s="1"/>
      <c r="D1704" s="54"/>
      <c r="E1704" s="54"/>
      <c r="F1704" s="64"/>
      <c r="J1704" s="4"/>
    </row>
    <row r="1705" spans="2:10" x14ac:dyDescent="0.25">
      <c r="B1705" s="1"/>
      <c r="D1705" s="54"/>
      <c r="E1705" s="54"/>
      <c r="F1705" s="64"/>
      <c r="J1705" s="8"/>
    </row>
    <row r="1706" spans="2:10" x14ac:dyDescent="0.25">
      <c r="B1706" s="1"/>
      <c r="D1706" s="54"/>
      <c r="E1706" s="54"/>
      <c r="F1706" s="64"/>
      <c r="J1706" s="4"/>
    </row>
    <row r="1707" spans="2:10" x14ac:dyDescent="0.25">
      <c r="B1707" s="1"/>
      <c r="D1707" s="54"/>
      <c r="E1707" s="54"/>
      <c r="F1707" s="64"/>
      <c r="J1707" s="8"/>
    </row>
    <row r="1708" spans="2:10" x14ac:dyDescent="0.25">
      <c r="B1708" s="1"/>
      <c r="D1708" s="54"/>
      <c r="E1708" s="54"/>
      <c r="F1708" s="64"/>
      <c r="J1708" s="4"/>
    </row>
    <row r="1709" spans="2:10" x14ac:dyDescent="0.25">
      <c r="B1709" s="1"/>
      <c r="D1709" s="54"/>
      <c r="E1709" s="54"/>
      <c r="F1709" s="64"/>
      <c r="J1709" s="8"/>
    </row>
    <row r="1710" spans="2:10" x14ac:dyDescent="0.25">
      <c r="B1710" s="1"/>
      <c r="D1710" s="54"/>
      <c r="E1710" s="54"/>
      <c r="F1710" s="64"/>
      <c r="J1710" s="4"/>
    </row>
    <row r="1711" spans="2:10" x14ac:dyDescent="0.25">
      <c r="B1711" s="1"/>
      <c r="D1711" s="54"/>
      <c r="E1711" s="54"/>
      <c r="F1711" s="64"/>
      <c r="J1711" s="8"/>
    </row>
    <row r="1712" spans="2:10" x14ac:dyDescent="0.25">
      <c r="B1712" s="1"/>
      <c r="D1712" s="54"/>
      <c r="E1712" s="54"/>
      <c r="F1712" s="64"/>
      <c r="J1712" s="4"/>
    </row>
    <row r="1713" spans="2:10" x14ac:dyDescent="0.25">
      <c r="B1713" s="1"/>
      <c r="D1713" s="54"/>
      <c r="E1713" s="54"/>
      <c r="F1713" s="64"/>
      <c r="J1713" s="8"/>
    </row>
    <row r="1714" spans="2:10" x14ac:dyDescent="0.25">
      <c r="B1714" s="1"/>
      <c r="D1714" s="54"/>
      <c r="E1714" s="54"/>
      <c r="F1714" s="64"/>
      <c r="J1714" s="4"/>
    </row>
    <row r="1715" spans="2:10" x14ac:dyDescent="0.25">
      <c r="B1715" s="1"/>
      <c r="D1715" s="54"/>
      <c r="E1715" s="54"/>
      <c r="F1715" s="64"/>
      <c r="J1715" s="8"/>
    </row>
    <row r="1716" spans="2:10" x14ac:dyDescent="0.25">
      <c r="B1716" s="1"/>
      <c r="D1716" s="54"/>
      <c r="E1716" s="54"/>
      <c r="F1716" s="64"/>
      <c r="J1716" s="4"/>
    </row>
    <row r="1717" spans="2:10" x14ac:dyDescent="0.25">
      <c r="B1717" s="1"/>
      <c r="D1717" s="54"/>
      <c r="E1717" s="54"/>
      <c r="F1717" s="64"/>
      <c r="J1717" s="8"/>
    </row>
    <row r="1718" spans="2:10" x14ac:dyDescent="0.25">
      <c r="B1718" s="1"/>
      <c r="D1718" s="54"/>
      <c r="E1718" s="54"/>
      <c r="F1718" s="64"/>
      <c r="J1718" s="4"/>
    </row>
    <row r="1719" spans="2:10" x14ac:dyDescent="0.25">
      <c r="B1719" s="1"/>
      <c r="D1719" s="54"/>
      <c r="E1719" s="54"/>
      <c r="F1719" s="64"/>
      <c r="J1719" s="8"/>
    </row>
    <row r="1720" spans="2:10" x14ac:dyDescent="0.25">
      <c r="B1720" s="1"/>
      <c r="D1720" s="54"/>
      <c r="E1720" s="54"/>
      <c r="F1720" s="64"/>
      <c r="J1720" s="4"/>
    </row>
    <row r="1721" spans="2:10" x14ac:dyDescent="0.25">
      <c r="B1721" s="1"/>
      <c r="D1721" s="54"/>
      <c r="E1721" s="54"/>
      <c r="F1721" s="64"/>
      <c r="J1721" s="8"/>
    </row>
    <row r="1722" spans="2:10" x14ac:dyDescent="0.25">
      <c r="B1722" s="1"/>
      <c r="D1722" s="54"/>
      <c r="E1722" s="54"/>
      <c r="F1722" s="64"/>
      <c r="J1722" s="4"/>
    </row>
    <row r="1723" spans="2:10" x14ac:dyDescent="0.25">
      <c r="B1723" s="1"/>
      <c r="D1723" s="54"/>
      <c r="E1723" s="54"/>
      <c r="F1723" s="64"/>
      <c r="J1723" s="8"/>
    </row>
    <row r="1724" spans="2:10" x14ac:dyDescent="0.25">
      <c r="B1724" s="1"/>
      <c r="D1724" s="54"/>
      <c r="E1724" s="54"/>
      <c r="F1724" s="64"/>
      <c r="J1724" s="4"/>
    </row>
    <row r="1725" spans="2:10" x14ac:dyDescent="0.25">
      <c r="B1725" s="1"/>
      <c r="D1725" s="54"/>
      <c r="E1725" s="54"/>
      <c r="F1725" s="64"/>
      <c r="J1725" s="8"/>
    </row>
    <row r="1726" spans="2:10" x14ac:dyDescent="0.25">
      <c r="B1726" s="1"/>
      <c r="D1726" s="54"/>
      <c r="E1726" s="54"/>
      <c r="F1726" s="64"/>
      <c r="J1726" s="4"/>
    </row>
    <row r="1727" spans="2:10" x14ac:dyDescent="0.25">
      <c r="B1727" s="1"/>
      <c r="D1727" s="54"/>
      <c r="E1727" s="54"/>
      <c r="F1727" s="64"/>
      <c r="J1727" s="8"/>
    </row>
    <row r="1728" spans="2:10" x14ac:dyDescent="0.25">
      <c r="B1728" s="1"/>
      <c r="D1728" s="54"/>
      <c r="E1728" s="54"/>
      <c r="F1728" s="64"/>
      <c r="J1728" s="4"/>
    </row>
    <row r="1729" spans="2:10" x14ac:dyDescent="0.25">
      <c r="B1729" s="1"/>
      <c r="D1729" s="54"/>
      <c r="E1729" s="54"/>
      <c r="F1729" s="64"/>
      <c r="J1729" s="8"/>
    </row>
    <row r="1730" spans="2:10" x14ac:dyDescent="0.25">
      <c r="B1730" s="1"/>
      <c r="D1730" s="54"/>
      <c r="E1730" s="54"/>
      <c r="F1730" s="64"/>
      <c r="J1730" s="4"/>
    </row>
    <row r="1731" spans="2:10" x14ac:dyDescent="0.25">
      <c r="B1731" s="1"/>
      <c r="D1731" s="54"/>
      <c r="E1731" s="54"/>
      <c r="F1731" s="64"/>
      <c r="J1731" s="8"/>
    </row>
    <row r="1732" spans="2:10" x14ac:dyDescent="0.25">
      <c r="B1732" s="1"/>
      <c r="D1732" s="54"/>
      <c r="E1732" s="54"/>
      <c r="F1732" s="64"/>
      <c r="J1732" s="4"/>
    </row>
    <row r="1733" spans="2:10" x14ac:dyDescent="0.25">
      <c r="B1733" s="1"/>
      <c r="D1733" s="54"/>
      <c r="E1733" s="54"/>
      <c r="F1733" s="64"/>
      <c r="J1733" s="8"/>
    </row>
    <row r="1734" spans="2:10" x14ac:dyDescent="0.25">
      <c r="B1734" s="1"/>
      <c r="D1734" s="54"/>
      <c r="E1734" s="54"/>
      <c r="F1734" s="64"/>
      <c r="J1734" s="4"/>
    </row>
    <row r="1735" spans="2:10" x14ac:dyDescent="0.25">
      <c r="B1735" s="1"/>
      <c r="D1735" s="54"/>
      <c r="E1735" s="54"/>
      <c r="F1735" s="64"/>
      <c r="J1735" s="8"/>
    </row>
    <row r="1736" spans="2:10" x14ac:dyDescent="0.25">
      <c r="B1736" s="1"/>
      <c r="D1736" s="54"/>
      <c r="E1736" s="54"/>
      <c r="F1736" s="64"/>
      <c r="J1736" s="4"/>
    </row>
    <row r="1737" spans="2:10" x14ac:dyDescent="0.25">
      <c r="B1737" s="1"/>
      <c r="D1737" s="54"/>
      <c r="E1737" s="54"/>
      <c r="F1737" s="64"/>
      <c r="J1737" s="8"/>
    </row>
    <row r="1738" spans="2:10" x14ac:dyDescent="0.25">
      <c r="B1738" s="1"/>
      <c r="D1738" s="54"/>
      <c r="E1738" s="54"/>
      <c r="F1738" s="64"/>
      <c r="J1738" s="4"/>
    </row>
    <row r="1739" spans="2:10" x14ac:dyDescent="0.25">
      <c r="B1739" s="1"/>
      <c r="D1739" s="54"/>
      <c r="E1739" s="54"/>
      <c r="F1739" s="64"/>
      <c r="J1739" s="8"/>
    </row>
    <row r="1740" spans="2:10" x14ac:dyDescent="0.25">
      <c r="B1740" s="1"/>
      <c r="D1740" s="54"/>
      <c r="E1740" s="54"/>
      <c r="F1740" s="64"/>
      <c r="J1740" s="4"/>
    </row>
    <row r="1741" spans="2:10" x14ac:dyDescent="0.25">
      <c r="B1741" s="1"/>
      <c r="D1741" s="54"/>
      <c r="E1741" s="54"/>
      <c r="F1741" s="64"/>
      <c r="J1741" s="8"/>
    </row>
    <row r="1742" spans="2:10" x14ac:dyDescent="0.25">
      <c r="B1742" s="1"/>
      <c r="D1742" s="54"/>
      <c r="E1742" s="54"/>
      <c r="F1742" s="64"/>
      <c r="J1742" s="4"/>
    </row>
    <row r="1743" spans="2:10" x14ac:dyDescent="0.25">
      <c r="B1743" s="1"/>
      <c r="D1743" s="54"/>
      <c r="E1743" s="54"/>
      <c r="F1743" s="64"/>
      <c r="J1743" s="8"/>
    </row>
    <row r="1744" spans="2:10" x14ac:dyDescent="0.25">
      <c r="B1744" s="1"/>
      <c r="D1744" s="54"/>
      <c r="E1744" s="54"/>
      <c r="F1744" s="64"/>
      <c r="J1744" s="4"/>
    </row>
    <row r="1745" spans="2:10" x14ac:dyDescent="0.25">
      <c r="B1745" s="1"/>
      <c r="D1745" s="54"/>
      <c r="E1745" s="54"/>
      <c r="F1745" s="64"/>
      <c r="J1745" s="8"/>
    </row>
    <row r="1746" spans="2:10" x14ac:dyDescent="0.25">
      <c r="B1746" s="1"/>
      <c r="D1746" s="54"/>
      <c r="E1746" s="54"/>
      <c r="F1746" s="64"/>
      <c r="J1746" s="4"/>
    </row>
    <row r="1747" spans="2:10" x14ac:dyDescent="0.25">
      <c r="B1747" s="1"/>
      <c r="D1747" s="54"/>
      <c r="E1747" s="54"/>
      <c r="F1747" s="64"/>
      <c r="J1747" s="8"/>
    </row>
    <row r="1748" spans="2:10" x14ac:dyDescent="0.25">
      <c r="B1748" s="1"/>
      <c r="D1748" s="54"/>
      <c r="E1748" s="54"/>
      <c r="F1748" s="64"/>
      <c r="J1748" s="4"/>
    </row>
    <row r="1749" spans="2:10" x14ac:dyDescent="0.25">
      <c r="B1749" s="1"/>
      <c r="D1749" s="54"/>
      <c r="E1749" s="54"/>
      <c r="F1749" s="64"/>
      <c r="J1749" s="8"/>
    </row>
    <row r="1750" spans="2:10" x14ac:dyDescent="0.25">
      <c r="B1750" s="1"/>
      <c r="D1750" s="54"/>
      <c r="E1750" s="54"/>
      <c r="F1750" s="64"/>
      <c r="J1750" s="4"/>
    </row>
    <row r="1751" spans="2:10" x14ac:dyDescent="0.25">
      <c r="B1751" s="1"/>
      <c r="D1751" s="54"/>
      <c r="E1751" s="54"/>
      <c r="F1751" s="64"/>
      <c r="J1751" s="8"/>
    </row>
    <row r="1752" spans="2:10" x14ac:dyDescent="0.25">
      <c r="B1752" s="1"/>
      <c r="D1752" s="54"/>
      <c r="E1752" s="54"/>
      <c r="F1752" s="64"/>
      <c r="J1752" s="4"/>
    </row>
    <row r="1753" spans="2:10" x14ac:dyDescent="0.25">
      <c r="B1753" s="1"/>
      <c r="D1753" s="54"/>
      <c r="E1753" s="54"/>
      <c r="F1753" s="64"/>
      <c r="J1753" s="8"/>
    </row>
    <row r="1754" spans="2:10" x14ac:dyDescent="0.25">
      <c r="B1754" s="1"/>
      <c r="D1754" s="54"/>
      <c r="E1754" s="54"/>
      <c r="F1754" s="64"/>
      <c r="J1754" s="4"/>
    </row>
    <row r="1755" spans="2:10" x14ac:dyDescent="0.25">
      <c r="B1755" s="1"/>
      <c r="D1755" s="54"/>
      <c r="E1755" s="54"/>
      <c r="F1755" s="64"/>
      <c r="J1755" s="8"/>
    </row>
    <row r="1756" spans="2:10" x14ac:dyDescent="0.25">
      <c r="B1756" s="1"/>
      <c r="D1756" s="54"/>
      <c r="E1756" s="54"/>
      <c r="F1756" s="64"/>
      <c r="J1756" s="4"/>
    </row>
    <row r="1757" spans="2:10" x14ac:dyDescent="0.25">
      <c r="B1757" s="1"/>
      <c r="D1757" s="54"/>
      <c r="E1757" s="54"/>
      <c r="F1757" s="64"/>
      <c r="J1757" s="8"/>
    </row>
    <row r="1758" spans="2:10" x14ac:dyDescent="0.25">
      <c r="B1758" s="1"/>
      <c r="D1758" s="54"/>
      <c r="E1758" s="54"/>
      <c r="F1758" s="64"/>
      <c r="J1758" s="4"/>
    </row>
    <row r="1759" spans="2:10" x14ac:dyDescent="0.25">
      <c r="B1759" s="1"/>
      <c r="D1759" s="54"/>
      <c r="E1759" s="54"/>
      <c r="F1759" s="64"/>
      <c r="J1759" s="8"/>
    </row>
    <row r="1760" spans="2:10" x14ac:dyDescent="0.25">
      <c r="B1760" s="1"/>
      <c r="D1760" s="54"/>
      <c r="E1760" s="54"/>
      <c r="F1760" s="64"/>
      <c r="J1760" s="4"/>
    </row>
    <row r="1761" spans="2:10" x14ac:dyDescent="0.25">
      <c r="B1761" s="1"/>
      <c r="D1761" s="54"/>
      <c r="E1761" s="54"/>
      <c r="F1761" s="64"/>
      <c r="J1761" s="8"/>
    </row>
    <row r="1762" spans="2:10" x14ac:dyDescent="0.25">
      <c r="B1762" s="1"/>
      <c r="D1762" s="54"/>
      <c r="E1762" s="54"/>
      <c r="F1762" s="64"/>
      <c r="J1762" s="4"/>
    </row>
    <row r="1763" spans="2:10" x14ac:dyDescent="0.25">
      <c r="B1763" s="1"/>
      <c r="D1763" s="54"/>
      <c r="E1763" s="54"/>
      <c r="F1763" s="64"/>
      <c r="J1763" s="8"/>
    </row>
    <row r="1764" spans="2:10" x14ac:dyDescent="0.25">
      <c r="B1764" s="1"/>
      <c r="D1764" s="54"/>
      <c r="E1764" s="54"/>
      <c r="F1764" s="64"/>
      <c r="J1764" s="4"/>
    </row>
    <row r="1765" spans="2:10" x14ac:dyDescent="0.25">
      <c r="B1765" s="1"/>
      <c r="D1765" s="54"/>
      <c r="E1765" s="54"/>
      <c r="F1765" s="64"/>
      <c r="J1765" s="8"/>
    </row>
    <row r="1766" spans="2:10" x14ac:dyDescent="0.25">
      <c r="B1766" s="1"/>
      <c r="D1766" s="54"/>
      <c r="E1766" s="54"/>
      <c r="F1766" s="64"/>
      <c r="J1766" s="4"/>
    </row>
  </sheetData>
  <mergeCells count="2">
    <mergeCell ref="B1:J1"/>
    <mergeCell ref="O1:T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1328-2DB2-4174-8E23-92CCE285E867}">
  <sheetPr codeName="argarche"/>
  <dimension ref="A1:M1764"/>
  <sheetViews>
    <sheetView showGridLines="0" workbookViewId="0">
      <selection activeCell="I19" sqref="I19"/>
    </sheetView>
  </sheetViews>
  <sheetFormatPr baseColWidth="10" defaultRowHeight="15" x14ac:dyDescent="0.25"/>
  <cols>
    <col min="3" max="3" width="11.42578125" style="6"/>
    <col min="4" max="4" width="14" style="6" customWidth="1"/>
    <col min="5" max="5" width="14.42578125" style="6" customWidth="1"/>
    <col min="8" max="8" width="15.7109375" customWidth="1"/>
    <col min="11" max="11" width="13.5703125" bestFit="1" customWidth="1"/>
  </cols>
  <sheetData>
    <row r="1" spans="1:13" x14ac:dyDescent="0.25">
      <c r="A1" s="2" t="s">
        <v>10</v>
      </c>
      <c r="B1" s="2" t="s">
        <v>11</v>
      </c>
      <c r="C1" s="3" t="s">
        <v>12</v>
      </c>
      <c r="D1" s="3" t="s">
        <v>13</v>
      </c>
      <c r="E1" s="3" t="s">
        <v>14</v>
      </c>
      <c r="F1" s="2" t="s">
        <v>15</v>
      </c>
      <c r="G1" s="2" t="s">
        <v>16</v>
      </c>
      <c r="H1" s="2" t="s">
        <v>17</v>
      </c>
      <c r="I1" s="4"/>
      <c r="J1" s="4"/>
      <c r="K1" s="4"/>
      <c r="L1" s="4"/>
    </row>
    <row r="2" spans="1:13" x14ac:dyDescent="0.25">
      <c r="A2" s="5">
        <v>40182</v>
      </c>
      <c r="B2">
        <v>312.20530839999998</v>
      </c>
      <c r="F2">
        <f>SQRT($K4)</f>
        <v>1.572269838325014E-2</v>
      </c>
      <c r="G2">
        <f ca="1">_xlfn.NORM.INV(RAND(),0,1)</f>
        <v>-0.86045367824105323</v>
      </c>
    </row>
    <row r="3" spans="1:13" x14ac:dyDescent="0.25">
      <c r="A3" s="1">
        <v>40183</v>
      </c>
      <c r="B3">
        <v>310.83045859999999</v>
      </c>
      <c r="C3" s="6">
        <v>4.4036720805481116E-3</v>
      </c>
      <c r="F3">
        <f ca="1">SQRT($K$6+$K$7*POWER($G2,2)+$K$8*POWER($F2,2))</f>
        <v>1.5687061470217784E-2</v>
      </c>
      <c r="G3">
        <f ca="1">_xlfn.NORM.INV(RAND(),0,1)</f>
        <v>1.1053486918270365</v>
      </c>
      <c r="J3" s="2" t="s">
        <v>18</v>
      </c>
      <c r="K3" s="7">
        <v>2</v>
      </c>
    </row>
    <row r="4" spans="1:13" x14ac:dyDescent="0.25">
      <c r="A4" s="5">
        <v>40184</v>
      </c>
      <c r="B4">
        <v>302.99481259999999</v>
      </c>
      <c r="C4" s="6">
        <v>2.520874574291156E-2</v>
      </c>
      <c r="F4">
        <f ca="1">SQRT($K$6+$K$7*POWER($G3,2)+$K$8*POWER($F3,2))</f>
        <v>1.9145204745015996E-2</v>
      </c>
      <c r="G4">
        <f ca="1">_xlfn.NORM.INV(RAND(),0,1)</f>
        <v>0.34988951203619423</v>
      </c>
      <c r="J4" s="2" t="s">
        <v>19</v>
      </c>
      <c r="K4" s="7">
        <f>_xlfn.VAR.P($C6:$C1763)</f>
        <v>2.4720324445065659E-4</v>
      </c>
    </row>
    <row r="5" spans="1:13" x14ac:dyDescent="0.25">
      <c r="A5" s="1">
        <v>40185</v>
      </c>
      <c r="B5">
        <v>295.94124210000001</v>
      </c>
      <c r="C5" s="6">
        <v>2.3279509109325188E-2</v>
      </c>
      <c r="D5" s="6">
        <f ca="1">($K$10*$C4)+($K$11*$C3)+($F5*$G5)</f>
        <v>1.2657704448664995E-2</v>
      </c>
      <c r="E5" s="6">
        <f ca="1">$D5-$C5</f>
        <v>-1.0621804660660194E-2</v>
      </c>
      <c r="F5">
        <f t="shared" ref="F5:F67" ca="1" si="0">SQRT($K$6+$K$7*POWER($G4,2)+$K$8*POWER($F4,2))</f>
        <v>9.9470418493874391E-3</v>
      </c>
      <c r="G5">
        <f ca="1">_xlfn.NORM.INV(RAND(),0,1)</f>
        <v>1.0730006659476348</v>
      </c>
      <c r="H5">
        <f ca="1">LN(_xlfn.NORM.DIST($E5,AVERAGE($E$5:$E$1763),_xlfn.STDEV.S($E$5:$E$1763),FALSE))</f>
        <v>2.7229905153992431</v>
      </c>
      <c r="J5" s="2"/>
      <c r="K5" s="8"/>
    </row>
    <row r="6" spans="1:13" x14ac:dyDescent="0.25">
      <c r="A6" s="5">
        <v>40186</v>
      </c>
      <c r="B6">
        <v>299.88646990000001</v>
      </c>
      <c r="C6" s="6">
        <v>-1.3331118609912727E-2</v>
      </c>
      <c r="D6" s="6">
        <f t="shared" ref="D6:D68" ca="1" si="1">($K$10*$C5)+($K$11*$C4)+($F6*$G6)</f>
        <v>8.9692105136239125E-3</v>
      </c>
      <c r="E6" s="6">
        <f t="shared" ref="E6:E69" ca="1" si="2">$D6-$C6</f>
        <v>2.230032912353664E-2</v>
      </c>
      <c r="F6">
        <f t="shared" ca="1" si="0"/>
        <v>1.8427243282889881E-2</v>
      </c>
      <c r="G6">
        <f ca="1">_xlfn.NORM.INV(RAND(),0,1)</f>
        <v>-0.12965311291147288</v>
      </c>
      <c r="H6">
        <f t="shared" ref="H6:H69" ca="1" si="3">LN(_xlfn.NORM.DIST($E6,AVERAGE($E$5:$E$1763),_xlfn.STDEV.S($E$5:$E$1763),FALSE))</f>
        <v>2.3725901021410754</v>
      </c>
      <c r="J6" s="2" t="s">
        <v>20</v>
      </c>
      <c r="K6" s="74">
        <v>4.5042297182476043E-5</v>
      </c>
      <c r="M6" s="12"/>
    </row>
    <row r="7" spans="1:13" x14ac:dyDescent="0.25">
      <c r="A7" s="1">
        <v>40189</v>
      </c>
      <c r="B7">
        <v>299.43316099999998</v>
      </c>
      <c r="C7" s="6">
        <v>1.5116017076435115E-3</v>
      </c>
      <c r="D7" s="6">
        <f t="shared" ca="1" si="1"/>
        <v>1.2536599211589082E-2</v>
      </c>
      <c r="E7" s="6">
        <f t="shared" ca="1" si="2"/>
        <v>1.1024997503945571E-2</v>
      </c>
      <c r="F7">
        <f t="shared" ca="1" si="0"/>
        <v>8.413765658189621E-3</v>
      </c>
      <c r="G7">
        <f t="shared" ref="G7:G66" ca="1" si="4">_xlfn.NORM.INV(RAND(),0,1)</f>
        <v>0.24341963244876427</v>
      </c>
      <c r="H7">
        <f t="shared" ca="1" si="3"/>
        <v>2.707989068158561</v>
      </c>
      <c r="J7" s="2" t="s">
        <v>21</v>
      </c>
      <c r="K7" s="7">
        <v>2.5035764330743953E-4</v>
      </c>
      <c r="M7" s="12"/>
    </row>
    <row r="8" spans="1:13" x14ac:dyDescent="0.25">
      <c r="A8" s="5">
        <v>40190</v>
      </c>
      <c r="B8">
        <v>294.13801649999999</v>
      </c>
      <c r="C8" s="6">
        <v>1.7683894737363415E-2</v>
      </c>
      <c r="D8" s="6">
        <f t="shared" ca="1" si="1"/>
        <v>-7.6859044593146544E-3</v>
      </c>
      <c r="E8" s="6">
        <f t="shared" ca="1" si="2"/>
        <v>-2.5369799196678068E-2</v>
      </c>
      <c r="F8">
        <f t="shared" ca="1" si="0"/>
        <v>8.0229371444327565E-3</v>
      </c>
      <c r="G8">
        <f t="shared" ca="1" si="4"/>
        <v>-0.2093375106687044</v>
      </c>
      <c r="H8">
        <f t="shared" ca="1" si="3"/>
        <v>2.2595375734740495</v>
      </c>
      <c r="J8" s="2" t="s">
        <v>22</v>
      </c>
      <c r="K8" s="7">
        <v>6.343636460254895E-2</v>
      </c>
      <c r="M8" s="12"/>
    </row>
    <row r="9" spans="1:13" x14ac:dyDescent="0.25">
      <c r="A9" s="1">
        <v>40191</v>
      </c>
      <c r="B9">
        <v>292.44932360000001</v>
      </c>
      <c r="C9" s="6">
        <v>5.7411582497700637E-3</v>
      </c>
      <c r="D9" s="6">
        <f t="shared" ca="1" si="1"/>
        <v>1.401335151195548E-2</v>
      </c>
      <c r="E9" s="6">
        <f t="shared" ca="1" si="2"/>
        <v>8.2721932621854163E-3</v>
      </c>
      <c r="F9">
        <f t="shared" ca="1" si="0"/>
        <v>7.7522099903217304E-3</v>
      </c>
      <c r="G9">
        <f t="shared" ca="1" si="4"/>
        <v>1.719767189529771</v>
      </c>
      <c r="H9">
        <f t="shared" ca="1" si="3"/>
        <v>2.7557960785211986</v>
      </c>
      <c r="J9" s="2"/>
      <c r="K9" s="9"/>
    </row>
    <row r="10" spans="1:13" x14ac:dyDescent="0.25">
      <c r="A10" s="5">
        <v>40192</v>
      </c>
      <c r="B10">
        <v>293.82417340000001</v>
      </c>
      <c r="C10" s="6">
        <v>-4.7011556842595226E-3</v>
      </c>
      <c r="D10" s="6">
        <f t="shared" ca="1" si="1"/>
        <v>-7.6578633216853858E-3</v>
      </c>
      <c r="E10" s="6">
        <f t="shared" ca="1" si="2"/>
        <v>-2.9567076374258632E-3</v>
      </c>
      <c r="F10">
        <f t="shared" ca="1" si="0"/>
        <v>2.8094700198528645E-2</v>
      </c>
      <c r="G10">
        <f t="shared" ca="1" si="4"/>
        <v>-0.55617462955343278</v>
      </c>
      <c r="H10">
        <f t="shared" ca="1" si="3"/>
        <v>2.812255317704393</v>
      </c>
      <c r="J10" s="2" t="s">
        <v>23</v>
      </c>
      <c r="K10" s="7">
        <v>1.6541095494127786E-5</v>
      </c>
      <c r="M10" s="12"/>
    </row>
    <row r="11" spans="1:13" x14ac:dyDescent="0.25">
      <c r="A11" s="1">
        <v>40193</v>
      </c>
      <c r="B11">
        <v>288.91754859999998</v>
      </c>
      <c r="C11" s="6">
        <v>1.6699186943071414E-2</v>
      </c>
      <c r="D11" s="6">
        <f t="shared" ca="1" si="1"/>
        <v>-3.0386275112622009E-3</v>
      </c>
      <c r="E11" s="6">
        <f t="shared" ca="1" si="2"/>
        <v>-1.9737814454333615E-2</v>
      </c>
      <c r="F11">
        <f t="shared" ca="1" si="0"/>
        <v>1.3136079205474072E-2</v>
      </c>
      <c r="G11">
        <f t="shared" ca="1" si="4"/>
        <v>-0.42823039149909647</v>
      </c>
      <c r="H11">
        <f t="shared" ca="1" si="3"/>
        <v>2.481829435411854</v>
      </c>
      <c r="J11" s="2" t="s">
        <v>24</v>
      </c>
      <c r="K11" s="7">
        <v>0.45055692238230965</v>
      </c>
      <c r="M11" s="12"/>
    </row>
    <row r="12" spans="1:13" x14ac:dyDescent="0.25">
      <c r="A12" s="5">
        <v>40197</v>
      </c>
      <c r="B12">
        <v>292.7133316</v>
      </c>
      <c r="C12" s="6">
        <v>-1.3137945474039748E-2</v>
      </c>
      <c r="D12" s="6">
        <f t="shared" ca="1" si="1"/>
        <v>1.6285749423330859E-3</v>
      </c>
      <c r="E12" s="6">
        <f t="shared" ca="1" si="2"/>
        <v>1.4766520416372834E-2</v>
      </c>
      <c r="F12">
        <f t="shared" ca="1" si="0"/>
        <v>1.0094531254245826E-2</v>
      </c>
      <c r="G12">
        <f t="shared" ca="1" si="4"/>
        <v>0.37113530701601244</v>
      </c>
      <c r="H12">
        <f t="shared" ca="1" si="3"/>
        <v>2.6215681309294263</v>
      </c>
      <c r="J12" s="2"/>
      <c r="K12" s="8"/>
    </row>
    <row r="13" spans="1:13" ht="30" x14ac:dyDescent="0.25">
      <c r="A13" s="1">
        <v>40198</v>
      </c>
      <c r="B13">
        <v>289.121803</v>
      </c>
      <c r="C13" s="6">
        <v>1.2269781428704846E-2</v>
      </c>
      <c r="D13" s="6">
        <f t="shared" ca="1" si="1"/>
        <v>1.7199686814581682E-3</v>
      </c>
      <c r="E13" s="6">
        <f t="shared" ca="1" si="2"/>
        <v>-1.0549812747246678E-2</v>
      </c>
      <c r="F13">
        <f t="shared" ca="1" si="0"/>
        <v>9.2731359974078421E-3</v>
      </c>
      <c r="G13">
        <f t="shared" ca="1" si="4"/>
        <v>-0.62586683507182472</v>
      </c>
      <c r="H13">
        <f t="shared" ca="1" si="3"/>
        <v>2.7243113087120516</v>
      </c>
      <c r="J13" s="2" t="s">
        <v>25</v>
      </c>
      <c r="K13" s="10">
        <f ca="1">SUM($H5:$H1763)</f>
        <v>4079.6303416398018</v>
      </c>
    </row>
    <row r="14" spans="1:13" ht="30" x14ac:dyDescent="0.25">
      <c r="A14" s="5">
        <v>40199</v>
      </c>
      <c r="B14">
        <v>290.40198709999999</v>
      </c>
      <c r="C14" s="6">
        <v>-4.4278365959138175E-3</v>
      </c>
      <c r="D14" s="6">
        <f t="shared" ca="1" si="1"/>
        <v>-4.4712716988347737E-3</v>
      </c>
      <c r="E14" s="6">
        <f t="shared" ca="1" si="2"/>
        <v>-4.3435102920956134E-5</v>
      </c>
      <c r="F14">
        <f t="shared" ca="1" si="0"/>
        <v>1.2188710878482714E-2</v>
      </c>
      <c r="G14">
        <f t="shared" ca="1" si="4"/>
        <v>0.11879169496955909</v>
      </c>
      <c r="H14">
        <f t="shared" ca="1" si="3"/>
        <v>2.8189860810698244</v>
      </c>
      <c r="J14" s="2" t="s">
        <v>26</v>
      </c>
      <c r="K14" s="10">
        <f ca="1">_xlfn.STDEV.S(G:G)</f>
        <v>0.97387263303027927</v>
      </c>
    </row>
    <row r="15" spans="1:13" x14ac:dyDescent="0.25">
      <c r="A15" s="1">
        <v>40200</v>
      </c>
      <c r="B15">
        <v>273.97852769999997</v>
      </c>
      <c r="C15" s="6">
        <v>5.6554225279266394E-2</v>
      </c>
      <c r="D15" s="6">
        <f t="shared" ca="1" si="1"/>
        <v>9.8058668462608009E-4</v>
      </c>
      <c r="E15" s="6">
        <f t="shared" ca="1" si="2"/>
        <v>-5.5573638594640318E-2</v>
      </c>
      <c r="F15">
        <f t="shared" ca="1" si="0"/>
        <v>7.6157477314045948E-3</v>
      </c>
      <c r="G15">
        <f t="shared" ca="1" si="4"/>
        <v>-0.59712784526386953</v>
      </c>
      <c r="H15">
        <f t="shared" ca="1" si="3"/>
        <v>0.11222342023084934</v>
      </c>
    </row>
    <row r="16" spans="1:13" x14ac:dyDescent="0.25">
      <c r="A16" s="5">
        <v>40203</v>
      </c>
      <c r="B16">
        <v>268.99222159999999</v>
      </c>
      <c r="C16" s="6">
        <v>1.8199623678027303E-2</v>
      </c>
      <c r="D16" s="6">
        <f t="shared" ca="1" si="1"/>
        <v>-1.3421857131719664E-2</v>
      </c>
      <c r="E16" s="6">
        <f t="shared" ca="1" si="2"/>
        <v>-3.1621480809746964E-2</v>
      </c>
      <c r="F16">
        <f t="shared" ca="1" si="0"/>
        <v>1.1746894040632259E-2</v>
      </c>
      <c r="G16">
        <f t="shared" ca="1" si="4"/>
        <v>-0.97283589445562313</v>
      </c>
      <c r="H16">
        <f t="shared" ca="1" si="3"/>
        <v>1.9472242751738083</v>
      </c>
    </row>
    <row r="17" spans="1:8" x14ac:dyDescent="0.25">
      <c r="A17" s="1">
        <v>40204</v>
      </c>
      <c r="B17">
        <v>270.19769819999999</v>
      </c>
      <c r="C17" s="6">
        <v>-4.481455236250583E-3</v>
      </c>
      <c r="D17" s="6">
        <f t="shared" ca="1" si="1"/>
        <v>4.3580704646119316E-2</v>
      </c>
      <c r="E17" s="6">
        <f t="shared" ca="1" si="2"/>
        <v>4.8062159882369899E-2</v>
      </c>
      <c r="F17">
        <f t="shared" ca="1" si="0"/>
        <v>1.7051004285139799E-2</v>
      </c>
      <c r="G17">
        <f t="shared" ca="1" si="4"/>
        <v>1.06149207473005</v>
      </c>
      <c r="H17">
        <f t="shared" ca="1" si="3"/>
        <v>0.76425427519263356</v>
      </c>
    </row>
    <row r="18" spans="1:8" x14ac:dyDescent="0.25">
      <c r="A18" s="5">
        <v>40205</v>
      </c>
      <c r="B18">
        <v>270.0383046</v>
      </c>
      <c r="C18" s="6">
        <v>5.8991472193077013E-4</v>
      </c>
      <c r="D18" s="6">
        <f t="shared" ca="1" si="1"/>
        <v>3.5827781839543445E-2</v>
      </c>
      <c r="E18" s="6">
        <f t="shared" ca="1" si="2"/>
        <v>3.5237867117612676E-2</v>
      </c>
      <c r="F18">
        <f t="shared" ca="1" si="0"/>
        <v>1.8589779874134377E-2</v>
      </c>
      <c r="G18">
        <f t="shared" ca="1" si="4"/>
        <v>1.4861870189907638</v>
      </c>
      <c r="H18">
        <f t="shared" ca="1" si="3"/>
        <v>1.7113042965768757</v>
      </c>
    </row>
    <row r="19" spans="1:8" x14ac:dyDescent="0.25">
      <c r="A19" s="1">
        <v>40206</v>
      </c>
      <c r="B19">
        <v>266.14785649999999</v>
      </c>
      <c r="C19" s="6">
        <v>1.4407023128673629E-2</v>
      </c>
      <c r="D19" s="6">
        <f t="shared" ca="1" si="1"/>
        <v>-1.8704604547317875E-2</v>
      </c>
      <c r="E19" s="6">
        <f t="shared" ca="1" si="2"/>
        <v>-3.3111627675991503E-2</v>
      </c>
      <c r="F19">
        <f t="shared" ca="1" si="0"/>
        <v>2.489864534249905E-2</v>
      </c>
      <c r="G19">
        <f t="shared" ca="1" si="4"/>
        <v>-0.67013539879755446</v>
      </c>
      <c r="H19">
        <f t="shared" ca="1" si="3"/>
        <v>1.8626007342644006</v>
      </c>
    </row>
    <row r="20" spans="1:8" x14ac:dyDescent="0.25">
      <c r="A20" s="5">
        <v>40207</v>
      </c>
      <c r="B20">
        <v>263.98098249999998</v>
      </c>
      <c r="C20" s="6">
        <v>8.1416173269086879E-3</v>
      </c>
      <c r="D20" s="6">
        <f t="shared" ca="1" si="1"/>
        <v>5.7516340827935995E-3</v>
      </c>
      <c r="E20" s="6">
        <f t="shared" ca="1" si="2"/>
        <v>-2.3899832441150884E-3</v>
      </c>
      <c r="F20">
        <f t="shared" ca="1" si="0"/>
        <v>1.4028548475594938E-2</v>
      </c>
      <c r="G20">
        <f t="shared" ca="1" si="4"/>
        <v>0.39103158981916397</v>
      </c>
      <c r="H20">
        <f t="shared" ca="1" si="3"/>
        <v>2.8147382334829052</v>
      </c>
    </row>
    <row r="21" spans="1:8" x14ac:dyDescent="0.25">
      <c r="A21" s="1">
        <v>40210</v>
      </c>
      <c r="B21">
        <v>265.5152258</v>
      </c>
      <c r="C21" s="6">
        <v>-5.8119463207923104E-3</v>
      </c>
      <c r="D21" s="6">
        <f t="shared" ca="1" si="1"/>
        <v>1.4160522111041525E-3</v>
      </c>
      <c r="E21" s="6">
        <f t="shared" ca="1" si="2"/>
        <v>7.2279985318964629E-3</v>
      </c>
      <c r="F21">
        <f t="shared" ca="1" si="0"/>
        <v>9.7881406012222723E-3</v>
      </c>
      <c r="G21">
        <f t="shared" ca="1" si="4"/>
        <v>-0.5185118061215539</v>
      </c>
      <c r="H21">
        <f t="shared" ca="1" si="3"/>
        <v>2.7704313738878974</v>
      </c>
    </row>
    <row r="22" spans="1:8" x14ac:dyDescent="0.25">
      <c r="A22" s="5">
        <v>40211</v>
      </c>
      <c r="B22">
        <v>264.56878280000001</v>
      </c>
      <c r="C22" s="6">
        <v>3.5645526434438771E-3</v>
      </c>
      <c r="D22" s="6">
        <f t="shared" ca="1" si="1"/>
        <v>-3.128325575860169E-3</v>
      </c>
      <c r="E22" s="6">
        <f t="shared" ca="1" si="2"/>
        <v>-6.6928782193040465E-3</v>
      </c>
      <c r="F22">
        <f t="shared" ca="1" si="0"/>
        <v>1.0882544115549541E-2</v>
      </c>
      <c r="G22">
        <f t="shared" ca="1" si="4"/>
        <v>-0.62453148949025228</v>
      </c>
      <c r="H22">
        <f t="shared" ca="1" si="3"/>
        <v>2.7816994009252376</v>
      </c>
    </row>
    <row r="23" spans="1:8" x14ac:dyDescent="0.25">
      <c r="A23" s="1">
        <v>40212</v>
      </c>
      <c r="B23">
        <v>269.40066969999998</v>
      </c>
      <c r="C23" s="6">
        <v>-1.8263254072770265E-2</v>
      </c>
      <c r="D23" s="6">
        <f t="shared" ca="1" si="1"/>
        <v>-1.1535619455007844E-2</v>
      </c>
      <c r="E23" s="6">
        <f t="shared" ca="1" si="2"/>
        <v>6.7276346177624208E-3</v>
      </c>
      <c r="F23">
        <f t="shared" ca="1" si="0"/>
        <v>1.2255792157688803E-2</v>
      </c>
      <c r="G23">
        <f t="shared" ca="1" si="4"/>
        <v>-0.72757971533255206</v>
      </c>
      <c r="H23">
        <f t="shared" ca="1" si="3"/>
        <v>2.7767623883186285</v>
      </c>
    </row>
    <row r="24" spans="1:8" x14ac:dyDescent="0.25">
      <c r="A24" s="5">
        <v>40213</v>
      </c>
      <c r="B24">
        <v>262.40688310000002</v>
      </c>
      <c r="C24" s="6">
        <v>2.596053902831098E-2</v>
      </c>
      <c r="D24" s="6">
        <f t="shared" ca="1" si="1"/>
        <v>-7.8865149096703376E-4</v>
      </c>
      <c r="E24" s="6">
        <f t="shared" ca="1" si="2"/>
        <v>-2.6749190519278012E-2</v>
      </c>
      <c r="F24">
        <f t="shared" ca="1" si="0"/>
        <v>1.3678563808866881E-2</v>
      </c>
      <c r="G24">
        <f t="shared" ca="1" si="4"/>
        <v>-0.17504639367804584</v>
      </c>
      <c r="H24">
        <f t="shared" ca="1" si="3"/>
        <v>2.1965587467548593</v>
      </c>
    </row>
    <row r="25" spans="1:8" x14ac:dyDescent="0.25">
      <c r="A25" s="1">
        <v>40214</v>
      </c>
      <c r="B25">
        <v>264.65346879999998</v>
      </c>
      <c r="C25" s="6">
        <v>-8.5614587295098615E-3</v>
      </c>
      <c r="D25" s="6">
        <f t="shared" ca="1" si="1"/>
        <v>-5.1650939913711908E-3</v>
      </c>
      <c r="E25" s="6">
        <f t="shared" ca="1" si="2"/>
        <v>3.3963647381386707E-3</v>
      </c>
      <c r="F25">
        <f t="shared" ca="1" si="0"/>
        <v>8.0363366511807827E-3</v>
      </c>
      <c r="G25">
        <f t="shared" ca="1" si="4"/>
        <v>0.38115776796597378</v>
      </c>
      <c r="H25">
        <f t="shared" ca="1" si="3"/>
        <v>2.8076481396639434</v>
      </c>
    </row>
    <row r="26" spans="1:8" x14ac:dyDescent="0.25">
      <c r="A26" s="5">
        <v>40217</v>
      </c>
      <c r="B26">
        <v>265.73940850000002</v>
      </c>
      <c r="C26" s="6">
        <v>-4.1032513381515142E-3</v>
      </c>
      <c r="D26" s="6">
        <f t="shared" ca="1" si="1"/>
        <v>8.2726671917406798E-3</v>
      </c>
      <c r="E26" s="6">
        <f t="shared" ca="1" si="2"/>
        <v>1.2375918529892194E-2</v>
      </c>
      <c r="F26">
        <f t="shared" ca="1" si="0"/>
        <v>9.2472406263204021E-3</v>
      </c>
      <c r="G26">
        <f t="shared" ca="1" si="4"/>
        <v>-0.37026091335712863</v>
      </c>
      <c r="H26">
        <f t="shared" ca="1" si="3"/>
        <v>2.6796357626621146</v>
      </c>
    </row>
    <row r="27" spans="1:8" x14ac:dyDescent="0.25">
      <c r="A27" s="1">
        <v>40218</v>
      </c>
      <c r="B27">
        <v>267.2188726</v>
      </c>
      <c r="C27" s="6">
        <v>-5.5673492627645879E-3</v>
      </c>
      <c r="D27" s="6">
        <f t="shared" ca="1" si="1"/>
        <v>-1.2484023479437625E-2</v>
      </c>
      <c r="E27" s="6">
        <f t="shared" ca="1" si="2"/>
        <v>-6.9166742166730374E-3</v>
      </c>
      <c r="F27">
        <f t="shared" ca="1" si="0"/>
        <v>9.2081023952548489E-3</v>
      </c>
      <c r="G27">
        <f t="shared" ca="1" si="4"/>
        <v>-0.93684135347362496</v>
      </c>
      <c r="H27">
        <f t="shared" ca="1" si="3"/>
        <v>2.7790870276109878</v>
      </c>
    </row>
    <row r="28" spans="1:8" x14ac:dyDescent="0.25">
      <c r="A28" s="5">
        <v>40219</v>
      </c>
      <c r="B28">
        <v>266.22756820000001</v>
      </c>
      <c r="C28" s="6">
        <v>3.7097095364363496E-3</v>
      </c>
      <c r="D28" s="6">
        <f t="shared" ca="1" si="1"/>
        <v>-4.4823076520719403E-3</v>
      </c>
      <c r="E28" s="6">
        <f t="shared" ca="1" si="2"/>
        <v>-8.1920171885082899E-3</v>
      </c>
      <c r="F28">
        <f t="shared" ca="1" si="0"/>
        <v>1.6436326731069623E-2</v>
      </c>
      <c r="G28">
        <f t="shared" ca="1" si="4"/>
        <v>-0.16022237270079615</v>
      </c>
      <c r="H28">
        <f t="shared" ca="1" si="3"/>
        <v>2.7625126987416175</v>
      </c>
    </row>
    <row r="29" spans="1:8" x14ac:dyDescent="0.25">
      <c r="A29" s="1">
        <v>40220</v>
      </c>
      <c r="B29">
        <v>267.19894429999999</v>
      </c>
      <c r="C29" s="6">
        <v>-3.6486683425296235E-3</v>
      </c>
      <c r="D29" s="6">
        <f t="shared" ca="1" si="1"/>
        <v>-9.7737784565961241E-4</v>
      </c>
      <c r="E29" s="6">
        <f t="shared" ca="1" si="2"/>
        <v>2.6712904968700111E-3</v>
      </c>
      <c r="F29">
        <f t="shared" ca="1" si="0"/>
        <v>8.2829218471432067E-3</v>
      </c>
      <c r="G29">
        <f t="shared" ca="1" si="4"/>
        <v>0.18483435792254355</v>
      </c>
      <c r="H29">
        <f t="shared" ca="1" si="3"/>
        <v>2.8117751219653258</v>
      </c>
    </row>
    <row r="30" spans="1:8" x14ac:dyDescent="0.25">
      <c r="A30" s="5">
        <v>40221</v>
      </c>
      <c r="B30">
        <v>265.56506100000001</v>
      </c>
      <c r="C30" s="6">
        <v>6.1148568692154801E-3</v>
      </c>
      <c r="D30" s="6">
        <f t="shared" ca="1" si="1"/>
        <v>8.4781286592519461E-3</v>
      </c>
      <c r="E30" s="6">
        <f t="shared" ca="1" si="2"/>
        <v>2.3632717900364661E-3</v>
      </c>
      <c r="F30">
        <f t="shared" ca="1" si="0"/>
        <v>7.6123331641242331E-3</v>
      </c>
      <c r="G30">
        <f t="shared" ca="1" si="4"/>
        <v>0.89417443427641263</v>
      </c>
      <c r="H30">
        <f t="shared" ca="1" si="3"/>
        <v>2.8132474879367768</v>
      </c>
    </row>
    <row r="31" spans="1:8" x14ac:dyDescent="0.25">
      <c r="A31" s="1">
        <v>40225</v>
      </c>
      <c r="B31">
        <v>269.63977490000002</v>
      </c>
      <c r="C31" s="6">
        <v>-1.5343561704451799E-2</v>
      </c>
      <c r="D31" s="6">
        <f t="shared" ca="1" si="1"/>
        <v>1.6100150280109814E-2</v>
      </c>
      <c r="E31" s="6">
        <f t="shared" ca="1" si="2"/>
        <v>3.1443711984561612E-2</v>
      </c>
      <c r="F31">
        <f t="shared" ca="1" si="0"/>
        <v>1.577628650799209E-2</v>
      </c>
      <c r="G31">
        <f t="shared" ca="1" si="4"/>
        <v>1.1247248776759611</v>
      </c>
      <c r="H31">
        <f t="shared" ca="1" si="3"/>
        <v>1.9358523245527215</v>
      </c>
    </row>
    <row r="32" spans="1:8" x14ac:dyDescent="0.25">
      <c r="A32" s="5">
        <v>40226</v>
      </c>
      <c r="B32">
        <v>268.10055729999999</v>
      </c>
      <c r="C32" s="6">
        <v>5.7084219142775625E-3</v>
      </c>
      <c r="D32" s="6">
        <f t="shared" ca="1" si="1"/>
        <v>-1.8542166033150873E-2</v>
      </c>
      <c r="E32" s="6">
        <f t="shared" ca="1" si="2"/>
        <v>-2.4250587947428435E-2</v>
      </c>
      <c r="F32">
        <f t="shared" ca="1" si="0"/>
        <v>1.9430259511121258E-2</v>
      </c>
      <c r="G32">
        <f t="shared" ca="1" si="4"/>
        <v>-1.0960740546694103</v>
      </c>
      <c r="H32">
        <f t="shared" ca="1" si="3"/>
        <v>2.308169532218002</v>
      </c>
    </row>
    <row r="33" spans="1:8" x14ac:dyDescent="0.25">
      <c r="A33" s="1">
        <v>40227</v>
      </c>
      <c r="B33">
        <v>270.59619750000002</v>
      </c>
      <c r="C33" s="6">
        <v>-9.3085975841797532E-3</v>
      </c>
      <c r="D33" s="6">
        <f t="shared" ca="1" si="1"/>
        <v>-2.3388397418333554E-2</v>
      </c>
      <c r="E33" s="6">
        <f t="shared" ca="1" si="2"/>
        <v>-1.40797998341538E-2</v>
      </c>
      <c r="F33">
        <f t="shared" ca="1" si="0"/>
        <v>1.9229300360924843E-2</v>
      </c>
      <c r="G33">
        <f t="shared" ca="1" si="4"/>
        <v>-0.85678332506697097</v>
      </c>
      <c r="H33">
        <f t="shared" ca="1" si="3"/>
        <v>2.6487765141617152</v>
      </c>
    </row>
    <row r="34" spans="1:8" x14ac:dyDescent="0.25">
      <c r="A34" s="5">
        <v>40228</v>
      </c>
      <c r="B34">
        <v>269.37079260000002</v>
      </c>
      <c r="C34" s="6">
        <v>4.5285370279454897E-3</v>
      </c>
      <c r="D34" s="6">
        <f t="shared" ca="1" si="1"/>
        <v>2.8705713716555312E-3</v>
      </c>
      <c r="E34" s="6">
        <f t="shared" ca="1" si="2"/>
        <v>-1.6579656562899585E-3</v>
      </c>
      <c r="F34">
        <f t="shared" ca="1" si="0"/>
        <v>1.5883351723888588E-2</v>
      </c>
      <c r="G34">
        <f t="shared" ca="1" si="4"/>
        <v>1.8809401308612101E-2</v>
      </c>
      <c r="H34">
        <f t="shared" ca="1" si="3"/>
        <v>2.8171063476553799</v>
      </c>
    </row>
    <row r="35" spans="1:8" x14ac:dyDescent="0.25">
      <c r="A35" s="1">
        <v>40231</v>
      </c>
      <c r="B35">
        <v>270.38699910000003</v>
      </c>
      <c r="C35" s="6">
        <v>-3.772519248250561E-3</v>
      </c>
      <c r="D35" s="6">
        <f t="shared" ca="1" si="1"/>
        <v>1.8218282387415671E-2</v>
      </c>
      <c r="E35" s="6">
        <f t="shared" ca="1" si="2"/>
        <v>2.1990801635666232E-2</v>
      </c>
      <c r="F35">
        <f t="shared" ca="1" si="0"/>
        <v>7.8188651895200623E-3</v>
      </c>
      <c r="G35">
        <f t="shared" ca="1" si="4"/>
        <v>2.8664339410424575</v>
      </c>
      <c r="H35">
        <f t="shared" ca="1" si="3"/>
        <v>2.3847927302771219</v>
      </c>
    </row>
    <row r="36" spans="1:8" x14ac:dyDescent="0.25">
      <c r="A36" s="5">
        <v>40232</v>
      </c>
      <c r="B36">
        <v>266.53640660000002</v>
      </c>
      <c r="C36" s="6">
        <v>1.4241041591559291E-2</v>
      </c>
      <c r="D36" s="6">
        <f t="shared" ca="1" si="1"/>
        <v>-4.9140352072483039E-2</v>
      </c>
      <c r="E36" s="6">
        <f t="shared" ca="1" si="2"/>
        <v>-6.3381393664042329E-2</v>
      </c>
      <c r="F36">
        <f t="shared" ca="1" si="0"/>
        <v>4.5890847648993552E-2</v>
      </c>
      <c r="G36">
        <f t="shared" ca="1" si="4"/>
        <v>-1.1152692965829281</v>
      </c>
      <c r="H36">
        <f t="shared" ca="1" si="3"/>
        <v>-0.70476990582894139</v>
      </c>
    </row>
    <row r="37" spans="1:8" x14ac:dyDescent="0.25">
      <c r="A37" s="1">
        <v>40233</v>
      </c>
      <c r="B37">
        <v>264.74312980000002</v>
      </c>
      <c r="C37" s="6">
        <v>6.7280744978723698E-3</v>
      </c>
      <c r="D37" s="6">
        <f t="shared" ca="1" si="1"/>
        <v>-1.0246529952989147E-2</v>
      </c>
      <c r="E37" s="6">
        <f t="shared" ca="1" si="2"/>
        <v>-1.6974604450861516E-2</v>
      </c>
      <c r="F37">
        <f t="shared" ca="1" si="0"/>
        <v>2.2136815903566424E-2</v>
      </c>
      <c r="G37">
        <f t="shared" ca="1" si="4"/>
        <v>-0.38610028156403708</v>
      </c>
      <c r="H37">
        <f t="shared" ca="1" si="3"/>
        <v>2.5704204867356011</v>
      </c>
    </row>
    <row r="38" spans="1:8" x14ac:dyDescent="0.25">
      <c r="A38" s="5">
        <v>40234</v>
      </c>
      <c r="B38">
        <v>262.2325361</v>
      </c>
      <c r="C38" s="6">
        <v>9.483130693123714E-3</v>
      </c>
      <c r="D38" s="6">
        <f t="shared" ca="1" si="1"/>
        <v>4.0782835317365231E-3</v>
      </c>
      <c r="E38" s="6">
        <f t="shared" ca="1" si="2"/>
        <v>-5.4048471613871909E-3</v>
      </c>
      <c r="F38">
        <f t="shared" ca="1" si="0"/>
        <v>1.0651302155837393E-2</v>
      </c>
      <c r="G38">
        <f t="shared" ca="1" si="4"/>
        <v>-0.21952504912427134</v>
      </c>
      <c r="H38">
        <f t="shared" ca="1" si="3"/>
        <v>2.7950161592791538</v>
      </c>
    </row>
    <row r="39" spans="1:8" x14ac:dyDescent="0.25">
      <c r="A39" s="1">
        <v>40235</v>
      </c>
      <c r="B39">
        <v>262.41686220000003</v>
      </c>
      <c r="C39" s="6">
        <v>-7.0291086964788404E-4</v>
      </c>
      <c r="D39" s="6">
        <f t="shared" ca="1" si="1"/>
        <v>1.890422855689565E-2</v>
      </c>
      <c r="E39" s="6">
        <f t="shared" ca="1" si="2"/>
        <v>1.9607139426543532E-2</v>
      </c>
      <c r="F39">
        <f t="shared" ca="1" si="0"/>
        <v>8.0189908900903974E-3</v>
      </c>
      <c r="G39">
        <f t="shared" ca="1" si="4"/>
        <v>1.9793876029738278</v>
      </c>
      <c r="H39">
        <f t="shared" ca="1" si="3"/>
        <v>2.4730995742000026</v>
      </c>
    </row>
    <row r="40" spans="1:8" x14ac:dyDescent="0.25">
      <c r="A40" s="5">
        <v>40238</v>
      </c>
      <c r="B40">
        <v>265.35085779999997</v>
      </c>
      <c r="C40" s="6">
        <v>-1.1180667185037112E-2</v>
      </c>
      <c r="D40" s="6">
        <f t="shared" ca="1" si="1"/>
        <v>-7.1996574924924547E-3</v>
      </c>
      <c r="E40" s="6">
        <f t="shared" ca="1" si="2"/>
        <v>3.9810096925446577E-3</v>
      </c>
      <c r="F40">
        <f t="shared" ca="1" si="0"/>
        <v>3.2093871395397072E-2</v>
      </c>
      <c r="G40">
        <f t="shared" ca="1" si="4"/>
        <v>-0.35746189370176906</v>
      </c>
      <c r="H40">
        <f t="shared" ca="1" si="3"/>
        <v>2.8036447175131936</v>
      </c>
    </row>
    <row r="41" spans="1:8" x14ac:dyDescent="0.25">
      <c r="A41" s="1">
        <v>40239</v>
      </c>
      <c r="B41">
        <v>269.52023750000001</v>
      </c>
      <c r="C41" s="6">
        <v>-1.5712704811162048E-2</v>
      </c>
      <c r="D41" s="6">
        <f t="shared" ca="1" si="1"/>
        <v>-7.4769105158147848E-3</v>
      </c>
      <c r="E41" s="6">
        <f t="shared" ca="1" si="2"/>
        <v>8.2357942953472634E-3</v>
      </c>
      <c r="F41">
        <f t="shared" ca="1" si="0"/>
        <v>1.1932026451485922E-2</v>
      </c>
      <c r="G41">
        <f t="shared" ca="1" si="4"/>
        <v>-0.60006774593614076</v>
      </c>
      <c r="H41">
        <f t="shared" ca="1" si="3"/>
        <v>2.756338613543508</v>
      </c>
    </row>
    <row r="42" spans="1:8" x14ac:dyDescent="0.25">
      <c r="A42" s="5">
        <v>40240</v>
      </c>
      <c r="B42">
        <v>271.64228100000003</v>
      </c>
      <c r="C42" s="6">
        <v>-7.8734106191191595E-3</v>
      </c>
      <c r="D42" s="6">
        <f t="shared" ca="1" si="1"/>
        <v>8.419937673936298E-3</v>
      </c>
      <c r="E42" s="6">
        <f t="shared" ca="1" si="2"/>
        <v>1.6293348293055458E-2</v>
      </c>
      <c r="F42">
        <f t="shared" ca="1" si="0"/>
        <v>1.2009289925164729E-2</v>
      </c>
      <c r="G42">
        <f t="shared" ca="1" si="4"/>
        <v>1.1206095164842693</v>
      </c>
      <c r="H42">
        <f t="shared" ca="1" si="3"/>
        <v>2.5792031894089429</v>
      </c>
    </row>
    <row r="43" spans="1:8" x14ac:dyDescent="0.25">
      <c r="A43" s="1">
        <v>40241</v>
      </c>
      <c r="B43">
        <v>276.25999519999999</v>
      </c>
      <c r="C43" s="6">
        <v>-1.699924688822638E-2</v>
      </c>
      <c r="D43" s="6">
        <f t="shared" ca="1" si="1"/>
        <v>1.6172202706104408E-2</v>
      </c>
      <c r="E43" s="6">
        <f t="shared" ca="1" si="2"/>
        <v>3.3171449594330785E-2</v>
      </c>
      <c r="F43">
        <f t="shared" ca="1" si="0"/>
        <v>1.9198484865239975E-2</v>
      </c>
      <c r="G43">
        <f t="shared" ca="1" si="4"/>
        <v>1.2111268689259436</v>
      </c>
      <c r="H43">
        <f t="shared" ca="1" si="3"/>
        <v>1.8367509602432111</v>
      </c>
    </row>
    <row r="44" spans="1:8" x14ac:dyDescent="0.25">
      <c r="A44" s="5">
        <v>40242</v>
      </c>
      <c r="B44">
        <v>281.05202600000001</v>
      </c>
      <c r="C44" s="6">
        <v>-1.7346090216684477E-2</v>
      </c>
      <c r="D44" s="6">
        <f t="shared" ca="1" si="1"/>
        <v>-1.1401117862146471E-2</v>
      </c>
      <c r="E44" s="6">
        <f t="shared" ca="1" si="2"/>
        <v>5.9449723545380063E-3</v>
      </c>
      <c r="F44">
        <f t="shared" ca="1" si="0"/>
        <v>2.0872361209350109E-2</v>
      </c>
      <c r="G44">
        <f t="shared" ca="1" si="4"/>
        <v>-0.37625915630761392</v>
      </c>
      <c r="H44">
        <f t="shared" ca="1" si="3"/>
        <v>2.785779103614046</v>
      </c>
    </row>
    <row r="45" spans="1:8" x14ac:dyDescent="0.25">
      <c r="A45" s="1">
        <v>40245</v>
      </c>
      <c r="B45">
        <v>280.19026910000002</v>
      </c>
      <c r="C45" s="6">
        <v>3.0661828426029169E-3</v>
      </c>
      <c r="D45" s="6">
        <f t="shared" ca="1" si="1"/>
        <v>-7.2417331248425332E-3</v>
      </c>
      <c r="E45" s="6">
        <f t="shared" ca="1" si="2"/>
        <v>-1.0307915967445451E-2</v>
      </c>
      <c r="F45">
        <f t="shared" ca="1" si="0"/>
        <v>1.0398176091020284E-2</v>
      </c>
      <c r="G45">
        <f t="shared" ca="1" si="4"/>
        <v>4.0168790719867453E-2</v>
      </c>
      <c r="H45">
        <f t="shared" ca="1" si="3"/>
        <v>2.7286822409037441</v>
      </c>
    </row>
    <row r="46" spans="1:8" x14ac:dyDescent="0.25">
      <c r="A46" s="5">
        <v>40246</v>
      </c>
      <c r="B46">
        <v>279.04952040000001</v>
      </c>
      <c r="C46" s="6">
        <v>4.0713358949410325E-3</v>
      </c>
      <c r="D46" s="6">
        <f t="shared" ca="1" si="1"/>
        <v>1.9195805544082699E-3</v>
      </c>
      <c r="E46" s="6">
        <f t="shared" ca="1" si="2"/>
        <v>-2.1517553405327626E-3</v>
      </c>
      <c r="F46">
        <f t="shared" ca="1" si="0"/>
        <v>7.2322284248976972E-3</v>
      </c>
      <c r="G46">
        <f t="shared" ca="1" si="4"/>
        <v>1.346048588048852</v>
      </c>
      <c r="H46">
        <f t="shared" ca="1" si="3"/>
        <v>2.8156127234139703</v>
      </c>
    </row>
    <row r="47" spans="1:8" x14ac:dyDescent="0.25">
      <c r="A47" s="1">
        <v>40247</v>
      </c>
      <c r="B47">
        <v>287.14917389999999</v>
      </c>
      <c r="C47" s="6">
        <v>-2.9025864256600916E-2</v>
      </c>
      <c r="D47" s="6">
        <f t="shared" ca="1" si="1"/>
        <v>7.678700432622549E-3</v>
      </c>
      <c r="E47" s="6">
        <f t="shared" ca="1" si="2"/>
        <v>3.6704564689223465E-2</v>
      </c>
      <c r="F47">
        <f t="shared" ca="1" si="0"/>
        <v>2.2404687892981806E-2</v>
      </c>
      <c r="G47">
        <f t="shared" ca="1" si="4"/>
        <v>0.28106364227526998</v>
      </c>
      <c r="H47">
        <f t="shared" ca="1" si="3"/>
        <v>1.6176919807392716</v>
      </c>
    </row>
    <row r="48" spans="1:8" x14ac:dyDescent="0.25">
      <c r="A48" s="5">
        <v>40248</v>
      </c>
      <c r="B48">
        <v>289.4854206</v>
      </c>
      <c r="C48" s="6">
        <v>-8.1360035561641713E-3</v>
      </c>
      <c r="D48" s="6">
        <f t="shared" ca="1" si="1"/>
        <v>-1.1691872456556186E-2</v>
      </c>
      <c r="E48" s="6">
        <f t="shared" ca="1" si="2"/>
        <v>-3.5558689003920146E-3</v>
      </c>
      <c r="F48">
        <f t="shared" ca="1" si="0"/>
        <v>9.8317290977565051E-3</v>
      </c>
      <c r="G48">
        <f t="shared" ca="1" si="4"/>
        <v>-1.3757255487093729</v>
      </c>
      <c r="H48">
        <f t="shared" ca="1" si="3"/>
        <v>2.8090138282796824</v>
      </c>
    </row>
    <row r="49" spans="1:8" x14ac:dyDescent="0.25">
      <c r="A49" s="1">
        <v>40249</v>
      </c>
      <c r="B49">
        <v>288.68842239999998</v>
      </c>
      <c r="C49" s="6">
        <v>2.7531548854796408E-3</v>
      </c>
      <c r="D49" s="6">
        <f t="shared" ca="1" si="1"/>
        <v>-2.115394368638495E-2</v>
      </c>
      <c r="E49" s="6">
        <f t="shared" ca="1" si="2"/>
        <v>-2.3907098571864592E-2</v>
      </c>
      <c r="F49">
        <f t="shared" ca="1" si="0"/>
        <v>2.2913016376368257E-2</v>
      </c>
      <c r="G49">
        <f t="shared" ca="1" si="4"/>
        <v>-0.35246363492157778</v>
      </c>
      <c r="H49">
        <f t="shared" ca="1" si="3"/>
        <v>2.3226514505501066</v>
      </c>
    </row>
    <row r="50" spans="1:8" x14ac:dyDescent="0.25">
      <c r="A50" s="5">
        <v>40252</v>
      </c>
      <c r="B50">
        <v>280.53896359999999</v>
      </c>
      <c r="C50" s="6">
        <v>2.8229253990339417E-2</v>
      </c>
      <c r="D50" s="6">
        <f t="shared" ca="1" si="1"/>
        <v>-2.8517448105824196E-3</v>
      </c>
      <c r="E50" s="6">
        <f t="shared" ca="1" si="2"/>
        <v>-3.1080998800921838E-2</v>
      </c>
      <c r="F50">
        <f t="shared" ca="1" si="0"/>
        <v>1.0461781550759278E-2</v>
      </c>
      <c r="G50">
        <f t="shared" ca="1" si="4"/>
        <v>7.7801507135989878E-2</v>
      </c>
      <c r="H50">
        <f t="shared" ca="1" si="3"/>
        <v>1.9769490171956321</v>
      </c>
    </row>
    <row r="51" spans="1:8" x14ac:dyDescent="0.25">
      <c r="A51" s="1">
        <v>40253</v>
      </c>
      <c r="B51">
        <v>281.54519099999999</v>
      </c>
      <c r="C51" s="6">
        <v>-3.5867652289280801E-3</v>
      </c>
      <c r="D51" s="6">
        <f t="shared" ca="1" si="1"/>
        <v>4.5810353416026791E-3</v>
      </c>
      <c r="E51" s="6">
        <f t="shared" ca="1" si="2"/>
        <v>8.1678005705307592E-3</v>
      </c>
      <c r="F51">
        <f t="shared" ca="1" si="0"/>
        <v>7.3144220057964173E-3</v>
      </c>
      <c r="G51">
        <f t="shared" ca="1" si="4"/>
        <v>0.45664789427329294</v>
      </c>
      <c r="H51">
        <f t="shared" ca="1" si="3"/>
        <v>2.7573458118307257</v>
      </c>
    </row>
    <row r="52" spans="1:8" x14ac:dyDescent="0.25">
      <c r="A52" s="5">
        <v>40254</v>
      </c>
      <c r="B52">
        <v>281.72451239999998</v>
      </c>
      <c r="C52" s="6">
        <v>-6.3691871050282681E-4</v>
      </c>
      <c r="D52" s="6">
        <f t="shared" ca="1" si="1"/>
        <v>1.7226172994537943E-2</v>
      </c>
      <c r="E52" s="6">
        <f t="shared" ca="1" si="2"/>
        <v>1.786309170504077E-2</v>
      </c>
      <c r="F52">
        <f t="shared" ca="1" si="0"/>
        <v>1.0032078285084048E-2</v>
      </c>
      <c r="G52">
        <f t="shared" ca="1" si="4"/>
        <v>0.44929339628757514</v>
      </c>
      <c r="H52">
        <f t="shared" ca="1" si="3"/>
        <v>2.5313578718394676</v>
      </c>
    </row>
    <row r="53" spans="1:8" x14ac:dyDescent="0.25">
      <c r="A53" s="1">
        <v>40255</v>
      </c>
      <c r="B53">
        <v>282.14294000000001</v>
      </c>
      <c r="C53" s="6">
        <v>-1.4852367528670521E-3</v>
      </c>
      <c r="D53" s="6">
        <f t="shared" ca="1" si="1"/>
        <v>-5.1345333587976038E-3</v>
      </c>
      <c r="E53" s="6">
        <f t="shared" ca="1" si="2"/>
        <v>-3.6492966059305516E-3</v>
      </c>
      <c r="F53">
        <f t="shared" ca="1" si="0"/>
        <v>1.0097773616491265E-2</v>
      </c>
      <c r="G53">
        <f t="shared" ca="1" si="4"/>
        <v>-0.34844125588876723</v>
      </c>
      <c r="H53">
        <f t="shared" ca="1" si="3"/>
        <v>2.8084512773018369</v>
      </c>
    </row>
    <row r="54" spans="1:8" x14ac:dyDescent="0.25">
      <c r="A54" s="5">
        <v>40256</v>
      </c>
      <c r="B54">
        <v>278.95488510000001</v>
      </c>
      <c r="C54" s="6">
        <v>1.1299431770293446E-2</v>
      </c>
      <c r="D54" s="6">
        <f t="shared" ca="1" si="1"/>
        <v>-1.3369805652257831E-2</v>
      </c>
      <c r="E54" s="6">
        <f t="shared" ca="1" si="2"/>
        <v>-2.4669237422551275E-2</v>
      </c>
      <c r="F54">
        <f t="shared" ca="1" si="0"/>
        <v>9.0502396251781175E-3</v>
      </c>
      <c r="G54">
        <f t="shared" ca="1" si="4"/>
        <v>-1.4455764148394608</v>
      </c>
      <c r="H54">
        <f t="shared" ca="1" si="3"/>
        <v>2.2902372019224964</v>
      </c>
    </row>
    <row r="55" spans="1:8" x14ac:dyDescent="0.25">
      <c r="A55" s="1">
        <v>40259</v>
      </c>
      <c r="B55">
        <v>277.70955190000001</v>
      </c>
      <c r="C55" s="6">
        <v>4.4642817405888997E-3</v>
      </c>
      <c r="D55" s="6">
        <f t="shared" ca="1" si="1"/>
        <v>-2.255169269598371E-3</v>
      </c>
      <c r="E55" s="6">
        <f t="shared" ca="1" si="2"/>
        <v>-6.7194510101872707E-3</v>
      </c>
      <c r="F55">
        <f t="shared" ca="1" si="0"/>
        <v>2.394594592038865E-2</v>
      </c>
      <c r="G55">
        <f t="shared" ca="1" si="4"/>
        <v>-6.623970836110929E-2</v>
      </c>
      <c r="H55">
        <f t="shared" ca="1" si="3"/>
        <v>2.7813938413200314</v>
      </c>
    </row>
    <row r="56" spans="1:8" x14ac:dyDescent="0.25">
      <c r="A56" s="5">
        <v>40260</v>
      </c>
      <c r="B56">
        <v>273.475414</v>
      </c>
      <c r="C56" s="6">
        <v>1.5246641215728407E-2</v>
      </c>
      <c r="D56" s="6">
        <f t="shared" ca="1" si="1"/>
        <v>-4.5618548346733614E-3</v>
      </c>
      <c r="E56" s="6">
        <f t="shared" ca="1" si="2"/>
        <v>-1.9808496050401768E-2</v>
      </c>
      <c r="F56">
        <f t="shared" ca="1" si="0"/>
        <v>9.0838169725213445E-3</v>
      </c>
      <c r="G56">
        <f t="shared" ca="1" si="4"/>
        <v>-1.0626552594659924</v>
      </c>
      <c r="H56">
        <f t="shared" ca="1" si="3"/>
        <v>2.4793865534734256</v>
      </c>
    </row>
    <row r="57" spans="1:8" x14ac:dyDescent="0.25">
      <c r="A57" s="1">
        <v>40261</v>
      </c>
      <c r="B57">
        <v>277.62486580000001</v>
      </c>
      <c r="C57" s="6">
        <v>-1.5173034165330886E-2</v>
      </c>
      <c r="D57" s="6">
        <f t="shared" ca="1" si="1"/>
        <v>-2.1247859719222176E-2</v>
      </c>
      <c r="E57" s="6">
        <f t="shared" ca="1" si="2"/>
        <v>-6.0748255538912894E-3</v>
      </c>
      <c r="F57">
        <f t="shared" ca="1" si="0"/>
        <v>1.8248005618522641E-2</v>
      </c>
      <c r="G57">
        <f t="shared" ca="1" si="4"/>
        <v>-1.2746338116779283</v>
      </c>
      <c r="H57">
        <f t="shared" ca="1" si="3"/>
        <v>2.7884547746055177</v>
      </c>
    </row>
    <row r="58" spans="1:8" x14ac:dyDescent="0.25">
      <c r="A58" s="5">
        <v>40262</v>
      </c>
      <c r="B58">
        <v>280.3895187</v>
      </c>
      <c r="C58" s="6">
        <v>-9.9582322787744593E-3</v>
      </c>
      <c r="D58" s="6">
        <f t="shared" ca="1" si="1"/>
        <v>-2.7686599414027145E-2</v>
      </c>
      <c r="E58" s="6">
        <f t="shared" ca="1" si="2"/>
        <v>-1.7728367135252686E-2</v>
      </c>
      <c r="F58">
        <f t="shared" ca="1" si="0"/>
        <v>2.1746720493730026E-2</v>
      </c>
      <c r="G58">
        <f t="shared" ca="1" si="4"/>
        <v>-1.5890133037856913</v>
      </c>
      <c r="H58">
        <f t="shared" ca="1" si="3"/>
        <v>2.5475908135948555</v>
      </c>
    </row>
    <row r="59" spans="1:8" x14ac:dyDescent="0.25">
      <c r="A59" s="1">
        <v>40263</v>
      </c>
      <c r="B59">
        <v>280.29488350000003</v>
      </c>
      <c r="C59" s="6">
        <v>3.3751332945232025E-4</v>
      </c>
      <c r="D59" s="6">
        <f t="shared" ca="1" si="1"/>
        <v>-6.6412173322600535E-2</v>
      </c>
      <c r="E59" s="6">
        <f t="shared" ca="1" si="2"/>
        <v>-6.6749686652052859E-2</v>
      </c>
      <c r="F59">
        <f t="shared" ca="1" si="0"/>
        <v>2.6592977822668468E-2</v>
      </c>
      <c r="G59">
        <f t="shared" ca="1" si="4"/>
        <v>-2.2402791226717245</v>
      </c>
      <c r="H59">
        <f t="shared" ca="1" si="3"/>
        <v>-1.090444102113177</v>
      </c>
    </row>
    <row r="60" spans="1:8" x14ac:dyDescent="0.25">
      <c r="A60" s="5">
        <v>40266</v>
      </c>
      <c r="B60">
        <v>280.17531559999998</v>
      </c>
      <c r="C60" s="6">
        <v>4.2657896036853475E-4</v>
      </c>
      <c r="D60" s="6">
        <f t="shared" ca="1" si="1"/>
        <v>-3.3854938025813547E-2</v>
      </c>
      <c r="E60" s="6">
        <f t="shared" ca="1" si="2"/>
        <v>-3.4281516986182078E-2</v>
      </c>
      <c r="F60">
        <f t="shared" ca="1" si="0"/>
        <v>3.6693476682937085E-2</v>
      </c>
      <c r="G60">
        <f t="shared" ca="1" si="4"/>
        <v>-0.80036550841249476</v>
      </c>
      <c r="H60">
        <f t="shared" ca="1" si="3"/>
        <v>1.7934179678970616</v>
      </c>
    </row>
    <row r="61" spans="1:8" x14ac:dyDescent="0.25">
      <c r="A61" s="1">
        <v>40267</v>
      </c>
      <c r="B61">
        <v>282.29735920000002</v>
      </c>
      <c r="C61" s="6">
        <v>-7.5739848653535013E-3</v>
      </c>
      <c r="D61" s="6">
        <f t="shared" ca="1" si="1"/>
        <v>-2.0554477524386248E-2</v>
      </c>
      <c r="E61" s="6">
        <f t="shared" ca="1" si="2"/>
        <v>-1.2980492659032747E-2</v>
      </c>
      <c r="F61">
        <f t="shared" ca="1" si="0"/>
        <v>1.7053711285980301E-2</v>
      </c>
      <c r="G61">
        <f t="shared" ca="1" si="4"/>
        <v>-1.2141963236162723</v>
      </c>
      <c r="H61">
        <f t="shared" ca="1" si="3"/>
        <v>2.6746575831028476</v>
      </c>
    </row>
    <row r="62" spans="1:8" x14ac:dyDescent="0.25">
      <c r="A62" s="5">
        <v>40268</v>
      </c>
      <c r="B62">
        <v>282.50161359999998</v>
      </c>
      <c r="C62" s="6">
        <v>-7.2354343157443168E-4</v>
      </c>
      <c r="D62" s="6">
        <f t="shared" ca="1" si="1"/>
        <v>6.4368306309259216E-2</v>
      </c>
      <c r="E62" s="6">
        <f t="shared" ca="1" si="2"/>
        <v>6.5091849740833652E-2</v>
      </c>
      <c r="F62">
        <f t="shared" ca="1" si="0"/>
        <v>2.0798722986196394E-2</v>
      </c>
      <c r="G62">
        <f t="shared" ca="1" si="4"/>
        <v>3.0855852799386603</v>
      </c>
      <c r="H62">
        <f t="shared" ca="1" si="3"/>
        <v>-0.94201483688445908</v>
      </c>
    </row>
    <row r="63" spans="1:8" x14ac:dyDescent="0.25">
      <c r="A63" s="1">
        <v>40269</v>
      </c>
      <c r="B63">
        <v>283.33846790000001</v>
      </c>
      <c r="C63" s="6">
        <v>-2.9622991859612775E-3</v>
      </c>
      <c r="D63" s="6">
        <f t="shared" ca="1" si="1"/>
        <v>-3.7119599292410266E-2</v>
      </c>
      <c r="E63" s="6">
        <f t="shared" ca="1" si="2"/>
        <v>-3.415730010644899E-2</v>
      </c>
      <c r="F63">
        <f t="shared" ca="1" si="0"/>
        <v>4.9559037818489977E-2</v>
      </c>
      <c r="G63">
        <f t="shared" ca="1" si="4"/>
        <v>-0.68013983920667709</v>
      </c>
      <c r="H63">
        <f t="shared" ca="1" si="3"/>
        <v>1.8008783036723479</v>
      </c>
    </row>
    <row r="64" spans="1:8" x14ac:dyDescent="0.25">
      <c r="A64" s="5">
        <v>40273</v>
      </c>
      <c r="B64">
        <v>284.43933060000001</v>
      </c>
      <c r="C64" s="6">
        <v>-3.8853273548035347E-3</v>
      </c>
      <c r="D64" s="6">
        <f t="shared" ca="1" si="1"/>
        <v>-3.1362873725788226E-3</v>
      </c>
      <c r="E64" s="6">
        <f t="shared" ca="1" si="2"/>
        <v>7.4903998222471211E-4</v>
      </c>
      <c r="F64">
        <f t="shared" ca="1" si="0"/>
        <v>1.7794977731843804E-2</v>
      </c>
      <c r="G64">
        <f t="shared" ca="1" si="4"/>
        <v>-0.15792325865831891</v>
      </c>
      <c r="H64">
        <f t="shared" ca="1" si="3"/>
        <v>2.8182253972334248</v>
      </c>
    </row>
    <row r="65" spans="1:8" x14ac:dyDescent="0.25">
      <c r="A65" s="1">
        <v>40274</v>
      </c>
      <c r="B65">
        <v>283.0495578</v>
      </c>
      <c r="C65" s="6">
        <v>4.8860078424049101E-3</v>
      </c>
      <c r="D65" s="6">
        <f t="shared" ca="1" si="1"/>
        <v>8.2320186300723977E-3</v>
      </c>
      <c r="E65" s="6">
        <f t="shared" ca="1" si="2"/>
        <v>3.3460107876674876E-3</v>
      </c>
      <c r="F65">
        <f t="shared" ca="1" si="0"/>
        <v>8.4483130283135241E-3</v>
      </c>
      <c r="G65">
        <f t="shared" ca="1" si="4"/>
        <v>1.1323878826439837</v>
      </c>
      <c r="H65">
        <f t="shared" ca="1" si="3"/>
        <v>2.8079647268492693</v>
      </c>
    </row>
    <row r="66" spans="1:8" x14ac:dyDescent="0.25">
      <c r="A66" s="5">
        <v>40275</v>
      </c>
      <c r="B66">
        <v>280.71828549999998</v>
      </c>
      <c r="C66" s="6">
        <v>8.2362690057522607E-3</v>
      </c>
      <c r="D66" s="6">
        <f t="shared" ca="1" si="1"/>
        <v>7.8164451822565345E-3</v>
      </c>
      <c r="E66" s="6">
        <f t="shared" ca="1" si="2"/>
        <v>-4.1982382349572619E-4</v>
      </c>
      <c r="F66">
        <f t="shared" ca="1" si="0"/>
        <v>1.9251082823013986E-2</v>
      </c>
      <c r="G66">
        <f t="shared" ca="1" si="4"/>
        <v>0.49695518874010502</v>
      </c>
      <c r="H66">
        <f t="shared" ca="1" si="3"/>
        <v>2.8189591241651408</v>
      </c>
    </row>
    <row r="67" spans="1:8" x14ac:dyDescent="0.25">
      <c r="A67" s="1">
        <v>40276</v>
      </c>
      <c r="B67">
        <v>282.68590929999999</v>
      </c>
      <c r="C67" s="6">
        <v>-7.0092469982687066E-3</v>
      </c>
      <c r="D67" s="6">
        <f t="shared" ca="1" si="1"/>
        <v>5.1433611276982876E-3</v>
      </c>
      <c r="E67" s="6">
        <f t="shared" ca="1" si="2"/>
        <v>1.2152608125966994E-2</v>
      </c>
      <c r="F67">
        <f t="shared" ca="1" si="0"/>
        <v>1.1418472743044942E-2</v>
      </c>
      <c r="G67">
        <f t="shared" ref="G67:G130" ca="1" si="5">_xlfn.NORM.INV(RAND(),0,1)</f>
        <v>0.25763517597992519</v>
      </c>
      <c r="H67">
        <f t="shared" ca="1" si="3"/>
        <v>2.6845448461252048</v>
      </c>
    </row>
    <row r="68" spans="1:8" x14ac:dyDescent="0.25">
      <c r="A68" s="5">
        <v>40277</v>
      </c>
      <c r="B68">
        <v>282.0532791</v>
      </c>
      <c r="C68" s="6">
        <v>2.2379261901187171E-3</v>
      </c>
      <c r="D68" s="6">
        <f t="shared" ca="1" si="1"/>
        <v>-5.3771034264581087E-4</v>
      </c>
      <c r="E68" s="6">
        <f t="shared" ca="1" si="2"/>
        <v>-2.775636532764528E-3</v>
      </c>
      <c r="F68">
        <f t="shared" ref="F68:F131" ca="1" si="6">SQRT($K$6+$K$7*POWER($G67,2)+$K$8*POWER($F67,2))</f>
        <v>8.3624719237263539E-3</v>
      </c>
      <c r="G68">
        <f t="shared" ca="1" si="5"/>
        <v>-0.50804384826840332</v>
      </c>
      <c r="H68">
        <f t="shared" ca="1" si="3"/>
        <v>2.8131102453909418</v>
      </c>
    </row>
    <row r="69" spans="1:8" x14ac:dyDescent="0.25">
      <c r="A69" s="1">
        <v>40280</v>
      </c>
      <c r="B69">
        <v>285.29614350000003</v>
      </c>
      <c r="C69" s="6">
        <v>-1.1497346920935089E-2</v>
      </c>
      <c r="D69" s="6">
        <f t="shared" ref="D69:D132" ca="1" si="7">($K$10*$C68)+($K$11*$C67)+($F69*$G69)</f>
        <v>1.1052874886563365E-2</v>
      </c>
      <c r="E69" s="6">
        <f t="shared" ca="1" si="2"/>
        <v>2.2550221807498452E-2</v>
      </c>
      <c r="F69">
        <f t="shared" ca="1" si="6"/>
        <v>1.0681662338576771E-2</v>
      </c>
      <c r="G69">
        <f t="shared" ca="1" si="5"/>
        <v>1.3304017833673072</v>
      </c>
      <c r="H69">
        <f t="shared" ca="1" si="3"/>
        <v>2.3626151143122658</v>
      </c>
    </row>
    <row r="70" spans="1:8" x14ac:dyDescent="0.25">
      <c r="A70" s="5">
        <v>40281</v>
      </c>
      <c r="B70">
        <v>292.28993009999999</v>
      </c>
      <c r="C70" s="6">
        <v>-2.4514129473327297E-2</v>
      </c>
      <c r="D70" s="6">
        <f t="shared" ca="1" si="7"/>
        <v>-3.6745081509669174E-2</v>
      </c>
      <c r="E70" s="6">
        <f t="shared" ref="E70:E133" ca="1" si="8">$D70-$C70</f>
        <v>-1.2230952036341877E-2</v>
      </c>
      <c r="F70">
        <f t="shared" ca="1" si="6"/>
        <v>2.2257706477794938E-2</v>
      </c>
      <c r="G70">
        <f t="shared" ca="1" si="5"/>
        <v>-1.6961857460632068</v>
      </c>
      <c r="H70">
        <f t="shared" ref="H70:H133" ca="1" si="9">LN(_xlfn.NORM.DIST($E70,AVERAGE($E$5:$E$1763),_xlfn.STDEV.S($E$5:$E$1763),FALSE))</f>
        <v>2.6910811383539919</v>
      </c>
    </row>
    <row r="71" spans="1:8" x14ac:dyDescent="0.25">
      <c r="A71" s="1">
        <v>40282</v>
      </c>
      <c r="B71">
        <v>293.4007719</v>
      </c>
      <c r="C71" s="6">
        <v>-3.8004792009767663E-3</v>
      </c>
      <c r="D71" s="6">
        <f t="shared" ca="1" si="7"/>
        <v>1.9472140735218364E-2</v>
      </c>
      <c r="E71" s="6">
        <f t="shared" ca="1" si="8"/>
        <v>2.327261993619513E-2</v>
      </c>
      <c r="F71">
        <f t="shared" ca="1" si="6"/>
        <v>2.8226928605892682E-2</v>
      </c>
      <c r="G71">
        <f t="shared" ca="1" si="5"/>
        <v>0.87337718581562729</v>
      </c>
      <c r="H71">
        <f t="shared" ca="1" si="9"/>
        <v>2.3331592459167538</v>
      </c>
    </row>
    <row r="72" spans="1:8" x14ac:dyDescent="0.25">
      <c r="A72" s="5">
        <v>40283</v>
      </c>
      <c r="B72">
        <v>296.53902140000002</v>
      </c>
      <c r="C72" s="6">
        <v>-1.0696118758234355E-2</v>
      </c>
      <c r="D72" s="6">
        <f t="shared" ca="1" si="7"/>
        <v>-2.6707345399361822E-2</v>
      </c>
      <c r="E72" s="6">
        <f t="shared" ca="1" si="8"/>
        <v>-1.6011226641127467E-2</v>
      </c>
      <c r="F72">
        <f t="shared" ca="1" si="6"/>
        <v>1.6927951923552155E-2</v>
      </c>
      <c r="G72">
        <f t="shared" ca="1" si="5"/>
        <v>-0.9252313496411475</v>
      </c>
      <c r="H72">
        <f t="shared" ca="1" si="9"/>
        <v>2.5981390484641658</v>
      </c>
    </row>
    <row r="73" spans="1:8" x14ac:dyDescent="0.25">
      <c r="A73" s="1">
        <v>40284</v>
      </c>
      <c r="B73">
        <v>274.04826029999998</v>
      </c>
      <c r="C73" s="6">
        <v>7.5844187364678614E-2</v>
      </c>
      <c r="D73" s="6">
        <f t="shared" ca="1" si="7"/>
        <v>-1.762634321009502E-2</v>
      </c>
      <c r="E73" s="6">
        <f t="shared" ca="1" si="8"/>
        <v>-9.3470530574773641E-2</v>
      </c>
      <c r="F73">
        <f t="shared" ca="1" si="6"/>
        <v>1.6659524728107739E-2</v>
      </c>
      <c r="G73">
        <f t="shared" ca="1" si="5"/>
        <v>-0.95523937998984632</v>
      </c>
      <c r="H73">
        <f t="shared" ca="1" si="9"/>
        <v>-4.8595409353047083</v>
      </c>
    </row>
    <row r="74" spans="1:8" x14ac:dyDescent="0.25">
      <c r="A74" s="5">
        <v>40287</v>
      </c>
      <c r="B74">
        <v>274.02335820000002</v>
      </c>
      <c r="C74" s="6">
        <v>9.0867571911249081E-5</v>
      </c>
      <c r="D74" s="6">
        <f t="shared" ca="1" si="7"/>
        <v>-1.6910639918969322E-2</v>
      </c>
      <c r="E74" s="6">
        <f t="shared" ca="1" si="8"/>
        <v>-1.7001507490880571E-2</v>
      </c>
      <c r="F74">
        <f t="shared" ca="1" si="6"/>
        <v>1.7061515826643756E-2</v>
      </c>
      <c r="G74">
        <f t="shared" ca="1" si="5"/>
        <v>-0.70876962156464129</v>
      </c>
      <c r="H74">
        <f t="shared" ca="1" si="9"/>
        <v>2.5696229145847131</v>
      </c>
    </row>
    <row r="75" spans="1:8" x14ac:dyDescent="0.25">
      <c r="A75" s="1">
        <v>40288</v>
      </c>
      <c r="B75">
        <v>276.48414700000001</v>
      </c>
      <c r="C75" s="6">
        <v>-8.9802154683614448E-3</v>
      </c>
      <c r="D75" s="6">
        <f t="shared" ca="1" si="7"/>
        <v>3.2869870557219183E-2</v>
      </c>
      <c r="E75" s="6">
        <f t="shared" ca="1" si="8"/>
        <v>4.185008602558063E-2</v>
      </c>
      <c r="F75">
        <f t="shared" ca="1" si="6"/>
        <v>1.3757782669314721E-2</v>
      </c>
      <c r="G75">
        <f t="shared" ca="1" si="5"/>
        <v>-9.4655848020582065E-2</v>
      </c>
      <c r="H75">
        <f t="shared" ca="1" si="9"/>
        <v>1.2592528517316923</v>
      </c>
    </row>
    <row r="76" spans="1:8" x14ac:dyDescent="0.25">
      <c r="A76" s="5">
        <v>40289</v>
      </c>
      <c r="B76">
        <v>276.11552469999998</v>
      </c>
      <c r="C76" s="6">
        <v>1.3332493164609066E-3</v>
      </c>
      <c r="D76" s="6">
        <f t="shared" ca="1" si="7"/>
        <v>-2.1096578947209225E-2</v>
      </c>
      <c r="E76" s="6">
        <f t="shared" ca="1" si="8"/>
        <v>-2.2429828263670133E-2</v>
      </c>
      <c r="F76">
        <f t="shared" ca="1" si="6"/>
        <v>7.7001592420382946E-3</v>
      </c>
      <c r="G76">
        <f t="shared" ca="1" si="5"/>
        <v>-2.745056401269574</v>
      </c>
      <c r="H76">
        <f t="shared" ca="1" si="9"/>
        <v>2.3825612492649642</v>
      </c>
    </row>
    <row r="77" spans="1:8" x14ac:dyDescent="0.25">
      <c r="A77" s="1">
        <v>40290</v>
      </c>
      <c r="B77">
        <v>272.50904270000001</v>
      </c>
      <c r="C77" s="6">
        <v>1.3061496646805429E-2</v>
      </c>
      <c r="D77" s="6">
        <f t="shared" ca="1" si="7"/>
        <v>-4.1019445575902938E-2</v>
      </c>
      <c r="E77" s="6">
        <f t="shared" ca="1" si="8"/>
        <v>-5.4080942222708366E-2</v>
      </c>
      <c r="F77">
        <f t="shared" ca="1" si="6"/>
        <v>4.3992410917695603E-2</v>
      </c>
      <c r="G77">
        <f t="shared" ca="1" si="5"/>
        <v>-0.84044880956228762</v>
      </c>
      <c r="H77">
        <f t="shared" ca="1" si="9"/>
        <v>0.25616592233569102</v>
      </c>
    </row>
    <row r="78" spans="1:8" x14ac:dyDescent="0.25">
      <c r="A78" s="5">
        <v>40291</v>
      </c>
      <c r="B78">
        <v>271.47791310000002</v>
      </c>
      <c r="C78" s="6">
        <v>3.7838362712063708E-3</v>
      </c>
      <c r="D78" s="6">
        <f t="shared" ca="1" si="7"/>
        <v>5.0112947387633252E-3</v>
      </c>
      <c r="E78" s="6">
        <f t="shared" ca="1" si="8"/>
        <v>1.2274584675569544E-3</v>
      </c>
      <c r="F78">
        <f t="shared" ca="1" si="6"/>
        <v>1.8564856870964215E-2</v>
      </c>
      <c r="G78">
        <f t="shared" ca="1" si="5"/>
        <v>0.23756574096754593</v>
      </c>
      <c r="H78">
        <f t="shared" ca="1" si="9"/>
        <v>2.8172296042382547</v>
      </c>
    </row>
    <row r="79" spans="1:8" x14ac:dyDescent="0.25">
      <c r="A79" s="1">
        <v>40294</v>
      </c>
      <c r="B79">
        <v>264.82781629999999</v>
      </c>
      <c r="C79" s="6">
        <v>2.4495903641157127E-2</v>
      </c>
      <c r="D79" s="6">
        <f t="shared" ca="1" si="7"/>
        <v>1.3781037877137661E-4</v>
      </c>
      <c r="E79" s="6">
        <f t="shared" ca="1" si="8"/>
        <v>-2.4358093262385749E-2</v>
      </c>
      <c r="F79">
        <f t="shared" ca="1" si="6"/>
        <v>9.0019688472758215E-3</v>
      </c>
      <c r="G79">
        <f t="shared" ca="1" si="5"/>
        <v>-0.63843810597683315</v>
      </c>
      <c r="H79">
        <f t="shared" ca="1" si="9"/>
        <v>2.3035941943529497</v>
      </c>
    </row>
    <row r="80" spans="1:8" x14ac:dyDescent="0.25">
      <c r="A80" s="5">
        <v>40295</v>
      </c>
      <c r="B80">
        <v>263.54262699999998</v>
      </c>
      <c r="C80" s="6">
        <v>4.8529241299340546E-3</v>
      </c>
      <c r="D80" s="6">
        <f t="shared" ca="1" si="7"/>
        <v>1.5560751767577752E-2</v>
      </c>
      <c r="E80" s="6">
        <f t="shared" ca="1" si="8"/>
        <v>1.0707827637643698E-2</v>
      </c>
      <c r="F80">
        <f t="shared" ca="1" si="6"/>
        <v>1.2338130792435521E-2</v>
      </c>
      <c r="G80">
        <f t="shared" ca="1" si="5"/>
        <v>1.122983147644852</v>
      </c>
      <c r="H80">
        <f t="shared" ca="1" si="9"/>
        <v>2.7141789762797099</v>
      </c>
    </row>
    <row r="81" spans="1:8" x14ac:dyDescent="0.25">
      <c r="A81" s="1">
        <v>40296</v>
      </c>
      <c r="B81">
        <v>263.60738579999997</v>
      </c>
      <c r="C81" s="6">
        <v>-2.4572419550175005E-4</v>
      </c>
      <c r="D81" s="6">
        <f t="shared" ca="1" si="7"/>
        <v>-2.4561542950868633E-2</v>
      </c>
      <c r="E81" s="6">
        <f t="shared" ca="1" si="8"/>
        <v>-2.4315818755366883E-2</v>
      </c>
      <c r="F81">
        <f t="shared" ca="1" si="6"/>
        <v>1.9246376015243139E-2</v>
      </c>
      <c r="G81">
        <f t="shared" ca="1" si="5"/>
        <v>-1.8496168915586755</v>
      </c>
      <c r="H81">
        <f t="shared" ca="1" si="9"/>
        <v>2.3053957961714913</v>
      </c>
    </row>
    <row r="82" spans="1:8" x14ac:dyDescent="0.25">
      <c r="A82" s="5">
        <v>40297</v>
      </c>
      <c r="B82">
        <v>265.00713769999999</v>
      </c>
      <c r="C82" s="6">
        <v>-5.3099874108307804E-3</v>
      </c>
      <c r="D82" s="6">
        <f t="shared" ca="1" si="7"/>
        <v>1.8451457219007306E-2</v>
      </c>
      <c r="E82" s="6">
        <f t="shared" ca="1" si="8"/>
        <v>2.3761444629838088E-2</v>
      </c>
      <c r="F82">
        <f t="shared" ca="1" si="6"/>
        <v>3.0414384322433638E-2</v>
      </c>
      <c r="G82">
        <f t="shared" ca="1" si="5"/>
        <v>0.53477797053480847</v>
      </c>
      <c r="H82">
        <f t="shared" ca="1" si="9"/>
        <v>2.3127048645339445</v>
      </c>
    </row>
    <row r="83" spans="1:8" x14ac:dyDescent="0.25">
      <c r="A83" s="1">
        <v>40298</v>
      </c>
      <c r="B83">
        <v>261.86888759999999</v>
      </c>
      <c r="C83" s="6">
        <v>1.1842134243012857E-2</v>
      </c>
      <c r="D83" s="6">
        <f t="shared" ca="1" si="7"/>
        <v>-6.0949971382632077E-3</v>
      </c>
      <c r="E83" s="6">
        <f t="shared" ca="1" si="8"/>
        <v>-1.7937131381276065E-2</v>
      </c>
      <c r="F83">
        <f t="shared" ca="1" si="6"/>
        <v>1.3240932418357814E-2</v>
      </c>
      <c r="G83">
        <f t="shared" ca="1" si="5"/>
        <v>-0.45194676469139594</v>
      </c>
      <c r="H83">
        <f t="shared" ca="1" si="9"/>
        <v>2.541090515344663</v>
      </c>
    </row>
    <row r="84" spans="1:8" x14ac:dyDescent="0.25">
      <c r="A84" s="5">
        <v>40301</v>
      </c>
      <c r="B84">
        <v>264.3097487</v>
      </c>
      <c r="C84" s="6">
        <v>-9.3209282033090458E-3</v>
      </c>
      <c r="D84" s="6">
        <f t="shared" ca="1" si="7"/>
        <v>-1.0954171539249326E-2</v>
      </c>
      <c r="E84" s="6">
        <f t="shared" ca="1" si="8"/>
        <v>-1.6332433359402803E-3</v>
      </c>
      <c r="F84">
        <f t="shared" ca="1" si="6"/>
        <v>1.0358625693275249E-2</v>
      </c>
      <c r="G84">
        <f t="shared" ca="1" si="5"/>
        <v>-0.82654939843692843</v>
      </c>
      <c r="H84">
        <f t="shared" ca="1" si="9"/>
        <v>2.8171698157890739</v>
      </c>
    </row>
    <row r="85" spans="1:8" x14ac:dyDescent="0.25">
      <c r="A85" s="1">
        <v>40302</v>
      </c>
      <c r="B85">
        <v>252.2399801</v>
      </c>
      <c r="C85" s="6">
        <v>4.5665241858708648E-2</v>
      </c>
      <c r="D85" s="6">
        <f t="shared" ca="1" si="7"/>
        <v>1.8860017508816471E-2</v>
      </c>
      <c r="E85" s="6">
        <f t="shared" ca="1" si="8"/>
        <v>-2.6805224349892177E-2</v>
      </c>
      <c r="F85">
        <f t="shared" ca="1" si="6"/>
        <v>1.492948102635616E-2</v>
      </c>
      <c r="G85">
        <f t="shared" ca="1" si="5"/>
        <v>0.90589995086459463</v>
      </c>
      <c r="H85">
        <f t="shared" ca="1" si="9"/>
        <v>2.1939294316242668</v>
      </c>
    </row>
    <row r="86" spans="1:8" x14ac:dyDescent="0.25">
      <c r="A86" s="5">
        <v>40303</v>
      </c>
      <c r="B86">
        <v>253.92864259999999</v>
      </c>
      <c r="C86" s="6">
        <v>-6.6946663226445146E-3</v>
      </c>
      <c r="D86" s="6">
        <f t="shared" ca="1" si="7"/>
        <v>8.8263807155324198E-3</v>
      </c>
      <c r="E86" s="6">
        <f t="shared" ca="1" si="8"/>
        <v>1.5521047038176933E-2</v>
      </c>
      <c r="F86">
        <f t="shared" ca="1" si="6"/>
        <v>1.6267721800407836E-2</v>
      </c>
      <c r="G86">
        <f t="shared" ca="1" si="5"/>
        <v>0.80067966782594724</v>
      </c>
      <c r="H86">
        <f t="shared" ca="1" si="9"/>
        <v>2.6011464994605249</v>
      </c>
    </row>
    <row r="87" spans="1:8" x14ac:dyDescent="0.25">
      <c r="A87" s="1">
        <v>40304</v>
      </c>
      <c r="B87">
        <v>248.40434149999999</v>
      </c>
      <c r="C87" s="6">
        <v>2.1755328754708991E-2</v>
      </c>
      <c r="D87" s="6">
        <f t="shared" ca="1" si="7"/>
        <v>2.1949606983374954E-2</v>
      </c>
      <c r="E87" s="6">
        <f t="shared" ca="1" si="8"/>
        <v>1.9427822866596375E-4</v>
      </c>
      <c r="F87">
        <f t="shared" ca="1" si="6"/>
        <v>1.4910777386602764E-2</v>
      </c>
      <c r="G87">
        <f t="shared" ca="1" si="5"/>
        <v>9.2210275369121297E-2</v>
      </c>
      <c r="H87">
        <f t="shared" ca="1" si="9"/>
        <v>2.8188742808527261</v>
      </c>
    </row>
    <row r="88" spans="1:8" x14ac:dyDescent="0.25">
      <c r="A88" s="5">
        <v>40305</v>
      </c>
      <c r="B88">
        <v>245.64966720000001</v>
      </c>
      <c r="C88" s="6">
        <v>1.1089477274695605E-2</v>
      </c>
      <c r="D88" s="6">
        <f t="shared" ca="1" si="7"/>
        <v>-1.3861387982644134E-2</v>
      </c>
      <c r="E88" s="6">
        <f t="shared" ca="1" si="8"/>
        <v>-2.4950865257339739E-2</v>
      </c>
      <c r="F88">
        <f t="shared" ca="1" si="6"/>
        <v>7.8278292095845785E-3</v>
      </c>
      <c r="G88">
        <f t="shared" ca="1" si="5"/>
        <v>-1.3854951729948293</v>
      </c>
      <c r="H88">
        <f t="shared" ca="1" si="9"/>
        <v>2.2779999820721377</v>
      </c>
    </row>
    <row r="89" spans="1:8" x14ac:dyDescent="0.25">
      <c r="A89" s="1">
        <v>40308</v>
      </c>
      <c r="B89">
        <v>259.85145890000001</v>
      </c>
      <c r="C89" s="6">
        <v>-5.7813193324774026E-2</v>
      </c>
      <c r="D89" s="6">
        <f t="shared" ca="1" si="7"/>
        <v>-2.3787865897170253E-2</v>
      </c>
      <c r="E89" s="6">
        <f t="shared" ca="1" si="8"/>
        <v>3.4025327427603773E-2</v>
      </c>
      <c r="F89">
        <f t="shared" ca="1" si="6"/>
        <v>2.3011195194857937E-2</v>
      </c>
      <c r="G89">
        <f t="shared" ca="1" si="5"/>
        <v>-1.4597270160880602</v>
      </c>
      <c r="H89">
        <f t="shared" ca="1" si="9"/>
        <v>1.7858280170985346</v>
      </c>
    </row>
    <row r="90" spans="1:8" x14ac:dyDescent="0.25">
      <c r="A90" s="5">
        <v>40309</v>
      </c>
      <c r="B90">
        <v>253.57497369999999</v>
      </c>
      <c r="C90" s="6">
        <v>2.4154127233187623E-2</v>
      </c>
      <c r="D90" s="6">
        <f t="shared" ca="1" si="7"/>
        <v>-4.5027926325972249E-3</v>
      </c>
      <c r="E90" s="6">
        <f t="shared" ca="1" si="8"/>
        <v>-2.865691986578485E-2</v>
      </c>
      <c r="F90">
        <f t="shared" ca="1" si="6"/>
        <v>2.474056624643289E-2</v>
      </c>
      <c r="G90">
        <f t="shared" ca="1" si="5"/>
        <v>-0.38391510510114135</v>
      </c>
      <c r="H90">
        <f t="shared" ca="1" si="9"/>
        <v>2.1039236069594427</v>
      </c>
    </row>
    <row r="91" spans="1:8" x14ac:dyDescent="0.25">
      <c r="A91" s="1">
        <v>40310</v>
      </c>
      <c r="B91">
        <v>251.7518049</v>
      </c>
      <c r="C91" s="6">
        <v>7.1898609448618105E-3</v>
      </c>
      <c r="D91" s="6">
        <f t="shared" ca="1" si="7"/>
        <v>-1.8304246503302014E-2</v>
      </c>
      <c r="E91" s="6">
        <f t="shared" ca="1" si="8"/>
        <v>-2.5494107448163824E-2</v>
      </c>
      <c r="F91">
        <f t="shared" ca="1" si="6"/>
        <v>1.0989623892886383E-2</v>
      </c>
      <c r="G91">
        <f t="shared" ca="1" si="5"/>
        <v>0.7046181465308291</v>
      </c>
      <c r="H91">
        <f t="shared" ca="1" si="9"/>
        <v>2.2539997181478344</v>
      </c>
    </row>
    <row r="92" spans="1:8" x14ac:dyDescent="0.25">
      <c r="A92" s="5">
        <v>40311</v>
      </c>
      <c r="B92">
        <v>254.48656639999999</v>
      </c>
      <c r="C92" s="6">
        <v>-1.0862927084420639E-2</v>
      </c>
      <c r="D92" s="6">
        <f t="shared" ca="1" si="7"/>
        <v>-1.3376029319388917E-2</v>
      </c>
      <c r="E92" s="6">
        <f t="shared" ca="1" si="8"/>
        <v>-2.5131022349682789E-3</v>
      </c>
      <c r="F92">
        <f t="shared" ca="1" si="6"/>
        <v>1.3304242612643586E-2</v>
      </c>
      <c r="G92">
        <f t="shared" ca="1" si="5"/>
        <v>-1.8234001124969585</v>
      </c>
      <c r="H92">
        <f t="shared" ca="1" si="9"/>
        <v>2.8142470262414045</v>
      </c>
    </row>
    <row r="93" spans="1:8" x14ac:dyDescent="0.25">
      <c r="A93" s="1">
        <v>40312</v>
      </c>
      <c r="B93">
        <v>252.8178163</v>
      </c>
      <c r="C93" s="6">
        <v>6.5573209761377125E-3</v>
      </c>
      <c r="D93" s="6">
        <f t="shared" ca="1" si="7"/>
        <v>-1.2336013300631436E-2</v>
      </c>
      <c r="E93" s="6">
        <f t="shared" ca="1" si="8"/>
        <v>-1.8893334276769147E-2</v>
      </c>
      <c r="F93">
        <f t="shared" ca="1" si="6"/>
        <v>2.9810347139946167E-2</v>
      </c>
      <c r="G93">
        <f t="shared" ca="1" si="5"/>
        <v>-0.52247882798787881</v>
      </c>
      <c r="H93">
        <f t="shared" ca="1" si="9"/>
        <v>2.5103341602139593</v>
      </c>
    </row>
    <row r="94" spans="1:8" x14ac:dyDescent="0.25">
      <c r="A94" s="5">
        <v>40315</v>
      </c>
      <c r="B94">
        <v>253.03699370000001</v>
      </c>
      <c r="C94" s="6">
        <v>-8.6693811064298245E-4</v>
      </c>
      <c r="D94" s="6">
        <f t="shared" ca="1" si="7"/>
        <v>-1.2845722979283145E-2</v>
      </c>
      <c r="E94" s="6">
        <f t="shared" ca="1" si="8"/>
        <v>-1.1978784868640163E-2</v>
      </c>
      <c r="F94">
        <f t="shared" ca="1" si="6"/>
        <v>1.3029164060210303E-2</v>
      </c>
      <c r="G94">
        <f t="shared" ca="1" si="5"/>
        <v>-0.61028201138540683</v>
      </c>
      <c r="H94">
        <f t="shared" ca="1" si="9"/>
        <v>2.6963835843710062</v>
      </c>
    </row>
    <row r="95" spans="1:8" x14ac:dyDescent="0.25">
      <c r="A95" s="1">
        <v>40316</v>
      </c>
      <c r="B95">
        <v>248.25491160000001</v>
      </c>
      <c r="C95" s="6">
        <v>1.8898746898920325E-2</v>
      </c>
      <c r="D95" s="6">
        <f t="shared" ca="1" si="7"/>
        <v>-1.2114087748923813E-2</v>
      </c>
      <c r="E95" s="6">
        <f t="shared" ca="1" si="8"/>
        <v>-3.1012834647844136E-2</v>
      </c>
      <c r="F95">
        <f t="shared" ca="1" si="6"/>
        <v>1.2208826064506332E-2</v>
      </c>
      <c r="G95">
        <f t="shared" ca="1" si="5"/>
        <v>-1.2342316687356794</v>
      </c>
      <c r="H95">
        <f t="shared" ca="1" si="9"/>
        <v>1.9806612102225611</v>
      </c>
    </row>
    <row r="96" spans="1:8" x14ac:dyDescent="0.25">
      <c r="A96" s="5">
        <v>40317</v>
      </c>
      <c r="B96">
        <v>246.29226209999999</v>
      </c>
      <c r="C96" s="6">
        <v>7.9057831619554798E-3</v>
      </c>
      <c r="D96" s="6">
        <f t="shared" ca="1" si="7"/>
        <v>3.9499659057245222E-2</v>
      </c>
      <c r="E96" s="6">
        <f t="shared" ca="1" si="8"/>
        <v>3.1593875895289739E-2</v>
      </c>
      <c r="F96">
        <f t="shared" ca="1" si="6"/>
        <v>2.0877609850177073E-2</v>
      </c>
      <c r="G96">
        <f t="shared" ca="1" si="5"/>
        <v>1.9106570007081993</v>
      </c>
      <c r="H96">
        <f t="shared" ca="1" si="9"/>
        <v>1.9274481230378679</v>
      </c>
    </row>
    <row r="97" spans="1:8" x14ac:dyDescent="0.25">
      <c r="A97" s="1">
        <v>40318</v>
      </c>
      <c r="B97">
        <v>236.61850870000001</v>
      </c>
      <c r="C97" s="6">
        <v>3.9277536847959225E-2</v>
      </c>
      <c r="D97" s="6">
        <f t="shared" ca="1" si="7"/>
        <v>3.8069099930887779E-2</v>
      </c>
      <c r="E97" s="6">
        <f t="shared" ca="1" si="8"/>
        <v>-1.2084369170714468E-3</v>
      </c>
      <c r="F97">
        <f t="shared" ca="1" si="6"/>
        <v>3.1410997384265262E-2</v>
      </c>
      <c r="G97">
        <f t="shared" ca="1" si="5"/>
        <v>0.94088091375660343</v>
      </c>
      <c r="H97">
        <f t="shared" ca="1" si="9"/>
        <v>2.8180918743920547</v>
      </c>
    </row>
    <row r="98" spans="1:8" x14ac:dyDescent="0.25">
      <c r="A98" s="5">
        <v>40319</v>
      </c>
      <c r="B98">
        <v>235.14403390000001</v>
      </c>
      <c r="C98" s="6">
        <v>6.2314432125401857E-3</v>
      </c>
      <c r="D98" s="6">
        <f t="shared" ca="1" si="7"/>
        <v>2.0921261961444258E-2</v>
      </c>
      <c r="E98" s="6">
        <f t="shared" ca="1" si="8"/>
        <v>1.4689818748904071E-2</v>
      </c>
      <c r="F98">
        <f t="shared" ca="1" si="6"/>
        <v>1.8145596269882453E-2</v>
      </c>
      <c r="G98">
        <f t="shared" ca="1" si="5"/>
        <v>0.95662918315311907</v>
      </c>
      <c r="H98">
        <f t="shared" ca="1" si="9"/>
        <v>2.6235878348471333</v>
      </c>
    </row>
    <row r="99" spans="1:8" x14ac:dyDescent="0.25">
      <c r="A99" s="1">
        <v>40322</v>
      </c>
      <c r="B99">
        <v>237.6894944</v>
      </c>
      <c r="C99" s="6">
        <v>-1.0825111986819539E-2</v>
      </c>
      <c r="D99" s="6">
        <f t="shared" ca="1" si="7"/>
        <v>-3.9808981302812928E-3</v>
      </c>
      <c r="E99" s="6">
        <f t="shared" ca="1" si="8"/>
        <v>6.8442138565382466E-3</v>
      </c>
      <c r="F99">
        <f t="shared" ca="1" si="6"/>
        <v>1.7176776926421208E-2</v>
      </c>
      <c r="G99">
        <f t="shared" ca="1" si="5"/>
        <v>-1.2620392882210751</v>
      </c>
      <c r="H99">
        <f t="shared" ca="1" si="9"/>
        <v>2.7753268157178894</v>
      </c>
    </row>
    <row r="100" spans="1:8" x14ac:dyDescent="0.25">
      <c r="A100" s="5">
        <v>40323</v>
      </c>
      <c r="B100">
        <v>237.64466400000001</v>
      </c>
      <c r="C100" s="6">
        <v>1.8860909319177318E-4</v>
      </c>
      <c r="D100" s="6">
        <f t="shared" ca="1" si="7"/>
        <v>8.7280684522616121E-3</v>
      </c>
      <c r="E100" s="6">
        <f t="shared" ca="1" si="8"/>
        <v>8.5394593590698391E-3</v>
      </c>
      <c r="F100">
        <f t="shared" ca="1" si="6"/>
        <v>2.150614082163467E-2</v>
      </c>
      <c r="G100">
        <f t="shared" ca="1" si="5"/>
        <v>0.27529939865707892</v>
      </c>
      <c r="H100">
        <f t="shared" ca="1" si="9"/>
        <v>2.7517407936698306</v>
      </c>
    </row>
    <row r="101" spans="1:8" x14ac:dyDescent="0.25">
      <c r="A101" s="1">
        <v>40324</v>
      </c>
      <c r="B101">
        <v>236.84765039999999</v>
      </c>
      <c r="C101" s="6">
        <v>3.3538038960555573E-3</v>
      </c>
      <c r="D101" s="6">
        <f t="shared" ca="1" si="7"/>
        <v>-7.5238228944571675E-3</v>
      </c>
      <c r="E101" s="6">
        <f t="shared" ca="1" si="8"/>
        <v>-1.0877626790512724E-2</v>
      </c>
      <c r="F101">
        <f t="shared" ca="1" si="6"/>
        <v>9.6621454784979431E-3</v>
      </c>
      <c r="G101">
        <f t="shared" ca="1" si="5"/>
        <v>-0.27390364582301308</v>
      </c>
      <c r="H101">
        <f t="shared" ca="1" si="9"/>
        <v>2.7182230902369047</v>
      </c>
    </row>
    <row r="102" spans="1:8" x14ac:dyDescent="0.25">
      <c r="A102" s="5">
        <v>40325</v>
      </c>
      <c r="B102">
        <v>244.31467359999999</v>
      </c>
      <c r="C102" s="6">
        <v>-3.1526693160727252E-2</v>
      </c>
      <c r="D102" s="6">
        <f t="shared" ca="1" si="7"/>
        <v>-7.6094217921015726E-3</v>
      </c>
      <c r="E102" s="6">
        <f t="shared" ca="1" si="8"/>
        <v>2.3917271368625679E-2</v>
      </c>
      <c r="F102">
        <f t="shared" ca="1" si="6"/>
        <v>8.3514766792542397E-3</v>
      </c>
      <c r="G102">
        <f t="shared" ca="1" si="5"/>
        <v>-0.9213288494677303</v>
      </c>
      <c r="H102">
        <f t="shared" ca="1" si="9"/>
        <v>2.3060958012156663</v>
      </c>
    </row>
    <row r="103" spans="1:8" x14ac:dyDescent="0.25">
      <c r="A103" s="1">
        <v>40326</v>
      </c>
      <c r="B103">
        <v>241.90867890000001</v>
      </c>
      <c r="C103" s="6">
        <v>9.8479336690973918E-3</v>
      </c>
      <c r="D103" s="6">
        <f t="shared" ca="1" si="7"/>
        <v>4.9794711836296046E-3</v>
      </c>
      <c r="E103" s="6">
        <f t="shared" ca="1" si="8"/>
        <v>-4.8684624854677871E-3</v>
      </c>
      <c r="F103">
        <f t="shared" ca="1" si="6"/>
        <v>1.6185861121267426E-2</v>
      </c>
      <c r="G103">
        <f t="shared" ca="1" si="5"/>
        <v>0.21431748870211284</v>
      </c>
      <c r="H103">
        <f t="shared" ca="1" si="9"/>
        <v>2.7996981706517157</v>
      </c>
    </row>
    <row r="104" spans="1:8" x14ac:dyDescent="0.25">
      <c r="A104" s="5">
        <v>40330</v>
      </c>
      <c r="B104">
        <v>240.28477470000001</v>
      </c>
      <c r="C104" s="6">
        <v>6.712881106143721E-3</v>
      </c>
      <c r="D104" s="6">
        <f t="shared" ca="1" si="7"/>
        <v>-1.1277187338560896E-2</v>
      </c>
      <c r="E104" s="6">
        <f t="shared" ca="1" si="8"/>
        <v>-1.7990068444704618E-2</v>
      </c>
      <c r="F104">
        <f t="shared" ca="1" si="6"/>
        <v>8.5534152810863504E-3</v>
      </c>
      <c r="G104">
        <f t="shared" ca="1" si="5"/>
        <v>0.34222816419183216</v>
      </c>
      <c r="H104">
        <f t="shared" ca="1" si="9"/>
        <v>2.5394299868333845</v>
      </c>
    </row>
    <row r="105" spans="1:8" x14ac:dyDescent="0.25">
      <c r="A105" s="1">
        <v>40331</v>
      </c>
      <c r="B105">
        <v>245.7642458</v>
      </c>
      <c r="C105" s="6">
        <v>-2.2804071156157124E-2</v>
      </c>
      <c r="D105" s="6">
        <f t="shared" ca="1" si="7"/>
        <v>1.2602078108274312E-2</v>
      </c>
      <c r="E105" s="6">
        <f t="shared" ca="1" si="8"/>
        <v>3.5406149264431433E-2</v>
      </c>
      <c r="F105">
        <f t="shared" ca="1" si="6"/>
        <v>8.8884912020913247E-3</v>
      </c>
      <c r="G105">
        <f t="shared" ca="1" si="5"/>
        <v>0.9185937408783359</v>
      </c>
      <c r="H105">
        <f t="shared" ca="1" si="9"/>
        <v>1.7007564720082708</v>
      </c>
    </row>
    <row r="106" spans="1:8" x14ac:dyDescent="0.25">
      <c r="A106" s="5">
        <v>40332</v>
      </c>
      <c r="B106">
        <v>251.8564193</v>
      </c>
      <c r="C106" s="6">
        <v>-2.4788689177178927E-2</v>
      </c>
      <c r="D106" s="6">
        <f t="shared" ca="1" si="7"/>
        <v>3.1083507345750282E-2</v>
      </c>
      <c r="E106" s="6">
        <f t="shared" ca="1" si="8"/>
        <v>5.5872196522929213E-2</v>
      </c>
      <c r="F106">
        <f t="shared" ca="1" si="6"/>
        <v>1.6165070505773631E-2</v>
      </c>
      <c r="G106">
        <f t="shared" ca="1" si="5"/>
        <v>1.7358012443276747</v>
      </c>
      <c r="H106">
        <f t="shared" ca="1" si="9"/>
        <v>4.5281113245578396E-2</v>
      </c>
    </row>
    <row r="107" spans="1:8" x14ac:dyDescent="0.25">
      <c r="A107" s="1">
        <v>40333</v>
      </c>
      <c r="B107">
        <v>248.4292591</v>
      </c>
      <c r="C107" s="6">
        <v>1.3607595190646003E-2</v>
      </c>
      <c r="D107" s="6">
        <f t="shared" ca="1" si="7"/>
        <v>4.0211764281275271E-2</v>
      </c>
      <c r="E107" s="6">
        <f t="shared" ca="1" si="8"/>
        <v>2.6604169090629268E-2</v>
      </c>
      <c r="F107">
        <f t="shared" ca="1" si="6"/>
        <v>2.8564801654317074E-2</v>
      </c>
      <c r="G107">
        <f t="shared" ca="1" si="5"/>
        <v>1.767444669920377</v>
      </c>
      <c r="H107">
        <f t="shared" ca="1" si="9"/>
        <v>2.1853961779319149</v>
      </c>
    </row>
    <row r="108" spans="1:8" x14ac:dyDescent="0.25">
      <c r="A108" s="5">
        <v>40336</v>
      </c>
      <c r="B108">
        <v>241.8538848</v>
      </c>
      <c r="C108" s="6">
        <v>2.6467793382393873E-2</v>
      </c>
      <c r="D108" s="6">
        <f t="shared" ca="1" si="7"/>
        <v>5.8919728272281303E-3</v>
      </c>
      <c r="E108" s="6">
        <f t="shared" ca="1" si="8"/>
        <v>-2.0575820555165741E-2</v>
      </c>
      <c r="F108">
        <f t="shared" ca="1" si="6"/>
        <v>2.9646002402023378E-2</v>
      </c>
      <c r="G108">
        <f t="shared" ca="1" si="5"/>
        <v>0.57547263934288972</v>
      </c>
      <c r="H108">
        <f t="shared" ca="1" si="9"/>
        <v>2.4522989938742539</v>
      </c>
    </row>
    <row r="109" spans="1:8" x14ac:dyDescent="0.25">
      <c r="A109" s="1">
        <v>40337</v>
      </c>
      <c r="B109">
        <v>241.48526200000001</v>
      </c>
      <c r="C109" s="6">
        <v>1.5241549678014399E-3</v>
      </c>
      <c r="D109" s="6">
        <f t="shared" ca="1" si="7"/>
        <v>-1.6567752352617503E-3</v>
      </c>
      <c r="E109" s="6">
        <f t="shared" ca="1" si="8"/>
        <v>-3.1809302030631902E-3</v>
      </c>
      <c r="F109">
        <f t="shared" ca="1" si="6"/>
        <v>1.3553826969345616E-2</v>
      </c>
      <c r="G109">
        <f t="shared" ca="1" si="5"/>
        <v>-0.574613300678532</v>
      </c>
      <c r="H109">
        <f t="shared" ca="1" si="9"/>
        <v>2.8111164536917737</v>
      </c>
    </row>
    <row r="110" spans="1:8" x14ac:dyDescent="0.25">
      <c r="A110" s="5">
        <v>40338</v>
      </c>
      <c r="B110">
        <v>236.1253437</v>
      </c>
      <c r="C110" s="6">
        <v>2.2195633205971815E-2</v>
      </c>
      <c r="D110" s="6">
        <f t="shared" ca="1" si="7"/>
        <v>1.5502375937482398E-2</v>
      </c>
      <c r="E110" s="6">
        <f t="shared" ca="1" si="8"/>
        <v>-6.6932572684894175E-3</v>
      </c>
      <c r="F110">
        <f t="shared" ca="1" si="6"/>
        <v>1.1805047667827747E-2</v>
      </c>
      <c r="G110">
        <f t="shared" ca="1" si="5"/>
        <v>0.30301471864581708</v>
      </c>
      <c r="H110">
        <f t="shared" ca="1" si="9"/>
        <v>2.7816950510136702</v>
      </c>
    </row>
    <row r="111" spans="1:8" x14ac:dyDescent="0.25">
      <c r="A111" s="1">
        <v>40339</v>
      </c>
      <c r="B111">
        <v>242.59610369999999</v>
      </c>
      <c r="C111" s="6">
        <v>-2.7403919878338685E-2</v>
      </c>
      <c r="D111" s="6">
        <f t="shared" ca="1" si="7"/>
        <v>-3.5604645272377124E-3</v>
      </c>
      <c r="E111" s="6">
        <f t="shared" ca="1" si="8"/>
        <v>2.3843455351100974E-2</v>
      </c>
      <c r="F111">
        <f t="shared" ca="1" si="6"/>
        <v>8.7675568463489173E-3</v>
      </c>
      <c r="G111">
        <f t="shared" ca="1" si="5"/>
        <v>-0.48446224111124658</v>
      </c>
      <c r="H111">
        <f t="shared" ca="1" si="9"/>
        <v>2.3092318946115911</v>
      </c>
    </row>
    <row r="112" spans="1:8" x14ac:dyDescent="0.25">
      <c r="A112" s="5">
        <v>40340</v>
      </c>
      <c r="B112">
        <v>243.33832319999999</v>
      </c>
      <c r="C112" s="6">
        <v>-3.0594864825935148E-3</v>
      </c>
      <c r="D112" s="6">
        <f t="shared" ca="1" si="7"/>
        <v>1.2191296193013654E-2</v>
      </c>
      <c r="E112" s="6">
        <f t="shared" ca="1" si="8"/>
        <v>1.5250782675607168E-2</v>
      </c>
      <c r="F112">
        <f t="shared" ca="1" si="6"/>
        <v>1.042489855370224E-2</v>
      </c>
      <c r="G112">
        <f t="shared" ca="1" si="5"/>
        <v>0.21020380054267229</v>
      </c>
      <c r="H112">
        <f t="shared" ca="1" si="9"/>
        <v>2.6085768348654237</v>
      </c>
    </row>
    <row r="113" spans="1:8" x14ac:dyDescent="0.25">
      <c r="A113" s="1">
        <v>40343</v>
      </c>
      <c r="B113">
        <v>240.6932382</v>
      </c>
      <c r="C113" s="6">
        <v>1.0869989425488055E-2</v>
      </c>
      <c r="D113" s="6">
        <f t="shared" ca="1" si="7"/>
        <v>-1.7558078318561376E-2</v>
      </c>
      <c r="E113" s="6">
        <f t="shared" ca="1" si="8"/>
        <v>-2.8428067744049431E-2</v>
      </c>
      <c r="F113">
        <f t="shared" ca="1" si="6"/>
        <v>7.9371707110515825E-3</v>
      </c>
      <c r="G113">
        <f t="shared" ca="1" si="5"/>
        <v>-0.65653141395231884</v>
      </c>
      <c r="H113">
        <f t="shared" ca="1" si="9"/>
        <v>2.1153752256834326</v>
      </c>
    </row>
    <row r="114" spans="1:8" x14ac:dyDescent="0.25">
      <c r="A114" s="5">
        <v>40344</v>
      </c>
      <c r="B114">
        <v>248.06561070000001</v>
      </c>
      <c r="C114" s="6">
        <v>-3.0629744961402125E-2</v>
      </c>
      <c r="D114" s="6">
        <f t="shared" ca="1" si="7"/>
        <v>-1.745843838884523E-3</v>
      </c>
      <c r="E114" s="6">
        <f t="shared" ca="1" si="8"/>
        <v>2.8883901122517604E-2</v>
      </c>
      <c r="F114">
        <f t="shared" ca="1" si="6"/>
        <v>1.2528017998416529E-2</v>
      </c>
      <c r="G114">
        <f t="shared" ca="1" si="5"/>
        <v>-2.9338306090913556E-2</v>
      </c>
      <c r="H114">
        <f t="shared" ca="1" si="9"/>
        <v>2.0729950719724597</v>
      </c>
    </row>
    <row r="115" spans="1:8" x14ac:dyDescent="0.25">
      <c r="A115" s="1">
        <v>40345</v>
      </c>
      <c r="B115">
        <v>249.69949449999999</v>
      </c>
      <c r="C115" s="6">
        <v>-6.5864986097404999E-3</v>
      </c>
      <c r="D115" s="6">
        <f t="shared" ca="1" si="7"/>
        <v>1.5014486460068312E-3</v>
      </c>
      <c r="E115" s="6">
        <f t="shared" ca="1" si="8"/>
        <v>8.0879472557473311E-3</v>
      </c>
      <c r="F115">
        <f t="shared" ca="1" si="6"/>
        <v>7.4306261402644607E-3</v>
      </c>
      <c r="G115">
        <f t="shared" ca="1" si="5"/>
        <v>-0.4569727533367865</v>
      </c>
      <c r="H115">
        <f t="shared" ca="1" si="9"/>
        <v>2.7585182688154313</v>
      </c>
    </row>
    <row r="116" spans="1:8" x14ac:dyDescent="0.25">
      <c r="A116" s="5">
        <v>40346</v>
      </c>
      <c r="B116">
        <v>249.1067199</v>
      </c>
      <c r="C116" s="6">
        <v>2.3739519424617189E-3</v>
      </c>
      <c r="D116" s="6">
        <f t="shared" ca="1" si="7"/>
        <v>-1.0654458168129495E-2</v>
      </c>
      <c r="E116" s="6">
        <f t="shared" ca="1" si="8"/>
        <v>-1.3028410110591214E-2</v>
      </c>
      <c r="F116">
        <f t="shared" ca="1" si="6"/>
        <v>1.0041194872902134E-2</v>
      </c>
      <c r="G116">
        <f t="shared" ca="1" si="5"/>
        <v>0.31331872777687525</v>
      </c>
      <c r="H116">
        <f t="shared" ca="1" si="9"/>
        <v>2.6735739185118041</v>
      </c>
    </row>
    <row r="117" spans="1:8" x14ac:dyDescent="0.25">
      <c r="A117" s="1">
        <v>40347</v>
      </c>
      <c r="B117">
        <v>249.08180229999999</v>
      </c>
      <c r="C117" s="6">
        <v>1.0002781141356551E-4</v>
      </c>
      <c r="D117" s="6">
        <f t="shared" ca="1" si="7"/>
        <v>7.2833112717363884E-4</v>
      </c>
      <c r="E117" s="6">
        <f t="shared" ca="1" si="8"/>
        <v>6.2830331576007334E-4</v>
      </c>
      <c r="F117">
        <f t="shared" ca="1" si="6"/>
        <v>8.71869095682507E-3</v>
      </c>
      <c r="G117">
        <f t="shared" ca="1" si="5"/>
        <v>0.42390359064106176</v>
      </c>
      <c r="H117">
        <f t="shared" ca="1" si="9"/>
        <v>2.8184128628719973</v>
      </c>
    </row>
    <row r="118" spans="1:8" x14ac:dyDescent="0.25">
      <c r="A118" s="5">
        <v>40350</v>
      </c>
      <c r="B118">
        <v>243.36821520000001</v>
      </c>
      <c r="C118" s="6">
        <v>2.2938597068277212E-2</v>
      </c>
      <c r="D118" s="6">
        <f t="shared" ca="1" si="7"/>
        <v>-2.5479854416130153E-3</v>
      </c>
      <c r="E118" s="6">
        <f t="shared" ca="1" si="8"/>
        <v>-2.5486582509890228E-2</v>
      </c>
      <c r="F118">
        <f t="shared" ca="1" si="6"/>
        <v>9.7392134543997019E-3</v>
      </c>
      <c r="G118">
        <f t="shared" ca="1" si="5"/>
        <v>-0.37144555812434776</v>
      </c>
      <c r="H118">
        <f t="shared" ca="1" si="9"/>
        <v>2.2543357249855163</v>
      </c>
    </row>
    <row r="119" spans="1:8" x14ac:dyDescent="0.25">
      <c r="A119" s="1">
        <v>40351</v>
      </c>
      <c r="B119">
        <v>242.21753269999999</v>
      </c>
      <c r="C119" s="6">
        <v>4.7281544101984941E-3</v>
      </c>
      <c r="D119" s="6">
        <f t="shared" ca="1" si="7"/>
        <v>-5.1845274281935591E-3</v>
      </c>
      <c r="E119" s="6">
        <f t="shared" ca="1" si="8"/>
        <v>-9.9126818383920533E-3</v>
      </c>
      <c r="F119">
        <f t="shared" ca="1" si="6"/>
        <v>9.2521173940098341E-3</v>
      </c>
      <c r="G119">
        <f t="shared" ca="1" si="5"/>
        <v>-0.56527331613489706</v>
      </c>
      <c r="H119">
        <f t="shared" ca="1" si="9"/>
        <v>2.7356016651392663</v>
      </c>
    </row>
    <row r="120" spans="1:8" x14ac:dyDescent="0.25">
      <c r="A120" s="5">
        <v>40352</v>
      </c>
      <c r="B120">
        <v>240.1253662</v>
      </c>
      <c r="C120" s="6">
        <v>8.6375518595974473E-3</v>
      </c>
      <c r="D120" s="6">
        <f t="shared" ca="1" si="7"/>
        <v>7.0016514875553496E-3</v>
      </c>
      <c r="E120" s="6">
        <f t="shared" ca="1" si="8"/>
        <v>-1.6359003720420977E-3</v>
      </c>
      <c r="F120">
        <f t="shared" ca="1" si="6"/>
        <v>1.1422360350702725E-2</v>
      </c>
      <c r="G120">
        <f t="shared" ca="1" si="5"/>
        <v>-0.29184602111979646</v>
      </c>
      <c r="H120">
        <f t="shared" ca="1" si="9"/>
        <v>2.8171630462777726</v>
      </c>
    </row>
    <row r="121" spans="1:8" x14ac:dyDescent="0.25">
      <c r="A121" s="1">
        <v>40353</v>
      </c>
      <c r="B121">
        <v>236.6633392</v>
      </c>
      <c r="C121" s="6">
        <v>1.4417581344223707E-2</v>
      </c>
      <c r="D121" s="6">
        <f t="shared" ca="1" si="7"/>
        <v>5.8217402080649617E-3</v>
      </c>
      <c r="E121" s="6">
        <f t="shared" ca="1" si="8"/>
        <v>-8.5958411361587456E-3</v>
      </c>
      <c r="F121">
        <f t="shared" ca="1" si="6"/>
        <v>8.6396091737177445E-3</v>
      </c>
      <c r="G121">
        <f t="shared" ca="1" si="5"/>
        <v>0.42725250178174712</v>
      </c>
      <c r="H121">
        <f t="shared" ca="1" si="9"/>
        <v>2.75666621015188</v>
      </c>
    </row>
    <row r="122" spans="1:8" x14ac:dyDescent="0.25">
      <c r="A122" s="5">
        <v>40354</v>
      </c>
      <c r="B122">
        <v>235.4578472</v>
      </c>
      <c r="C122" s="6">
        <v>5.0936997849981847E-3</v>
      </c>
      <c r="D122" s="6">
        <f t="shared" ca="1" si="7"/>
        <v>8.3482383700108336E-3</v>
      </c>
      <c r="E122" s="6">
        <f t="shared" ca="1" si="8"/>
        <v>3.254538585012649E-3</v>
      </c>
      <c r="F122">
        <f t="shared" ca="1" si="6"/>
        <v>9.7713268791475329E-3</v>
      </c>
      <c r="G122">
        <f t="shared" ca="1" si="5"/>
        <v>0.45605792946637935</v>
      </c>
      <c r="H122">
        <f t="shared" ca="1" si="9"/>
        <v>2.8085283856062544</v>
      </c>
    </row>
    <row r="123" spans="1:8" x14ac:dyDescent="0.25">
      <c r="A123" s="1">
        <v>40357</v>
      </c>
      <c r="B123">
        <v>235.15897240000001</v>
      </c>
      <c r="C123" s="6">
        <v>1.2693346327341815E-3</v>
      </c>
      <c r="D123" s="6">
        <f t="shared" ca="1" si="7"/>
        <v>5.5062163560095113E-3</v>
      </c>
      <c r="E123" s="6">
        <f t="shared" ca="1" si="8"/>
        <v>4.2368817232753299E-3</v>
      </c>
      <c r="F123">
        <f t="shared" ca="1" si="6"/>
        <v>1.0157298930403813E-2</v>
      </c>
      <c r="G123">
        <f t="shared" ca="1" si="5"/>
        <v>-9.7448050391851268E-2</v>
      </c>
      <c r="H123">
        <f t="shared" ca="1" si="9"/>
        <v>2.8017028137684181</v>
      </c>
    </row>
    <row r="124" spans="1:8" x14ac:dyDescent="0.25">
      <c r="A124" s="5">
        <v>40358</v>
      </c>
      <c r="B124">
        <v>226.28223310000001</v>
      </c>
      <c r="C124" s="6">
        <v>3.774782314025793E-2</v>
      </c>
      <c r="D124" s="6">
        <f t="shared" ca="1" si="7"/>
        <v>1.1452000881296601E-3</v>
      </c>
      <c r="E124" s="6">
        <f t="shared" ca="1" si="8"/>
        <v>-3.6602623052128268E-2</v>
      </c>
      <c r="F124">
        <f t="shared" ca="1" si="6"/>
        <v>7.3460533313967711E-3</v>
      </c>
      <c r="G124">
        <f t="shared" ca="1" si="5"/>
        <v>-0.15652249648251632</v>
      </c>
      <c r="H124">
        <f t="shared" ca="1" si="9"/>
        <v>1.6490059176299299</v>
      </c>
    </row>
    <row r="125" spans="1:8" x14ac:dyDescent="0.25">
      <c r="A125" s="1">
        <v>40359</v>
      </c>
      <c r="B125">
        <v>221.6446061</v>
      </c>
      <c r="C125" s="6">
        <v>2.0494879056415009E-2</v>
      </c>
      <c r="D125" s="6">
        <f t="shared" ca="1" si="7"/>
        <v>-1.1726909105553656E-3</v>
      </c>
      <c r="E125" s="6">
        <f t="shared" ca="1" si="8"/>
        <v>-2.1667569966970373E-2</v>
      </c>
      <c r="F125">
        <f t="shared" ca="1" si="6"/>
        <v>7.389126730233171E-3</v>
      </c>
      <c r="G125">
        <f t="shared" ca="1" si="5"/>
        <v>-0.23618796512988538</v>
      </c>
      <c r="H125">
        <f t="shared" ca="1" si="9"/>
        <v>2.4119676832447494</v>
      </c>
    </row>
    <row r="126" spans="1:8" x14ac:dyDescent="0.25">
      <c r="A126" s="5">
        <v>40360</v>
      </c>
      <c r="B126">
        <v>218.9247986</v>
      </c>
      <c r="C126" s="6">
        <v>1.2271029500139962E-2</v>
      </c>
      <c r="D126" s="6">
        <f t="shared" ca="1" si="7"/>
        <v>2.1524189732768571E-2</v>
      </c>
      <c r="E126" s="6">
        <f t="shared" ca="1" si="8"/>
        <v>9.2531602326286089E-3</v>
      </c>
      <c r="F126">
        <f t="shared" ca="1" si="6"/>
        <v>7.9039237921372223E-3</v>
      </c>
      <c r="G126">
        <f t="shared" ca="1" si="5"/>
        <v>0.57140071476946819</v>
      </c>
      <c r="H126">
        <f t="shared" ca="1" si="9"/>
        <v>2.7402938178610161</v>
      </c>
    </row>
    <row r="127" spans="1:8" x14ac:dyDescent="0.25">
      <c r="A127" s="1">
        <v>40361</v>
      </c>
      <c r="B127">
        <v>217.460273</v>
      </c>
      <c r="C127" s="6">
        <v>6.6896286275720329E-3</v>
      </c>
      <c r="D127" s="6">
        <f t="shared" ca="1" si="7"/>
        <v>5.4494795597087135E-3</v>
      </c>
      <c r="E127" s="6">
        <f t="shared" ca="1" si="8"/>
        <v>-1.2401490678633194E-3</v>
      </c>
      <c r="F127">
        <f t="shared" ca="1" si="6"/>
        <v>1.1434454896570348E-2</v>
      </c>
      <c r="G127">
        <f t="shared" ca="1" si="5"/>
        <v>-0.33100249054751912</v>
      </c>
      <c r="H127">
        <f t="shared" ca="1" si="9"/>
        <v>2.8180340428786179</v>
      </c>
    </row>
    <row r="128" spans="1:8" x14ac:dyDescent="0.25">
      <c r="A128" s="5">
        <v>40365</v>
      </c>
      <c r="B128">
        <v>217.22118219999999</v>
      </c>
      <c r="C128" s="6">
        <v>1.0994688671250488E-3</v>
      </c>
      <c r="D128" s="6">
        <f t="shared" ca="1" si="7"/>
        <v>-7.3438655833966519E-3</v>
      </c>
      <c r="E128" s="6">
        <f t="shared" ca="1" si="8"/>
        <v>-8.4433344505217001E-3</v>
      </c>
      <c r="F128">
        <f t="shared" ca="1" si="6"/>
        <v>8.9870041047275043E-3</v>
      </c>
      <c r="G128">
        <f t="shared" ca="1" si="5"/>
        <v>-1.4323765042520262</v>
      </c>
      <c r="H128">
        <f t="shared" ca="1" si="9"/>
        <v>2.7589079972576518</v>
      </c>
    </row>
    <row r="129" spans="1:8" x14ac:dyDescent="0.25">
      <c r="A129" s="1">
        <v>40366</v>
      </c>
      <c r="B129">
        <v>224.2597992</v>
      </c>
      <c r="C129" s="6">
        <v>-3.2402995549114626E-2</v>
      </c>
      <c r="D129" s="6">
        <f t="shared" ca="1" si="7"/>
        <v>-2.1266343226982332E-4</v>
      </c>
      <c r="E129" s="6">
        <f t="shared" ca="1" si="8"/>
        <v>3.21903321168448E-2</v>
      </c>
      <c r="F129">
        <f t="shared" ca="1" si="6"/>
        <v>2.3745003772169284E-2</v>
      </c>
      <c r="G129">
        <f t="shared" ca="1" si="5"/>
        <v>-0.13589132838086762</v>
      </c>
      <c r="H129">
        <f t="shared" ca="1" si="9"/>
        <v>1.8936733521688842</v>
      </c>
    </row>
    <row r="130" spans="1:8" x14ac:dyDescent="0.25">
      <c r="A130" s="5">
        <v>40367</v>
      </c>
      <c r="B130">
        <v>227.42794119999999</v>
      </c>
      <c r="C130" s="6">
        <v>-1.4127106201386401E-2</v>
      </c>
      <c r="D130" s="6">
        <f t="shared" ca="1" si="7"/>
        <v>-7.3280599499758762E-3</v>
      </c>
      <c r="E130" s="6">
        <f t="shared" ca="1" si="8"/>
        <v>6.7990462514105248E-3</v>
      </c>
      <c r="F130">
        <f t="shared" ca="1" si="6"/>
        <v>9.2429722541010478E-3</v>
      </c>
      <c r="G130">
        <f t="shared" ca="1" si="5"/>
        <v>-0.84636165325372037</v>
      </c>
      <c r="H130">
        <f t="shared" ca="1" si="9"/>
        <v>2.7758858621951683</v>
      </c>
    </row>
    <row r="131" spans="1:8" x14ac:dyDescent="0.25">
      <c r="A131" s="1">
        <v>40368</v>
      </c>
      <c r="B131">
        <v>232.8725306</v>
      </c>
      <c r="C131" s="6">
        <v>-2.3939843852396499E-2</v>
      </c>
      <c r="D131" s="6">
        <f t="shared" ca="1" si="7"/>
        <v>-8.9991546221800736E-3</v>
      </c>
      <c r="E131" s="6">
        <f t="shared" ca="1" si="8"/>
        <v>1.4940689230216426E-2</v>
      </c>
      <c r="F131">
        <f t="shared" ca="1" si="6"/>
        <v>1.5159156594208439E-2</v>
      </c>
      <c r="G131">
        <f t="shared" ref="G131:G194" ca="1" si="10">_xlfn.NORM.INV(RAND(),0,1)</f>
        <v>0.3694448943385864</v>
      </c>
      <c r="H131">
        <f t="shared" ca="1" si="9"/>
        <v>2.6169433686059125</v>
      </c>
    </row>
    <row r="132" spans="1:8" x14ac:dyDescent="0.25">
      <c r="A132" s="5">
        <v>40371</v>
      </c>
      <c r="B132">
        <v>237.02697219999999</v>
      </c>
      <c r="C132" s="6">
        <v>-1.7839981337841759E-2</v>
      </c>
      <c r="D132" s="6">
        <f t="shared" ca="1" si="7"/>
        <v>-5.9261988247413522E-3</v>
      </c>
      <c r="E132" s="6">
        <f t="shared" ca="1" si="8"/>
        <v>1.1913782513100407E-2</v>
      </c>
      <c r="F132">
        <f t="shared" ref="F132:F195" ca="1" si="11">SQRT($K$6+$K$7*POWER($G131,2)+$K$8*POWER($F131,2))</f>
        <v>9.6845842781497528E-3</v>
      </c>
      <c r="G132">
        <f t="shared" ca="1" si="10"/>
        <v>4.535689361056857E-2</v>
      </c>
      <c r="H132">
        <f t="shared" ca="1" si="9"/>
        <v>2.6896976042881531</v>
      </c>
    </row>
    <row r="133" spans="1:8" x14ac:dyDescent="0.25">
      <c r="A133" s="1">
        <v>40372</v>
      </c>
      <c r="B133">
        <v>243.68701770000001</v>
      </c>
      <c r="C133" s="6">
        <v>-2.8098260034222486E-2</v>
      </c>
      <c r="D133" s="6">
        <f t="shared" ref="D133:D196" ca="1" si="12">($K$10*$C132)+($K$11*$C131)+($F133*$G133)</f>
        <v>-6.8120607211592755E-3</v>
      </c>
      <c r="E133" s="6">
        <f t="shared" ca="1" si="8"/>
        <v>2.1286199313063209E-2</v>
      </c>
      <c r="F133">
        <f t="shared" ca="1" si="11"/>
        <v>7.1768458195095456E-3</v>
      </c>
      <c r="G133">
        <f t="shared" ca="1" si="10"/>
        <v>0.55379436037488705</v>
      </c>
      <c r="H133">
        <f t="shared" ca="1" si="9"/>
        <v>2.4119399683225242</v>
      </c>
    </row>
    <row r="134" spans="1:8" x14ac:dyDescent="0.25">
      <c r="A134" s="5">
        <v>40373</v>
      </c>
      <c r="B134">
        <v>244.75302909999999</v>
      </c>
      <c r="C134" s="6">
        <v>-4.3745104276023952E-3</v>
      </c>
      <c r="D134" s="6">
        <f t="shared" ca="1" si="12"/>
        <v>-9.6065822337151746E-3</v>
      </c>
      <c r="E134" s="6">
        <f t="shared" ref="E134:E197" ca="1" si="13">$D134-$C134</f>
        <v>-5.2320718061127794E-3</v>
      </c>
      <c r="F134">
        <f t="shared" ca="1" si="11"/>
        <v>1.118442912012395E-2</v>
      </c>
      <c r="G134">
        <f t="shared" ca="1" si="10"/>
        <v>-0.14021192802369231</v>
      </c>
      <c r="H134">
        <f t="shared" ref="H134:H197" ca="1" si="14">LN(_xlfn.NORM.DIST($E134,AVERAGE($E$5:$E$1763),_xlfn.STDEV.S($E$5:$E$1763),FALSE))</f>
        <v>2.7965797262613523</v>
      </c>
    </row>
    <row r="135" spans="1:8" x14ac:dyDescent="0.25">
      <c r="A135" s="1">
        <v>40374</v>
      </c>
      <c r="B135">
        <v>246.08802270000001</v>
      </c>
      <c r="C135" s="6">
        <v>-5.4544517994691427E-3</v>
      </c>
      <c r="D135" s="6">
        <f t="shared" ca="1" si="12"/>
        <v>-1.4952550621901536E-2</v>
      </c>
      <c r="E135" s="6">
        <f t="shared" ca="1" si="13"/>
        <v>-9.498098822432393E-3</v>
      </c>
      <c r="F135">
        <f t="shared" ca="1" si="11"/>
        <v>7.6091735130458952E-3</v>
      </c>
      <c r="G135">
        <f t="shared" ca="1" si="10"/>
        <v>-0.30129588889765796</v>
      </c>
      <c r="H135">
        <f t="shared" ca="1" si="14"/>
        <v>2.7425635513049307</v>
      </c>
    </row>
    <row r="136" spans="1:8" x14ac:dyDescent="0.25">
      <c r="A136" s="5">
        <v>40375</v>
      </c>
      <c r="B136">
        <v>228.94724600000001</v>
      </c>
      <c r="C136" s="6">
        <v>6.9653031106255467E-2</v>
      </c>
      <c r="D136" s="6">
        <f t="shared" ca="1" si="12"/>
        <v>-7.0614686995335027E-3</v>
      </c>
      <c r="E136" s="6">
        <f t="shared" ca="1" si="13"/>
        <v>-7.6714499805788969E-2</v>
      </c>
      <c r="F136">
        <f t="shared" ca="1" si="11"/>
        <v>8.4523666559408843E-3</v>
      </c>
      <c r="G136">
        <f t="shared" ca="1" si="10"/>
        <v>-0.60224700713352075</v>
      </c>
      <c r="H136">
        <f t="shared" ca="1" si="14"/>
        <v>-2.3486774557340628</v>
      </c>
    </row>
    <row r="137" spans="1:8" x14ac:dyDescent="0.25">
      <c r="A137" s="1">
        <v>40378</v>
      </c>
      <c r="B137">
        <v>232.2199875</v>
      </c>
      <c r="C137" s="6">
        <v>-1.4294740632084279E-2</v>
      </c>
      <c r="D137" s="6">
        <f t="shared" ca="1" si="12"/>
        <v>1.6897555722222429E-2</v>
      </c>
      <c r="E137" s="6">
        <f t="shared" ca="1" si="13"/>
        <v>3.119229635430671E-2</v>
      </c>
      <c r="F137">
        <f t="shared" ca="1" si="11"/>
        <v>1.1848182643012455E-2</v>
      </c>
      <c r="G137">
        <f t="shared" ca="1" si="10"/>
        <v>1.6334947885234559</v>
      </c>
      <c r="H137">
        <f t="shared" ca="1" si="14"/>
        <v>1.9498341676203008</v>
      </c>
    </row>
    <row r="138" spans="1:8" x14ac:dyDescent="0.25">
      <c r="A138" s="5">
        <v>40379</v>
      </c>
      <c r="B138">
        <v>239.89622460000001</v>
      </c>
      <c r="C138" s="6">
        <v>-3.3055884562908304E-2</v>
      </c>
      <c r="D138" s="6">
        <f t="shared" ca="1" si="12"/>
        <v>7.6081216323369727E-2</v>
      </c>
      <c r="E138" s="6">
        <f t="shared" ca="1" si="13"/>
        <v>0.10913710088627804</v>
      </c>
      <c r="F138">
        <f t="shared" ca="1" si="11"/>
        <v>2.6869649524115469E-2</v>
      </c>
      <c r="G138">
        <f t="shared" ca="1" si="10"/>
        <v>1.6635422581187276</v>
      </c>
      <c r="H138">
        <f t="shared" ca="1" si="14"/>
        <v>-7.7290108671316293</v>
      </c>
    </row>
    <row r="139" spans="1:8" x14ac:dyDescent="0.25">
      <c r="A139" s="1">
        <v>40380</v>
      </c>
      <c r="B139">
        <v>237.85885210000001</v>
      </c>
      <c r="C139" s="6">
        <v>8.4927243160958163E-3</v>
      </c>
      <c r="D139" s="6">
        <f t="shared" ca="1" si="12"/>
        <v>1.7482972293652956E-2</v>
      </c>
      <c r="E139" s="6">
        <f t="shared" ca="1" si="13"/>
        <v>8.9902479775571392E-3</v>
      </c>
      <c r="F139">
        <f t="shared" ca="1" si="11"/>
        <v>2.7994194121235268E-2</v>
      </c>
      <c r="G139">
        <f t="shared" ca="1" si="10"/>
        <v>0.85460982788190099</v>
      </c>
      <c r="H139">
        <f t="shared" ca="1" si="14"/>
        <v>2.7446152309043725</v>
      </c>
    </row>
    <row r="140" spans="1:8" x14ac:dyDescent="0.25">
      <c r="A140" s="5">
        <v>40381</v>
      </c>
      <c r="B140">
        <v>241.5002159</v>
      </c>
      <c r="C140" s="6">
        <v>-1.5308926986955695E-2</v>
      </c>
      <c r="D140" s="6">
        <f t="shared" ca="1" si="12"/>
        <v>-5.8428134464294981E-3</v>
      </c>
      <c r="E140" s="6">
        <f t="shared" ca="1" si="13"/>
        <v>9.4661135405261967E-3</v>
      </c>
      <c r="F140">
        <f t="shared" ca="1" si="11"/>
        <v>1.6661526978875817E-2</v>
      </c>
      <c r="G140">
        <f t="shared" ca="1" si="10"/>
        <v>0.54320373525008747</v>
      </c>
      <c r="H140">
        <f t="shared" ca="1" si="14"/>
        <v>2.7367041372527909</v>
      </c>
    </row>
    <row r="141" spans="1:8" x14ac:dyDescent="0.25">
      <c r="A141" s="1">
        <v>40382</v>
      </c>
      <c r="B141">
        <v>244.115409</v>
      </c>
      <c r="C141" s="6">
        <v>-1.0828947254783797E-2</v>
      </c>
      <c r="D141" s="6">
        <f t="shared" ca="1" si="12"/>
        <v>-6.3780094266068831E-3</v>
      </c>
      <c r="E141" s="6">
        <f t="shared" ca="1" si="13"/>
        <v>4.4509378281769136E-3</v>
      </c>
      <c r="F141">
        <f t="shared" ca="1" si="11"/>
        <v>1.1684423287390923E-2</v>
      </c>
      <c r="G141">
        <f t="shared" ca="1" si="10"/>
        <v>-0.87331755104224484</v>
      </c>
      <c r="H141">
        <f t="shared" ca="1" si="14"/>
        <v>2.7999894960181364</v>
      </c>
    </row>
    <row r="142" spans="1:8" x14ac:dyDescent="0.25">
      <c r="A142" s="5">
        <v>40385</v>
      </c>
      <c r="B142">
        <v>243.57245459999999</v>
      </c>
      <c r="C142" s="6">
        <v>2.2241709453089606E-3</v>
      </c>
      <c r="D142" s="6">
        <f t="shared" ca="1" si="12"/>
        <v>-8.781875676575155E-4</v>
      </c>
      <c r="E142" s="6">
        <f t="shared" ca="1" si="13"/>
        <v>-3.1023585129664761E-3</v>
      </c>
      <c r="F142">
        <f t="shared" ca="1" si="11"/>
        <v>1.5641184392091736E-2</v>
      </c>
      <c r="G142">
        <f t="shared" ca="1" si="10"/>
        <v>0.38485158363422128</v>
      </c>
      <c r="H142">
        <f t="shared" ca="1" si="14"/>
        <v>2.8115256316587756</v>
      </c>
    </row>
    <row r="143" spans="1:8" x14ac:dyDescent="0.25">
      <c r="A143" s="1">
        <v>40386</v>
      </c>
      <c r="B143">
        <v>245.3956235</v>
      </c>
      <c r="C143" s="6">
        <v>-7.4851193785194677E-3</v>
      </c>
      <c r="D143" s="6">
        <f t="shared" ca="1" si="12"/>
        <v>-2.5005483743737345E-2</v>
      </c>
      <c r="E143" s="6">
        <f t="shared" ca="1" si="13"/>
        <v>-1.7520364365217877E-2</v>
      </c>
      <c r="F143">
        <f t="shared" ca="1" si="11"/>
        <v>9.8814193004342025E-3</v>
      </c>
      <c r="G143">
        <f t="shared" ca="1" si="10"/>
        <v>-2.0367988417737943</v>
      </c>
      <c r="H143">
        <f t="shared" ca="1" si="14"/>
        <v>2.5539909003718808</v>
      </c>
    </row>
    <row r="144" spans="1:8" x14ac:dyDescent="0.25">
      <c r="A144" s="5">
        <v>40387</v>
      </c>
      <c r="B144">
        <v>241.27107430000001</v>
      </c>
      <c r="C144" s="6">
        <v>1.6807753704702846E-2</v>
      </c>
      <c r="D144" s="6">
        <f t="shared" ca="1" si="12"/>
        <v>-2.6767273384097616E-2</v>
      </c>
      <c r="E144" s="6">
        <f t="shared" ca="1" si="13"/>
        <v>-4.3575027088800462E-2</v>
      </c>
      <c r="F144">
        <f t="shared" ca="1" si="11"/>
        <v>3.3012989269538967E-2</v>
      </c>
      <c r="G144">
        <f t="shared" ca="1" si="10"/>
        <v>-0.8411617912351973</v>
      </c>
      <c r="H144">
        <f t="shared" ca="1" si="14"/>
        <v>1.158021189660732</v>
      </c>
    </row>
    <row r="145" spans="1:8" x14ac:dyDescent="0.25">
      <c r="A145" s="1">
        <v>40388</v>
      </c>
      <c r="B145">
        <v>241.58987629999999</v>
      </c>
      <c r="C145" s="6">
        <v>-1.321343641897054E-3</v>
      </c>
      <c r="D145" s="6">
        <f t="shared" ca="1" si="12"/>
        <v>3.7962485168704527E-2</v>
      </c>
      <c r="E145" s="6">
        <f t="shared" ca="1" si="13"/>
        <v>3.9283828810601579E-2</v>
      </c>
      <c r="F145">
        <f t="shared" ca="1" si="11"/>
        <v>1.7068105747936067E-2</v>
      </c>
      <c r="G145">
        <f t="shared" ca="1" si="10"/>
        <v>2.4217496722443088</v>
      </c>
      <c r="H145">
        <f t="shared" ca="1" si="14"/>
        <v>1.4438605924081565</v>
      </c>
    </row>
    <row r="146" spans="1:8" x14ac:dyDescent="0.25">
      <c r="A146" s="5">
        <v>40389</v>
      </c>
      <c r="B146">
        <v>241.52014370000001</v>
      </c>
      <c r="C146" s="6">
        <v>2.8864040607971657E-4</v>
      </c>
      <c r="D146" s="6">
        <f t="shared" ca="1" si="12"/>
        <v>-5.1016599169179805E-2</v>
      </c>
      <c r="E146" s="6">
        <f t="shared" ca="1" si="13"/>
        <v>-5.1305239575259523E-2</v>
      </c>
      <c r="F146">
        <f t="shared" ca="1" si="11"/>
        <v>3.9138702003735905E-2</v>
      </c>
      <c r="G146">
        <f t="shared" ca="1" si="10"/>
        <v>-1.4969690892780931</v>
      </c>
      <c r="H146">
        <f t="shared" ca="1" si="14"/>
        <v>0.51337476090229373</v>
      </c>
    </row>
    <row r="147" spans="1:8" x14ac:dyDescent="0.25">
      <c r="A147" s="1">
        <v>40392</v>
      </c>
      <c r="B147">
        <v>244.28975600000001</v>
      </c>
      <c r="C147" s="6">
        <v>-1.1467417406973022E-2</v>
      </c>
      <c r="D147" s="6">
        <f t="shared" ca="1" si="12"/>
        <v>-2.3146978350065395E-2</v>
      </c>
      <c r="E147" s="6">
        <f t="shared" ca="1" si="13"/>
        <v>-1.1679560943092374E-2</v>
      </c>
      <c r="F147">
        <f t="shared" ca="1" si="11"/>
        <v>2.6518806403228141E-2</v>
      </c>
      <c r="G147">
        <f t="shared" ca="1" si="10"/>
        <v>-0.85040187167119741</v>
      </c>
      <c r="H147">
        <f t="shared" ca="1" si="14"/>
        <v>2.7025299160409832</v>
      </c>
    </row>
    <row r="148" spans="1:8" x14ac:dyDescent="0.25">
      <c r="A148" s="5">
        <v>40393</v>
      </c>
      <c r="B148">
        <v>244.0008454</v>
      </c>
      <c r="C148" s="6">
        <v>1.1826554036920333E-3</v>
      </c>
      <c r="D148" s="6">
        <f t="shared" ca="1" si="12"/>
        <v>-4.7334562131899783E-3</v>
      </c>
      <c r="E148" s="6">
        <f t="shared" ca="1" si="13"/>
        <v>-5.9161116168820116E-3</v>
      </c>
      <c r="F148">
        <f t="shared" ca="1" si="11"/>
        <v>1.6453212868654726E-2</v>
      </c>
      <c r="G148">
        <f t="shared" ca="1" si="10"/>
        <v>-0.2955845463986681</v>
      </c>
      <c r="H148">
        <f t="shared" ca="1" si="14"/>
        <v>2.7900807369798066</v>
      </c>
    </row>
    <row r="149" spans="1:8" x14ac:dyDescent="0.25">
      <c r="A149" s="1">
        <v>40394</v>
      </c>
      <c r="B149">
        <v>252.21506249999999</v>
      </c>
      <c r="C149" s="6">
        <v>-3.3664707540394384E-2</v>
      </c>
      <c r="D149" s="6">
        <f t="shared" ca="1" si="12"/>
        <v>-6.2390220256273721E-3</v>
      </c>
      <c r="E149" s="6">
        <f t="shared" ca="1" si="13"/>
        <v>2.7425685514767012E-2</v>
      </c>
      <c r="F149">
        <f t="shared" ca="1" si="11"/>
        <v>9.1699970295016382E-3</v>
      </c>
      <c r="G149">
        <f t="shared" ca="1" si="10"/>
        <v>-0.11693758351659227</v>
      </c>
      <c r="H149">
        <f t="shared" ca="1" si="14"/>
        <v>2.145948870346309</v>
      </c>
    </row>
    <row r="150" spans="1:8" x14ac:dyDescent="0.25">
      <c r="A150" s="5">
        <v>40395</v>
      </c>
      <c r="B150">
        <v>253.1017525</v>
      </c>
      <c r="C150" s="6">
        <v>-3.515610809326726E-3</v>
      </c>
      <c r="D150" s="6">
        <f t="shared" ca="1" si="12"/>
        <v>7.1983744730267172E-3</v>
      </c>
      <c r="E150" s="6">
        <f t="shared" ca="1" si="13"/>
        <v>1.0713985282353443E-2</v>
      </c>
      <c r="F150">
        <f t="shared" ca="1" si="11"/>
        <v>7.3348536463052789E-3</v>
      </c>
      <c r="G150">
        <f t="shared" ca="1" si="10"/>
        <v>0.90882218878361387</v>
      </c>
      <c r="H150">
        <f t="shared" ca="1" si="14"/>
        <v>2.7140604933249413</v>
      </c>
    </row>
    <row r="151" spans="1:8" x14ac:dyDescent="0.25">
      <c r="A151" s="1">
        <v>40396</v>
      </c>
      <c r="B151">
        <v>249.17645250000001</v>
      </c>
      <c r="C151" s="6">
        <v>1.5508782381899915E-2</v>
      </c>
      <c r="D151" s="6">
        <f t="shared" ca="1" si="12"/>
        <v>1.8798208451620106E-2</v>
      </c>
      <c r="E151" s="6">
        <f t="shared" ca="1" si="13"/>
        <v>3.2894260697201912E-3</v>
      </c>
      <c r="F151">
        <f t="shared" ca="1" si="11"/>
        <v>1.597623295781141E-2</v>
      </c>
      <c r="G151">
        <f t="shared" ca="1" si="10"/>
        <v>2.1260414589390093</v>
      </c>
      <c r="H151">
        <f t="shared" ca="1" si="14"/>
        <v>2.8083151483488815</v>
      </c>
    </row>
    <row r="152" spans="1:8" x14ac:dyDescent="0.25">
      <c r="A152" s="5">
        <v>40399</v>
      </c>
      <c r="B152">
        <v>251.73187709999999</v>
      </c>
      <c r="C152" s="6">
        <v>-1.025548190593965E-2</v>
      </c>
      <c r="D152" s="6">
        <f t="shared" ca="1" si="12"/>
        <v>4.0088497161274161E-2</v>
      </c>
      <c r="E152" s="6">
        <f t="shared" ca="1" si="13"/>
        <v>5.0343979067213815E-2</v>
      </c>
      <c r="F152">
        <f t="shared" ca="1" si="11"/>
        <v>3.4537855084718017E-2</v>
      </c>
      <c r="G152">
        <f t="shared" ca="1" si="10"/>
        <v>1.2065666299586375</v>
      </c>
      <c r="H152">
        <f t="shared" ca="1" si="14"/>
        <v>0.56532749500634671</v>
      </c>
    </row>
    <row r="153" spans="1:8" x14ac:dyDescent="0.25">
      <c r="A153" s="1">
        <v>40400</v>
      </c>
      <c r="B153">
        <v>250.9149352</v>
      </c>
      <c r="C153" s="6">
        <v>3.2452858549791869E-3</v>
      </c>
      <c r="D153" s="6">
        <f t="shared" ca="1" si="12"/>
        <v>5.3157380444151595E-2</v>
      </c>
      <c r="E153" s="6">
        <f t="shared" ca="1" si="13"/>
        <v>4.9912094589172409E-2</v>
      </c>
      <c r="F153">
        <f t="shared" ca="1" si="11"/>
        <v>2.202690702839127E-2</v>
      </c>
      <c r="G153">
        <f t="shared" ca="1" si="10"/>
        <v>2.0960709899788115</v>
      </c>
      <c r="H153">
        <f t="shared" ca="1" si="14"/>
        <v>0.60368383192978614</v>
      </c>
    </row>
    <row r="154" spans="1:8" x14ac:dyDescent="0.25">
      <c r="A154" s="5">
        <v>40401</v>
      </c>
      <c r="B154">
        <v>244.95227869999999</v>
      </c>
      <c r="C154" s="6">
        <v>2.37636571742821E-2</v>
      </c>
      <c r="D154" s="6">
        <f t="shared" ca="1" si="12"/>
        <v>7.0962137548547882E-2</v>
      </c>
      <c r="E154" s="6">
        <f t="shared" ca="1" si="13"/>
        <v>4.7198480374265786E-2</v>
      </c>
      <c r="F154">
        <f t="shared" ca="1" si="11"/>
        <v>3.4289507957495878E-2</v>
      </c>
      <c r="G154">
        <f t="shared" ca="1" si="10"/>
        <v>2.204253333898583</v>
      </c>
      <c r="H154">
        <f t="shared" ca="1" si="14"/>
        <v>0.83715156945066604</v>
      </c>
    </row>
    <row r="155" spans="1:8" x14ac:dyDescent="0.25">
      <c r="A155" s="1">
        <v>40402</v>
      </c>
      <c r="B155">
        <v>245.0867696</v>
      </c>
      <c r="C155" s="6">
        <v>-5.490493932686284E-4</v>
      </c>
      <c r="D155" s="6">
        <f t="shared" ca="1" si="12"/>
        <v>2.4960389711249573E-2</v>
      </c>
      <c r="E155" s="6">
        <f t="shared" ca="1" si="13"/>
        <v>2.5509439104518201E-2</v>
      </c>
      <c r="F155">
        <f t="shared" ca="1" si="11"/>
        <v>3.6552014683564095E-2</v>
      </c>
      <c r="G155">
        <f t="shared" ca="1" si="10"/>
        <v>0.64285952034875593</v>
      </c>
      <c r="H155">
        <f t="shared" ca="1" si="14"/>
        <v>2.236111314879603</v>
      </c>
    </row>
    <row r="156" spans="1:8" x14ac:dyDescent="0.25">
      <c r="A156" s="5">
        <v>40403</v>
      </c>
      <c r="B156">
        <v>242.2673375</v>
      </c>
      <c r="C156" s="6">
        <v>1.1503811913639913E-2</v>
      </c>
      <c r="D156" s="6">
        <f t="shared" ca="1" si="12"/>
        <v>4.6402610895372454E-2</v>
      </c>
      <c r="E156" s="6">
        <f t="shared" ca="1" si="13"/>
        <v>3.4898798981732537E-2</v>
      </c>
      <c r="F156">
        <f t="shared" ca="1" si="11"/>
        <v>1.527289531753712E-2</v>
      </c>
      <c r="G156">
        <f t="shared" ca="1" si="10"/>
        <v>2.3371953381537547</v>
      </c>
      <c r="H156">
        <f t="shared" ca="1" si="14"/>
        <v>1.732405074604815</v>
      </c>
    </row>
    <row r="157" spans="1:8" x14ac:dyDescent="0.25">
      <c r="A157" s="1">
        <v>40406</v>
      </c>
      <c r="B157">
        <v>241.88875110000001</v>
      </c>
      <c r="C157" s="6">
        <v>1.5626803179771974E-3</v>
      </c>
      <c r="D157" s="6">
        <f t="shared" ca="1" si="12"/>
        <v>-5.3042794387607436E-2</v>
      </c>
      <c r="E157" s="6">
        <f t="shared" ca="1" si="13"/>
        <v>-5.4605474705584633E-2</v>
      </c>
      <c r="F157">
        <f t="shared" ca="1" si="11"/>
        <v>3.7781128627480606E-2</v>
      </c>
      <c r="G157">
        <f t="shared" ca="1" si="10"/>
        <v>-1.3974068162164501</v>
      </c>
      <c r="H157">
        <f t="shared" ca="1" si="14"/>
        <v>0.206032780460081</v>
      </c>
    </row>
    <row r="158" spans="1:8" x14ac:dyDescent="0.25">
      <c r="A158" s="5">
        <v>40407</v>
      </c>
      <c r="B158">
        <v>244.34455059999999</v>
      </c>
      <c r="C158" s="6">
        <v>-1.0152599030885581E-2</v>
      </c>
      <c r="D158" s="6">
        <f t="shared" ca="1" si="12"/>
        <v>7.1979922914440445E-3</v>
      </c>
      <c r="E158" s="6">
        <f t="shared" ca="1" si="13"/>
        <v>1.7350591322329627E-2</v>
      </c>
      <c r="F158">
        <f t="shared" ca="1" si="11"/>
        <v>2.49895392278646E-2</v>
      </c>
      <c r="G158">
        <f t="shared" ca="1" si="10"/>
        <v>8.062751110186446E-2</v>
      </c>
      <c r="H158">
        <f t="shared" ca="1" si="14"/>
        <v>2.5474568956034767</v>
      </c>
    </row>
    <row r="159" spans="1:8" x14ac:dyDescent="0.25">
      <c r="A159" s="1">
        <v>40408</v>
      </c>
      <c r="B159">
        <v>240.17517050000001</v>
      </c>
      <c r="C159" s="6">
        <v>1.7063528078534458E-2</v>
      </c>
      <c r="D159" s="6">
        <f t="shared" ca="1" si="12"/>
        <v>-1.200693646012168E-2</v>
      </c>
      <c r="E159" s="6">
        <f t="shared" ca="1" si="13"/>
        <v>-2.9070464538656138E-2</v>
      </c>
      <c r="F159">
        <f t="shared" ca="1" si="11"/>
        <v>9.288938377750619E-3</v>
      </c>
      <c r="G159">
        <f t="shared" ca="1" si="10"/>
        <v>-1.3683851095613395</v>
      </c>
      <c r="H159">
        <f t="shared" ca="1" si="14"/>
        <v>2.0829956466672699</v>
      </c>
    </row>
    <row r="160" spans="1:8" x14ac:dyDescent="0.25">
      <c r="A160" s="5">
        <v>40409</v>
      </c>
      <c r="B160">
        <v>233.11163640000001</v>
      </c>
      <c r="C160" s="6">
        <v>2.9409926451993498E-2</v>
      </c>
      <c r="D160" s="6">
        <f t="shared" ca="1" si="12"/>
        <v>-1.3381031689720595E-2</v>
      </c>
      <c r="E160" s="6">
        <f t="shared" ca="1" si="13"/>
        <v>-4.2790958141714089E-2</v>
      </c>
      <c r="F160">
        <f t="shared" ca="1" si="11"/>
        <v>2.2788264424992464E-2</v>
      </c>
      <c r="G160">
        <f t="shared" ca="1" si="10"/>
        <v>-0.38647042185326463</v>
      </c>
      <c r="H160">
        <f t="shared" ca="1" si="14"/>
        <v>1.2175158630281966</v>
      </c>
    </row>
    <row r="161" spans="1:8" x14ac:dyDescent="0.25">
      <c r="A161" s="1">
        <v>40410</v>
      </c>
      <c r="B161">
        <v>230.14774869999999</v>
      </c>
      <c r="C161" s="6">
        <v>1.2714456239817358E-2</v>
      </c>
      <c r="D161" s="6">
        <f t="shared" ca="1" si="12"/>
        <v>1.7974262211809675E-2</v>
      </c>
      <c r="E161" s="6">
        <f t="shared" ca="1" si="13"/>
        <v>5.2598059719923176E-3</v>
      </c>
      <c r="F161">
        <f t="shared" ca="1" si="11"/>
        <v>1.0741432974429695E-2</v>
      </c>
      <c r="G161">
        <f t="shared" ca="1" si="10"/>
        <v>0.95757103059196391</v>
      </c>
      <c r="H161">
        <f t="shared" ca="1" si="14"/>
        <v>2.7927850907391152</v>
      </c>
    </row>
    <row r="162" spans="1:8" x14ac:dyDescent="0.25">
      <c r="A162" s="5">
        <v>40413</v>
      </c>
      <c r="B162">
        <v>231.16891469999999</v>
      </c>
      <c r="C162" s="6">
        <v>-4.4370019075489391E-3</v>
      </c>
      <c r="D162" s="6">
        <f t="shared" ca="1" si="12"/>
        <v>-1.4124489151481743E-2</v>
      </c>
      <c r="E162" s="6">
        <f t="shared" ca="1" si="13"/>
        <v>-9.6874872439328026E-3</v>
      </c>
      <c r="F162">
        <f t="shared" ca="1" si="11"/>
        <v>1.6790622092067102E-2</v>
      </c>
      <c r="G162">
        <f t="shared" ca="1" si="10"/>
        <v>-1.630406858192031</v>
      </c>
      <c r="H162">
        <f t="shared" ca="1" si="14"/>
        <v>2.7394208831133553</v>
      </c>
    </row>
    <row r="163" spans="1:8" x14ac:dyDescent="0.25">
      <c r="A163" s="1">
        <v>40414</v>
      </c>
      <c r="B163">
        <v>224.85258880000001</v>
      </c>
      <c r="C163" s="6">
        <v>2.7323422390925736E-2</v>
      </c>
      <c r="D163" s="6">
        <f t="shared" ca="1" si="12"/>
        <v>9.9532673655566058E-4</v>
      </c>
      <c r="E163" s="6">
        <f t="shared" ca="1" si="13"/>
        <v>-2.6328095654370075E-2</v>
      </c>
      <c r="F163">
        <f t="shared" ca="1" si="11"/>
        <v>2.6989515026939997E-2</v>
      </c>
      <c r="G163">
        <f t="shared" ca="1" si="10"/>
        <v>-0.17537129285295563</v>
      </c>
      <c r="H163">
        <f t="shared" ca="1" si="14"/>
        <v>2.2161407739019237</v>
      </c>
    </row>
    <row r="164" spans="1:8" x14ac:dyDescent="0.25">
      <c r="A164" s="5">
        <v>40415</v>
      </c>
      <c r="B164">
        <v>226.46155450000001</v>
      </c>
      <c r="C164" s="6">
        <v>-7.1556467665628174E-3</v>
      </c>
      <c r="D164" s="6">
        <f t="shared" ca="1" si="12"/>
        <v>-1.1356518639705099E-2</v>
      </c>
      <c r="E164" s="6">
        <f t="shared" ca="1" si="13"/>
        <v>-4.2008718731422817E-3</v>
      </c>
      <c r="F164">
        <f t="shared" ca="1" si="11"/>
        <v>9.9474252422455979E-3</v>
      </c>
      <c r="G164">
        <f t="shared" ca="1" si="10"/>
        <v>-0.9407307365560964</v>
      </c>
      <c r="H164">
        <f t="shared" ca="1" si="14"/>
        <v>2.8048161489875865</v>
      </c>
    </row>
    <row r="165" spans="1:8" x14ac:dyDescent="0.25">
      <c r="A165" s="1">
        <v>40416</v>
      </c>
      <c r="B165">
        <v>224.64834980000001</v>
      </c>
      <c r="C165" s="6">
        <v>8.0066777957227171E-3</v>
      </c>
      <c r="D165" s="6">
        <f t="shared" ca="1" si="12"/>
        <v>1.0763324841869606E-2</v>
      </c>
      <c r="E165" s="6">
        <f t="shared" ca="1" si="13"/>
        <v>2.7566470461468894E-3</v>
      </c>
      <c r="F165">
        <f t="shared" ca="1" si="11"/>
        <v>1.6519064464283702E-2</v>
      </c>
      <c r="G165">
        <f t="shared" ca="1" si="10"/>
        <v>-9.3668373329905061E-2</v>
      </c>
      <c r="H165">
        <f t="shared" ca="1" si="14"/>
        <v>2.8113374762333834</v>
      </c>
    </row>
    <row r="166" spans="1:8" x14ac:dyDescent="0.25">
      <c r="A166" s="5">
        <v>40417</v>
      </c>
      <c r="B166">
        <v>228.5586959</v>
      </c>
      <c r="C166" s="6">
        <v>-1.740652047291379E-2</v>
      </c>
      <c r="D166" s="6">
        <f t="shared" ca="1" si="12"/>
        <v>4.9931329419715736E-3</v>
      </c>
      <c r="E166" s="6">
        <f t="shared" ca="1" si="13"/>
        <v>2.2399653414885364E-2</v>
      </c>
      <c r="F166">
        <f t="shared" ca="1" si="11"/>
        <v>8.034261569705603E-3</v>
      </c>
      <c r="G166">
        <f t="shared" ca="1" si="10"/>
        <v>1.0227482160315233</v>
      </c>
      <c r="H166">
        <f t="shared" ca="1" si="14"/>
        <v>2.36863856346617</v>
      </c>
    </row>
    <row r="167" spans="1:8" x14ac:dyDescent="0.25">
      <c r="A167" s="1">
        <v>40420</v>
      </c>
      <c r="B167">
        <v>225.5001575</v>
      </c>
      <c r="C167" s="6">
        <v>1.3381850941861291E-2</v>
      </c>
      <c r="D167" s="6">
        <f t="shared" ca="1" si="12"/>
        <v>7.3515410421946901E-3</v>
      </c>
      <c r="E167" s="6">
        <f t="shared" ca="1" si="13"/>
        <v>-6.030309899666601E-3</v>
      </c>
      <c r="F167">
        <f t="shared" ca="1" si="11"/>
        <v>1.763560750520142E-2</v>
      </c>
      <c r="G167">
        <f t="shared" ca="1" si="10"/>
        <v>0.2123184504905824</v>
      </c>
      <c r="H167">
        <f t="shared" ca="1" si="14"/>
        <v>2.7889153063235272</v>
      </c>
    </row>
    <row r="168" spans="1:8" x14ac:dyDescent="0.25">
      <c r="A168" s="5">
        <v>40421</v>
      </c>
      <c r="B168">
        <v>224.17013829999999</v>
      </c>
      <c r="C168" s="6">
        <v>5.8980854592086459E-3</v>
      </c>
      <c r="D168" s="6">
        <f t="shared" ca="1" si="12"/>
        <v>-2.140436243220091E-2</v>
      </c>
      <c r="E168" s="6">
        <f t="shared" ca="1" si="13"/>
        <v>-2.7302447891409558E-2</v>
      </c>
      <c r="F168">
        <f t="shared" ca="1" si="11"/>
        <v>8.7211145732775663E-3</v>
      </c>
      <c r="G168">
        <f t="shared" ca="1" si="10"/>
        <v>-1.5550713587194251</v>
      </c>
      <c r="H168">
        <f t="shared" ca="1" si="14"/>
        <v>2.1703550943594192</v>
      </c>
    </row>
    <row r="169" spans="1:8" x14ac:dyDescent="0.25">
      <c r="A169" s="1">
        <v>40422</v>
      </c>
      <c r="B169">
        <v>229.30590470000001</v>
      </c>
      <c r="C169" s="6">
        <v>-2.2910127276305575E-2</v>
      </c>
      <c r="D169" s="6">
        <f t="shared" ca="1" si="12"/>
        <v>-1.0487487704238617E-2</v>
      </c>
      <c r="E169" s="6">
        <f t="shared" ca="1" si="13"/>
        <v>1.2422639572066957E-2</v>
      </c>
      <c r="F169">
        <f t="shared" ca="1" si="11"/>
        <v>2.5598705680589119E-2</v>
      </c>
      <c r="G169">
        <f t="shared" ca="1" si="10"/>
        <v>-0.64522288928465676</v>
      </c>
      <c r="H169">
        <f t="shared" ca="1" si="14"/>
        <v>2.6785975498030377</v>
      </c>
    </row>
    <row r="170" spans="1:8" x14ac:dyDescent="0.25">
      <c r="A170" s="5">
        <v>40423</v>
      </c>
      <c r="B170">
        <v>230.7255849</v>
      </c>
      <c r="C170" s="6">
        <v>-6.1912064665641713E-3</v>
      </c>
      <c r="D170" s="6">
        <f t="shared" ca="1" si="12"/>
        <v>-4.3958961963743133E-3</v>
      </c>
      <c r="E170" s="6">
        <f t="shared" ca="1" si="13"/>
        <v>1.7953102701898579E-3</v>
      </c>
      <c r="F170">
        <f t="shared" ca="1" si="11"/>
        <v>1.3814441173699218E-2</v>
      </c>
      <c r="G170">
        <f t="shared" ca="1" si="10"/>
        <v>-0.51054837336800662</v>
      </c>
      <c r="H170">
        <f t="shared" ca="1" si="14"/>
        <v>2.815523355327417</v>
      </c>
    </row>
    <row r="171" spans="1:8" x14ac:dyDescent="0.25">
      <c r="A171" s="1">
        <v>40424</v>
      </c>
      <c r="B171">
        <v>234.27229790000001</v>
      </c>
      <c r="C171" s="6">
        <v>-1.5371997004741416E-2</v>
      </c>
      <c r="D171" s="6">
        <f t="shared" ca="1" si="12"/>
        <v>-8.6017297683220421E-3</v>
      </c>
      <c r="E171" s="6">
        <f t="shared" ca="1" si="13"/>
        <v>6.7702672364193736E-3</v>
      </c>
      <c r="F171">
        <f t="shared" ca="1" si="11"/>
        <v>1.1063749341332595E-2</v>
      </c>
      <c r="G171">
        <f t="shared" ca="1" si="10"/>
        <v>0.15552495134595479</v>
      </c>
      <c r="H171">
        <f t="shared" ca="1" si="14"/>
        <v>2.7762401865185429</v>
      </c>
    </row>
    <row r="172" spans="1:8" x14ac:dyDescent="0.25">
      <c r="A172" s="5">
        <v>40428</v>
      </c>
      <c r="B172">
        <v>231.33329749999999</v>
      </c>
      <c r="C172" s="6">
        <v>1.2545232305932087E-2</v>
      </c>
      <c r="D172" s="6">
        <f t="shared" ca="1" si="12"/>
        <v>-7.3861348654734645E-3</v>
      </c>
      <c r="E172" s="6">
        <f t="shared" ca="1" si="13"/>
        <v>-1.9931367171405551E-2</v>
      </c>
      <c r="F172">
        <f t="shared" ca="1" si="11"/>
        <v>7.6722211248366201E-3</v>
      </c>
      <c r="G172">
        <f t="shared" ca="1" si="10"/>
        <v>-0.59909504556835191</v>
      </c>
      <c r="H172">
        <f t="shared" ca="1" si="14"/>
        <v>2.475118921267963</v>
      </c>
    </row>
    <row r="173" spans="1:8" x14ac:dyDescent="0.25">
      <c r="A173" s="1">
        <v>40429</v>
      </c>
      <c r="B173">
        <v>234.41176369999999</v>
      </c>
      <c r="C173" s="6">
        <v>-1.3307492839417154E-2</v>
      </c>
      <c r="D173" s="6">
        <f t="shared" ca="1" si="12"/>
        <v>-7.6191079093742252E-4</v>
      </c>
      <c r="E173" s="6">
        <f t="shared" ca="1" si="13"/>
        <v>1.2545582048479732E-2</v>
      </c>
      <c r="F173">
        <f t="shared" ca="1" si="11"/>
        <v>1.1774269928999067E-2</v>
      </c>
      <c r="G173">
        <f t="shared" ca="1" si="10"/>
        <v>0.52350093854416779</v>
      </c>
      <c r="H173">
        <f t="shared" ca="1" si="14"/>
        <v>2.6758471727507076</v>
      </c>
    </row>
    <row r="174" spans="1:8" x14ac:dyDescent="0.25">
      <c r="A174" s="5">
        <v>40430</v>
      </c>
      <c r="B174">
        <v>237.2013192</v>
      </c>
      <c r="C174" s="6">
        <v>-1.190023681392576E-2</v>
      </c>
      <c r="D174" s="6">
        <f t="shared" ca="1" si="12"/>
        <v>-1.9265981260484649E-3</v>
      </c>
      <c r="E174" s="6">
        <f t="shared" ca="1" si="13"/>
        <v>9.973638687877295E-3</v>
      </c>
      <c r="F174">
        <f t="shared" ca="1" si="11"/>
        <v>1.1065623326886058E-2</v>
      </c>
      <c r="G174">
        <f t="shared" ca="1" si="10"/>
        <v>-0.68488859958359083</v>
      </c>
      <c r="H174">
        <f t="shared" ca="1" si="14"/>
        <v>2.7278262706696021</v>
      </c>
    </row>
    <row r="175" spans="1:8" x14ac:dyDescent="0.25">
      <c r="A175" s="1">
        <v>40431</v>
      </c>
      <c r="B175">
        <v>237.1813914</v>
      </c>
      <c r="C175" s="6">
        <v>8.4012180316765013E-5</v>
      </c>
      <c r="D175" s="6">
        <f t="shared" ca="1" si="12"/>
        <v>2.0357083187712174E-2</v>
      </c>
      <c r="E175" s="6">
        <f t="shared" ca="1" si="13"/>
        <v>2.0273071007395407E-2</v>
      </c>
      <c r="F175">
        <f t="shared" ca="1" si="11"/>
        <v>1.3047827921218559E-2</v>
      </c>
      <c r="G175">
        <f t="shared" ca="1" si="10"/>
        <v>2.019727973739017</v>
      </c>
      <c r="H175">
        <f t="shared" ca="1" si="14"/>
        <v>2.4494384650916556</v>
      </c>
    </row>
    <row r="176" spans="1:8" x14ac:dyDescent="0.25">
      <c r="A176" s="5">
        <v>40434</v>
      </c>
      <c r="B176">
        <v>240.23495489999999</v>
      </c>
      <c r="C176" s="6">
        <v>-1.2874380582624391E-2</v>
      </c>
      <c r="D176" s="6">
        <f t="shared" ca="1" si="12"/>
        <v>8.136214135343757E-2</v>
      </c>
      <c r="E176" s="6">
        <f t="shared" ca="1" si="13"/>
        <v>9.4236521936061968E-2</v>
      </c>
      <c r="F176">
        <f t="shared" ca="1" si="11"/>
        <v>3.2819602060146773E-2</v>
      </c>
      <c r="G176">
        <f t="shared" ca="1" si="10"/>
        <v>2.6424413641382003</v>
      </c>
      <c r="H176">
        <f t="shared" ca="1" si="14"/>
        <v>-5.049720783191872</v>
      </c>
    </row>
    <row r="177" spans="1:8" x14ac:dyDescent="0.25">
      <c r="A177" s="1">
        <v>40435</v>
      </c>
      <c r="B177">
        <v>239.3183884</v>
      </c>
      <c r="C177" s="6">
        <v>3.8152919935465547E-3</v>
      </c>
      <c r="D177" s="6">
        <f t="shared" ca="1" si="12"/>
        <v>-1.577934078523871E-2</v>
      </c>
      <c r="E177" s="6">
        <f t="shared" ca="1" si="13"/>
        <v>-1.9594632778785266E-2</v>
      </c>
      <c r="F177">
        <f t="shared" ca="1" si="11"/>
        <v>4.3145018326397451E-2</v>
      </c>
      <c r="G177">
        <f t="shared" ca="1" si="10"/>
        <v>-0.3666003796458906</v>
      </c>
      <c r="H177">
        <f t="shared" ca="1" si="14"/>
        <v>2.4867510265119641</v>
      </c>
    </row>
    <row r="178" spans="1:8" x14ac:dyDescent="0.25">
      <c r="A178" s="5">
        <v>40436</v>
      </c>
      <c r="B178">
        <v>239.42300280000001</v>
      </c>
      <c r="C178" s="6">
        <v>-4.3713481734278074E-4</v>
      </c>
      <c r="D178" s="6">
        <f t="shared" ca="1" si="12"/>
        <v>-2.8779277405610016E-3</v>
      </c>
      <c r="E178" s="6">
        <f t="shared" ca="1" si="13"/>
        <v>-2.4407929232182208E-3</v>
      </c>
      <c r="F178">
        <f t="shared" ca="1" si="11"/>
        <v>1.4027674298590578E-2</v>
      </c>
      <c r="G178">
        <f t="shared" ca="1" si="10"/>
        <v>0.20834889526264944</v>
      </c>
      <c r="H178">
        <f t="shared" ca="1" si="14"/>
        <v>2.8145387606094094</v>
      </c>
    </row>
    <row r="179" spans="1:8" x14ac:dyDescent="0.25">
      <c r="A179" s="1">
        <v>40437</v>
      </c>
      <c r="B179">
        <v>239.63221609999999</v>
      </c>
      <c r="C179" s="6">
        <v>-8.7382288900098785E-4</v>
      </c>
      <c r="D179" s="6">
        <f t="shared" ca="1" si="12"/>
        <v>1.4314457176026309E-2</v>
      </c>
      <c r="E179" s="6">
        <f t="shared" ca="1" si="13"/>
        <v>1.5188280065027296E-2</v>
      </c>
      <c r="F179">
        <f t="shared" ca="1" si="11"/>
        <v>8.2699981495063645E-3</v>
      </c>
      <c r="G179">
        <f t="shared" ca="1" si="10"/>
        <v>1.5230303514475014</v>
      </c>
      <c r="H179">
        <f t="shared" ca="1" si="14"/>
        <v>2.6102768546501176</v>
      </c>
    </row>
    <row r="180" spans="1:8" x14ac:dyDescent="0.25">
      <c r="A180" s="5">
        <v>40438</v>
      </c>
      <c r="B180">
        <v>244.16025440000001</v>
      </c>
      <c r="C180" s="6">
        <v>-1.889578276950225E-2</v>
      </c>
      <c r="D180" s="6">
        <f t="shared" ca="1" si="12"/>
        <v>-1.043539522106833E-2</v>
      </c>
      <c r="E180" s="6">
        <f t="shared" ca="1" si="13"/>
        <v>8.4603875484339196E-3</v>
      </c>
      <c r="F180">
        <f t="shared" ca="1" si="11"/>
        <v>2.5102108519544065E-2</v>
      </c>
      <c r="G180">
        <f t="shared" ca="1" si="10"/>
        <v>-0.40787118106596115</v>
      </c>
      <c r="H180">
        <f t="shared" ca="1" si="14"/>
        <v>2.7529536990494337</v>
      </c>
    </row>
    <row r="181" spans="1:8" x14ac:dyDescent="0.25">
      <c r="A181" s="1">
        <v>40441</v>
      </c>
      <c r="B181">
        <v>253.19141289999999</v>
      </c>
      <c r="C181" s="6">
        <v>-3.6988651253633258E-2</v>
      </c>
      <c r="D181" s="6">
        <f t="shared" ca="1" si="12"/>
        <v>1.0149016934959509E-2</v>
      </c>
      <c r="E181" s="6">
        <f t="shared" ca="1" si="13"/>
        <v>4.7137668188592767E-2</v>
      </c>
      <c r="F181">
        <f t="shared" ca="1" si="11"/>
        <v>1.1254500359999316E-2</v>
      </c>
      <c r="G181">
        <f t="shared" ca="1" si="10"/>
        <v>0.93678405137861487</v>
      </c>
      <c r="H181">
        <f t="shared" ca="1" si="14"/>
        <v>0.84223469755106739</v>
      </c>
    </row>
    <row r="182" spans="1:8" x14ac:dyDescent="0.25">
      <c r="A182" s="5">
        <v>40442</v>
      </c>
      <c r="B182">
        <v>255.77173970000001</v>
      </c>
      <c r="C182" s="6">
        <v>-1.019120976673543E-2</v>
      </c>
      <c r="D182" s="6">
        <f t="shared" ca="1" si="12"/>
        <v>-8.1426057956701121E-3</v>
      </c>
      <c r="E182" s="6">
        <f t="shared" ca="1" si="13"/>
        <v>2.048603971065318E-3</v>
      </c>
      <c r="F182">
        <f t="shared" ca="1" si="11"/>
        <v>1.6516123381628472E-2</v>
      </c>
      <c r="G182">
        <f t="shared" ca="1" si="10"/>
        <v>2.2501149887719042E-2</v>
      </c>
      <c r="H182">
        <f t="shared" ca="1" si="14"/>
        <v>2.8145787240842437</v>
      </c>
    </row>
    <row r="183" spans="1:8" x14ac:dyDescent="0.25">
      <c r="A183" s="1">
        <v>40443</v>
      </c>
      <c r="B183">
        <v>257.03700070000002</v>
      </c>
      <c r="C183" s="6">
        <v>-4.9468365875137751E-3</v>
      </c>
      <c r="D183" s="6">
        <f t="shared" ca="1" si="12"/>
        <v>-2.8806654733037909E-2</v>
      </c>
      <c r="E183" s="6">
        <f t="shared" ca="1" si="13"/>
        <v>-2.3859818145524132E-2</v>
      </c>
      <c r="F183">
        <f t="shared" ca="1" si="11"/>
        <v>7.9040099402941585E-3</v>
      </c>
      <c r="G183">
        <f t="shared" ca="1" si="10"/>
        <v>-1.5360549112495869</v>
      </c>
      <c r="H183">
        <f t="shared" ca="1" si="14"/>
        <v>2.3246285446824038</v>
      </c>
    </row>
    <row r="184" spans="1:8" x14ac:dyDescent="0.25">
      <c r="A184" s="5">
        <v>40444</v>
      </c>
      <c r="B184">
        <v>255.7817039</v>
      </c>
      <c r="C184" s="6">
        <v>4.8837202293110357E-3</v>
      </c>
      <c r="D184" s="6">
        <f t="shared" ca="1" si="12"/>
        <v>-2.9422309707337554E-2</v>
      </c>
      <c r="E184" s="6">
        <f t="shared" ca="1" si="13"/>
        <v>-3.4306029936648587E-2</v>
      </c>
      <c r="F184">
        <f t="shared" ca="1" si="11"/>
        <v>2.5292595758597925E-2</v>
      </c>
      <c r="G184">
        <f t="shared" ca="1" si="10"/>
        <v>-0.9817303059907353</v>
      </c>
      <c r="H184">
        <f t="shared" ca="1" si="14"/>
        <v>1.7919425283846495</v>
      </c>
    </row>
    <row r="185" spans="1:8" x14ac:dyDescent="0.25">
      <c r="A185" s="1">
        <v>40445</v>
      </c>
      <c r="B185">
        <v>262.66094229999999</v>
      </c>
      <c r="C185" s="6">
        <v>-2.6894958846194437E-2</v>
      </c>
      <c r="D185" s="6">
        <f t="shared" ca="1" si="12"/>
        <v>6.7583184487751673E-3</v>
      </c>
      <c r="E185" s="6">
        <f t="shared" ca="1" si="13"/>
        <v>3.3653277294969607E-2</v>
      </c>
      <c r="F185">
        <f t="shared" ca="1" si="11"/>
        <v>1.8080840953665484E-2</v>
      </c>
      <c r="G185">
        <f t="shared" ca="1" si="10"/>
        <v>0.49704928869854226</v>
      </c>
      <c r="H185">
        <f t="shared" ca="1" si="14"/>
        <v>1.808174269063761</v>
      </c>
    </row>
    <row r="186" spans="1:8" x14ac:dyDescent="0.25">
      <c r="A186" s="5">
        <v>40448</v>
      </c>
      <c r="B186">
        <v>264.21511390000001</v>
      </c>
      <c r="C186" s="6">
        <v>-5.9170259056822777E-3</v>
      </c>
      <c r="D186" s="6">
        <f t="shared" ca="1" si="12"/>
        <v>-7.5304949080221961E-3</v>
      </c>
      <c r="E186" s="6">
        <f t="shared" ca="1" si="13"/>
        <v>-1.6134690023399184E-3</v>
      </c>
      <c r="F186">
        <f t="shared" ca="1" si="11"/>
        <v>1.1297502759370082E-2</v>
      </c>
      <c r="G186">
        <f t="shared" ca="1" si="10"/>
        <v>-0.8612915791645942</v>
      </c>
      <c r="H186">
        <f t="shared" ca="1" si="14"/>
        <v>2.8172198047622534</v>
      </c>
    </row>
    <row r="187" spans="1:8" x14ac:dyDescent="0.25">
      <c r="A187" s="1">
        <v>40449</v>
      </c>
      <c r="B187">
        <v>262.60115839999997</v>
      </c>
      <c r="C187" s="6">
        <v>6.1084904499856905E-3</v>
      </c>
      <c r="D187" s="6">
        <f t="shared" ca="1" si="12"/>
        <v>-1.1400752323581804E-2</v>
      </c>
      <c r="E187" s="6">
        <f t="shared" ca="1" si="13"/>
        <v>-1.7509242773567496E-2</v>
      </c>
      <c r="F187">
        <f t="shared" ca="1" si="11"/>
        <v>1.5455096601371482E-2</v>
      </c>
      <c r="G187">
        <f t="shared" ca="1" si="10"/>
        <v>4.6396050076151059E-2</v>
      </c>
      <c r="H187">
        <f t="shared" ca="1" si="14"/>
        <v>2.5543309526510281</v>
      </c>
    </row>
    <row r="188" spans="1:8" x14ac:dyDescent="0.25">
      <c r="A188" s="5">
        <v>40450</v>
      </c>
      <c r="B188">
        <v>262.86019199999998</v>
      </c>
      <c r="C188" s="6">
        <v>-9.8641453669996194E-4</v>
      </c>
      <c r="D188" s="6">
        <f t="shared" ca="1" si="12"/>
        <v>-9.6094779222615778E-3</v>
      </c>
      <c r="E188" s="6">
        <f t="shared" ca="1" si="13"/>
        <v>-8.6230633855616159E-3</v>
      </c>
      <c r="F188">
        <f t="shared" ca="1" si="11"/>
        <v>7.7931781804904104E-3</v>
      </c>
      <c r="G188">
        <f t="shared" ca="1" si="10"/>
        <v>-0.89098719685989269</v>
      </c>
      <c r="H188">
        <f t="shared" ca="1" si="14"/>
        <v>2.7562617363415587</v>
      </c>
    </row>
    <row r="189" spans="1:8" x14ac:dyDescent="0.25">
      <c r="A189" s="1">
        <v>40451</v>
      </c>
      <c r="B189">
        <v>261.9137485</v>
      </c>
      <c r="C189" s="6">
        <v>3.6005585052604188E-3</v>
      </c>
      <c r="D189" s="6">
        <f t="shared" ca="1" si="12"/>
        <v>1.351137683993887E-2</v>
      </c>
      <c r="E189" s="6">
        <f t="shared" ca="1" si="13"/>
        <v>9.9108183346784517E-3</v>
      </c>
      <c r="F189">
        <f t="shared" ca="1" si="11"/>
        <v>1.5736692217353583E-2</v>
      </c>
      <c r="G189">
        <f t="shared" ca="1" si="10"/>
        <v>0.68369962061684075</v>
      </c>
      <c r="H189">
        <f t="shared" ca="1" si="14"/>
        <v>2.7289498071080174</v>
      </c>
    </row>
    <row r="190" spans="1:8" x14ac:dyDescent="0.25">
      <c r="A190" s="5">
        <v>40452</v>
      </c>
      <c r="B190">
        <v>261.8290624</v>
      </c>
      <c r="C190" s="6">
        <v>3.233358328266566E-4</v>
      </c>
      <c r="D190" s="6">
        <f t="shared" ca="1" si="12"/>
        <v>2.7966499691545084E-3</v>
      </c>
      <c r="E190" s="6">
        <f t="shared" ca="1" si="13"/>
        <v>2.4733141363278517E-3</v>
      </c>
      <c r="F190">
        <f t="shared" ca="1" si="11"/>
        <v>1.3333430572793009E-2</v>
      </c>
      <c r="G190">
        <f t="shared" ca="1" si="10"/>
        <v>0.24307520049899925</v>
      </c>
      <c r="H190">
        <f t="shared" ca="1" si="14"/>
        <v>2.8127406980649257</v>
      </c>
    </row>
    <row r="191" spans="1:8" x14ac:dyDescent="0.25">
      <c r="A191" s="1">
        <v>40455</v>
      </c>
      <c r="B191">
        <v>260.20015289999998</v>
      </c>
      <c r="C191" s="6">
        <v>6.2212707980885329E-3</v>
      </c>
      <c r="D191" s="6">
        <f t="shared" ca="1" si="12"/>
        <v>1.4580617330692554E-2</v>
      </c>
      <c r="E191" s="6">
        <f t="shared" ca="1" si="13"/>
        <v>8.3593465326040201E-3</v>
      </c>
      <c r="F191">
        <f t="shared" ca="1" si="11"/>
        <v>8.4328261830340888E-3</v>
      </c>
      <c r="G191">
        <f t="shared" ca="1" si="10"/>
        <v>1.5366562931709489</v>
      </c>
      <c r="H191">
        <f t="shared" ca="1" si="14"/>
        <v>2.7544875362910677</v>
      </c>
    </row>
    <row r="192" spans="1:8" x14ac:dyDescent="0.25">
      <c r="A192" s="5">
        <v>40456</v>
      </c>
      <c r="B192">
        <v>268.11050599999999</v>
      </c>
      <c r="C192" s="6">
        <v>-3.0401031712844969E-2</v>
      </c>
      <c r="D192" s="6">
        <f t="shared" ca="1" si="12"/>
        <v>1.1311005280494799E-3</v>
      </c>
      <c r="E192" s="6">
        <f t="shared" ca="1" si="13"/>
        <v>3.1532132240894448E-2</v>
      </c>
      <c r="F192">
        <f t="shared" ca="1" si="11"/>
        <v>2.5312567388041749E-2</v>
      </c>
      <c r="G192">
        <f t="shared" ca="1" si="10"/>
        <v>3.8925977305103436E-2</v>
      </c>
      <c r="H192">
        <f t="shared" ca="1" si="14"/>
        <v>1.9309085388893279</v>
      </c>
    </row>
    <row r="193" spans="1:8" x14ac:dyDescent="0.25">
      <c r="A193" s="1">
        <v>40457</v>
      </c>
      <c r="B193">
        <v>266.1777634</v>
      </c>
      <c r="C193" s="6">
        <v>7.2087536920316855E-3</v>
      </c>
      <c r="D193" s="6">
        <f t="shared" ca="1" si="12"/>
        <v>8.5446408259663223E-3</v>
      </c>
      <c r="E193" s="6">
        <f t="shared" ca="1" si="13"/>
        <v>1.3358871339346368E-3</v>
      </c>
      <c r="F193">
        <f t="shared" ca="1" si="11"/>
        <v>9.2772290835100198E-3</v>
      </c>
      <c r="G193">
        <f t="shared" ca="1" si="10"/>
        <v>0.61894634880232857</v>
      </c>
      <c r="H193">
        <f t="shared" ca="1" si="14"/>
        <v>2.8169477645415721</v>
      </c>
    </row>
    <row r="194" spans="1:8" x14ac:dyDescent="0.25">
      <c r="A194" s="5">
        <v>40458</v>
      </c>
      <c r="B194">
        <v>264.01586420000001</v>
      </c>
      <c r="C194" s="6">
        <v>8.1220127947021197E-3</v>
      </c>
      <c r="D194" s="6">
        <f t="shared" ca="1" si="12"/>
        <v>-8.4042850921906952E-3</v>
      </c>
      <c r="E194" s="6">
        <f t="shared" ca="1" si="13"/>
        <v>-1.6526297886892815E-2</v>
      </c>
      <c r="F194">
        <f t="shared" ca="1" si="11"/>
        <v>1.2100112824258883E-2</v>
      </c>
      <c r="G194">
        <f t="shared" ca="1" si="10"/>
        <v>0.43743319006917658</v>
      </c>
      <c r="H194">
        <f t="shared" ca="1" si="14"/>
        <v>2.5835230562292324</v>
      </c>
    </row>
    <row r="195" spans="1:8" x14ac:dyDescent="0.25">
      <c r="A195" s="1">
        <v>40459</v>
      </c>
      <c r="B195">
        <v>267.17401169999999</v>
      </c>
      <c r="C195" s="6">
        <v>-1.1961961110062659E-2</v>
      </c>
      <c r="D195" s="6">
        <f t="shared" ca="1" si="12"/>
        <v>1.2255943429405462E-3</v>
      </c>
      <c r="E195" s="6">
        <f t="shared" ca="1" si="13"/>
        <v>1.3187555453003205E-2</v>
      </c>
      <c r="F195">
        <f t="shared" ca="1" si="11"/>
        <v>1.0111160750878735E-2</v>
      </c>
      <c r="G195">
        <f t="shared" ref="G195:G258" ca="1" si="15">_xlfn.NORM.INV(RAND(),0,1)</f>
        <v>-0.20002588541249672</v>
      </c>
      <c r="H195">
        <f t="shared" ca="1" si="14"/>
        <v>2.661052075610324</v>
      </c>
    </row>
    <row r="196" spans="1:8" x14ac:dyDescent="0.25">
      <c r="A196" s="5">
        <v>40462</v>
      </c>
      <c r="B196">
        <v>268.41437000000002</v>
      </c>
      <c r="C196" s="6">
        <v>-4.6425110440486209E-3</v>
      </c>
      <c r="D196" s="6">
        <f t="shared" ca="1" si="12"/>
        <v>-8.9184266855121073E-3</v>
      </c>
      <c r="E196" s="6">
        <f t="shared" ca="1" si="13"/>
        <v>-4.2759156414634864E-3</v>
      </c>
      <c r="F196">
        <f t="shared" ref="F196:F259" ca="1" si="16">SQRT($K$6+$K$7*POWER($G195,2)+$K$8*POWER($F195,2))</f>
        <v>7.8450397277831391E-3</v>
      </c>
      <c r="G196">
        <f t="shared" ca="1" si="15"/>
        <v>-1.6032624876784438</v>
      </c>
      <c r="H196">
        <f t="shared" ca="1" si="14"/>
        <v>2.8042800791155873</v>
      </c>
    </row>
    <row r="197" spans="1:8" x14ac:dyDescent="0.25">
      <c r="A197" s="1">
        <v>40463</v>
      </c>
      <c r="B197">
        <v>269.68460540000001</v>
      </c>
      <c r="C197" s="6">
        <v>-4.7323673468003596E-3</v>
      </c>
      <c r="D197" s="6">
        <f t="shared" ref="D197:D260" ca="1" si="17">($K$10*$C196)+($K$11*$C195)+($F197*$G197)</f>
        <v>-1.2246328624314224E-2</v>
      </c>
      <c r="E197" s="6">
        <f t="shared" ca="1" si="13"/>
        <v>-7.5139612775138647E-3</v>
      </c>
      <c r="F197">
        <f t="shared" ca="1" si="16"/>
        <v>2.6314984732815055E-2</v>
      </c>
      <c r="G197">
        <f t="shared" ca="1" si="15"/>
        <v>-0.26056285110204225</v>
      </c>
      <c r="H197">
        <f t="shared" ca="1" si="14"/>
        <v>2.7716820989562403</v>
      </c>
    </row>
    <row r="198" spans="1:8" x14ac:dyDescent="0.25">
      <c r="A198" s="5">
        <v>40464</v>
      </c>
      <c r="B198">
        <v>270.63605360000003</v>
      </c>
      <c r="C198" s="6">
        <v>-3.5280033822798836E-3</v>
      </c>
      <c r="D198" s="6">
        <f t="shared" ca="1" si="17"/>
        <v>2.8231985458506254E-3</v>
      </c>
      <c r="E198" s="6">
        <f t="shared" ref="E198:E261" ca="1" si="18">$D198-$C198</f>
        <v>6.351201928130509E-3</v>
      </c>
      <c r="F198">
        <f t="shared" ca="1" si="16"/>
        <v>1.0294082869680973E-2</v>
      </c>
      <c r="G198">
        <f t="shared" ca="1" si="15"/>
        <v>0.47745800910533898</v>
      </c>
      <c r="H198">
        <f t="shared" ref="H198:H261" ca="1" si="19">LN(_xlfn.NORM.DIST($E198,AVERAGE($E$5:$E$1763),_xlfn.STDEV.S($E$5:$E$1763),FALSE))</f>
        <v>2.7812340551726535</v>
      </c>
    </row>
    <row r="199" spans="1:8" x14ac:dyDescent="0.25">
      <c r="A199" s="1">
        <v>40465</v>
      </c>
      <c r="B199">
        <v>269.45547920000001</v>
      </c>
      <c r="C199" s="6">
        <v>4.3622214568089304E-3</v>
      </c>
      <c r="D199" s="6">
        <f t="shared" ca="1" si="17"/>
        <v>-1.4848122351583413E-2</v>
      </c>
      <c r="E199" s="6">
        <f t="shared" ca="1" si="18"/>
        <v>-1.9210343808392344E-2</v>
      </c>
      <c r="F199">
        <f t="shared" ca="1" si="16"/>
        <v>1.0432526015567682E-2</v>
      </c>
      <c r="G199">
        <f t="shared" ca="1" si="15"/>
        <v>-1.2188671380460228</v>
      </c>
      <c r="H199">
        <f t="shared" ca="1" si="19"/>
        <v>2.499781330566456</v>
      </c>
    </row>
    <row r="200" spans="1:8" x14ac:dyDescent="0.25">
      <c r="A200" s="5">
        <v>40466</v>
      </c>
      <c r="B200">
        <v>299.60253410000001</v>
      </c>
      <c r="C200" s="6">
        <v>-0.11188139498779211</v>
      </c>
      <c r="D200" s="6">
        <f t="shared" ca="1" si="17"/>
        <v>-2.5888708298413683E-2</v>
      </c>
      <c r="E200" s="6">
        <f t="shared" ca="1" si="18"/>
        <v>8.5992686689378428E-2</v>
      </c>
      <c r="F200">
        <f t="shared" ca="1" si="16"/>
        <v>2.0588520151228935E-2</v>
      </c>
      <c r="G200">
        <f t="shared" ca="1" si="15"/>
        <v>-1.1802312128203414</v>
      </c>
      <c r="H200">
        <f t="shared" ca="1" si="19"/>
        <v>-3.7357641792587715</v>
      </c>
    </row>
    <row r="201" spans="1:8" x14ac:dyDescent="0.25">
      <c r="A201" s="1">
        <v>40469</v>
      </c>
      <c r="B201">
        <v>307.70218770000002</v>
      </c>
      <c r="C201" s="6">
        <v>-2.7034663189118902E-2</v>
      </c>
      <c r="D201" s="6">
        <f t="shared" ca="1" si="17"/>
        <v>-1.9539323544312363E-2</v>
      </c>
      <c r="E201" s="6">
        <f t="shared" ca="1" si="18"/>
        <v>7.4953396448065382E-3</v>
      </c>
      <c r="F201">
        <f t="shared" ca="1" si="16"/>
        <v>2.0510162466061972E-2</v>
      </c>
      <c r="G201">
        <f t="shared" ca="1" si="15"/>
        <v>-1.0484023231597737</v>
      </c>
      <c r="H201">
        <f t="shared" ca="1" si="19"/>
        <v>2.7668676347570624</v>
      </c>
    </row>
    <row r="202" spans="1:8" x14ac:dyDescent="0.25">
      <c r="A202" s="5">
        <v>40470</v>
      </c>
      <c r="B202">
        <v>302.78063980000002</v>
      </c>
      <c r="C202" s="6">
        <v>1.5994517090656378E-2</v>
      </c>
      <c r="D202" s="6">
        <f t="shared" ca="1" si="17"/>
        <v>-6.9909049069445034E-2</v>
      </c>
      <c r="E202" s="6">
        <f t="shared" ca="1" si="18"/>
        <v>-8.5903566160101419E-2</v>
      </c>
      <c r="F202">
        <f t="shared" ca="1" si="16"/>
        <v>1.8625461818395094E-2</v>
      </c>
      <c r="G202">
        <f t="shared" ca="1" si="15"/>
        <v>-1.0469359138092298</v>
      </c>
      <c r="H202">
        <f t="shared" ca="1" si="19"/>
        <v>-3.6642817919772184</v>
      </c>
    </row>
    <row r="203" spans="1:8" x14ac:dyDescent="0.25">
      <c r="A203" s="1">
        <v>40471</v>
      </c>
      <c r="B203">
        <v>302.85534730000001</v>
      </c>
      <c r="C203" s="6">
        <v>-2.4673803466871515E-4</v>
      </c>
      <c r="D203" s="6">
        <f t="shared" ca="1" si="17"/>
        <v>-2.8504088346743121E-2</v>
      </c>
      <c r="E203" s="6">
        <f t="shared" ca="1" si="18"/>
        <v>-2.8257350312074405E-2</v>
      </c>
      <c r="F203">
        <f t="shared" ca="1" si="16"/>
        <v>1.8478624796369084E-2</v>
      </c>
      <c r="G203">
        <f t="shared" ca="1" si="15"/>
        <v>-0.88338274353908952</v>
      </c>
      <c r="H203">
        <f t="shared" ca="1" si="19"/>
        <v>2.1238576231606294</v>
      </c>
    </row>
    <row r="204" spans="1:8" x14ac:dyDescent="0.25">
      <c r="A204" s="5">
        <v>40472</v>
      </c>
      <c r="B204">
        <v>304.85284819999998</v>
      </c>
      <c r="C204" s="6">
        <v>-6.5955609428989511E-3</v>
      </c>
      <c r="D204" s="6">
        <f t="shared" ca="1" si="17"/>
        <v>-1.3951058752567356E-2</v>
      </c>
      <c r="E204" s="6">
        <f t="shared" ca="1" si="18"/>
        <v>-7.3554978096684051E-3</v>
      </c>
      <c r="F204">
        <f t="shared" ca="1" si="16"/>
        <v>1.6188687762749576E-2</v>
      </c>
      <c r="G204">
        <f t="shared" ca="1" si="15"/>
        <v>-1.3069308258135093</v>
      </c>
      <c r="H204">
        <f t="shared" ca="1" si="19"/>
        <v>2.7737080320613754</v>
      </c>
    </row>
    <row r="205" spans="1:8" x14ac:dyDescent="0.25">
      <c r="A205" s="1">
        <v>40473</v>
      </c>
      <c r="B205">
        <v>305.1218609</v>
      </c>
      <c r="C205" s="6">
        <v>-8.8243459619420043E-4</v>
      </c>
      <c r="D205" s="6">
        <f t="shared" ca="1" si="17"/>
        <v>-1.273086594238315E-2</v>
      </c>
      <c r="E205" s="6">
        <f t="shared" ca="1" si="18"/>
        <v>-1.1848431346188949E-2</v>
      </c>
      <c r="F205">
        <f t="shared" ca="1" si="16"/>
        <v>2.2120018521078956E-2</v>
      </c>
      <c r="G205">
        <f t="shared" ca="1" si="15"/>
        <v>-0.57050527796887263</v>
      </c>
      <c r="H205">
        <f t="shared" ca="1" si="19"/>
        <v>2.6990805903067443</v>
      </c>
    </row>
    <row r="206" spans="1:8" x14ac:dyDescent="0.25">
      <c r="A206" s="5">
        <v>40476</v>
      </c>
      <c r="B206">
        <v>307.09943390000001</v>
      </c>
      <c r="C206" s="6">
        <v>-6.4812563549752743E-3</v>
      </c>
      <c r="D206" s="6">
        <f t="shared" ca="1" si="17"/>
        <v>-3.1142684936840037E-3</v>
      </c>
      <c r="E206" s="6">
        <f t="shared" ca="1" si="18"/>
        <v>3.3669878612912706E-3</v>
      </c>
      <c r="F206">
        <f t="shared" ca="1" si="16"/>
        <v>1.2552564661253986E-2</v>
      </c>
      <c r="G206">
        <f t="shared" ca="1" si="15"/>
        <v>-1.1358496154308714E-2</v>
      </c>
      <c r="H206">
        <f t="shared" ca="1" si="19"/>
        <v>2.8078333828531425</v>
      </c>
    </row>
    <row r="207" spans="1:8" x14ac:dyDescent="0.25">
      <c r="A207" s="1">
        <v>40477</v>
      </c>
      <c r="B207">
        <v>308.14551749999998</v>
      </c>
      <c r="C207" s="6">
        <v>-3.406335162247834E-3</v>
      </c>
      <c r="D207" s="6">
        <f t="shared" ca="1" si="17"/>
        <v>-6.0941382003697545E-3</v>
      </c>
      <c r="E207" s="6">
        <f t="shared" ca="1" si="18"/>
        <v>-2.6878030381219204E-3</v>
      </c>
      <c r="F207">
        <f t="shared" ca="1" si="16"/>
        <v>7.4209209135192907E-3</v>
      </c>
      <c r="G207">
        <f t="shared" ca="1" si="15"/>
        <v>-0.76761955070116139</v>
      </c>
      <c r="H207">
        <f t="shared" ca="1" si="19"/>
        <v>2.8135041082248602</v>
      </c>
    </row>
    <row r="208" spans="1:8" x14ac:dyDescent="0.25">
      <c r="A208" s="5">
        <v>40478</v>
      </c>
      <c r="B208">
        <v>307.0845109</v>
      </c>
      <c r="C208" s="6">
        <v>3.4431998511871417E-3</v>
      </c>
      <c r="D208" s="6">
        <f t="shared" ca="1" si="17"/>
        <v>-7.0179545519394246E-3</v>
      </c>
      <c r="E208" s="6">
        <f t="shared" ca="1" si="18"/>
        <v>-1.0461154403126567E-2</v>
      </c>
      <c r="F208">
        <f t="shared" ca="1" si="16"/>
        <v>1.400201497502747E-2</v>
      </c>
      <c r="G208">
        <f t="shared" ca="1" si="15"/>
        <v>-0.29265240026267969</v>
      </c>
      <c r="H208">
        <f t="shared" ca="1" si="19"/>
        <v>2.7259253020259799</v>
      </c>
    </row>
    <row r="209" spans="1:8" x14ac:dyDescent="0.25">
      <c r="A209" s="1">
        <v>40479</v>
      </c>
      <c r="B209">
        <v>308.13556870000002</v>
      </c>
      <c r="C209" s="6">
        <v>-3.4226988424769286E-3</v>
      </c>
      <c r="D209" s="6">
        <f t="shared" ca="1" si="17"/>
        <v>-5.3471679223843407E-3</v>
      </c>
      <c r="E209" s="6">
        <f t="shared" ca="1" si="18"/>
        <v>-1.9244690799074121E-3</v>
      </c>
      <c r="F209">
        <f t="shared" ca="1" si="16"/>
        <v>8.8837712316482669E-3</v>
      </c>
      <c r="G209">
        <f t="shared" ca="1" si="15"/>
        <v>-0.42915073902342032</v>
      </c>
      <c r="H209">
        <f t="shared" ca="1" si="19"/>
        <v>2.8163536774446438</v>
      </c>
    </row>
    <row r="210" spans="1:8" x14ac:dyDescent="0.25">
      <c r="A210" s="5">
        <v>40480</v>
      </c>
      <c r="B210">
        <v>305.70465639999998</v>
      </c>
      <c r="C210" s="6">
        <v>7.8890999512191175E-3</v>
      </c>
      <c r="D210" s="6">
        <f t="shared" ca="1" si="17"/>
        <v>1.7334021691604851E-2</v>
      </c>
      <c r="E210" s="6">
        <f t="shared" ca="1" si="18"/>
        <v>9.4449217403857338E-3</v>
      </c>
      <c r="F210">
        <f t="shared" ca="1" si="16"/>
        <v>9.8059797997096087E-3</v>
      </c>
      <c r="G210">
        <f t="shared" ca="1" si="15"/>
        <v>1.6094996217677842</v>
      </c>
      <c r="H210">
        <f t="shared" ca="1" si="19"/>
        <v>2.7370649463459245</v>
      </c>
    </row>
    <row r="211" spans="1:8" x14ac:dyDescent="0.25">
      <c r="A211" s="1">
        <v>40483</v>
      </c>
      <c r="B211">
        <v>306.35224060000002</v>
      </c>
      <c r="C211" s="6">
        <v>-2.118332797498206E-3</v>
      </c>
      <c r="D211" s="6">
        <f t="shared" ca="1" si="17"/>
        <v>2.1349800240955903E-2</v>
      </c>
      <c r="E211" s="6">
        <f t="shared" ca="1" si="18"/>
        <v>2.346813303845411E-2</v>
      </c>
      <c r="F211">
        <f t="shared" ca="1" si="16"/>
        <v>2.645167087521641E-2</v>
      </c>
      <c r="G211">
        <f t="shared" ca="1" si="15"/>
        <v>0.86541944784124569</v>
      </c>
      <c r="H211">
        <f t="shared" ca="1" si="19"/>
        <v>2.3250288024535841</v>
      </c>
    </row>
    <row r="212" spans="1:8" x14ac:dyDescent="0.25">
      <c r="A212" s="5">
        <v>40484</v>
      </c>
      <c r="B212">
        <v>306.65113029999998</v>
      </c>
      <c r="C212" s="6">
        <v>-9.7564065278117975E-4</v>
      </c>
      <c r="D212" s="6">
        <f t="shared" ca="1" si="17"/>
        <v>3.0887541073447503E-2</v>
      </c>
      <c r="E212" s="6">
        <f t="shared" ca="1" si="18"/>
        <v>3.1863181726228686E-2</v>
      </c>
      <c r="F212">
        <f t="shared" ca="1" si="16"/>
        <v>1.6641325252104051E-2</v>
      </c>
      <c r="G212">
        <f t="shared" ca="1" si="15"/>
        <v>1.6424826210970795</v>
      </c>
      <c r="H212">
        <f t="shared" ca="1" si="19"/>
        <v>1.912276232829365</v>
      </c>
    </row>
    <row r="213" spans="1:8" x14ac:dyDescent="0.25">
      <c r="A213" s="1">
        <v>40485</v>
      </c>
      <c r="B213">
        <v>308.93256689999998</v>
      </c>
      <c r="C213" s="6">
        <v>-7.43984409177965E-3</v>
      </c>
      <c r="D213" s="6">
        <f t="shared" ca="1" si="17"/>
        <v>-4.6072000419674483E-3</v>
      </c>
      <c r="E213" s="6">
        <f t="shared" ca="1" si="18"/>
        <v>2.8326440498122017E-3</v>
      </c>
      <c r="F213">
        <f t="shared" ca="1" si="16"/>
        <v>2.7166377874502028E-2</v>
      </c>
      <c r="G213">
        <f t="shared" ca="1" si="15"/>
        <v>-0.13445864645092656</v>
      </c>
      <c r="H213">
        <f t="shared" ca="1" si="19"/>
        <v>2.8109369980230143</v>
      </c>
    </row>
    <row r="214" spans="1:8" x14ac:dyDescent="0.25">
      <c r="A214" s="5">
        <v>40486</v>
      </c>
      <c r="B214">
        <v>310.96995479999998</v>
      </c>
      <c r="C214" s="6">
        <v>-6.5949275611965237E-3</v>
      </c>
      <c r="D214" s="6">
        <f t="shared" ca="1" si="17"/>
        <v>-2.0007232685144486E-2</v>
      </c>
      <c r="E214" s="6">
        <f t="shared" ca="1" si="18"/>
        <v>-1.3412305123947962E-2</v>
      </c>
      <c r="F214">
        <f t="shared" ca="1" si="16"/>
        <v>9.8176040245794502E-3</v>
      </c>
      <c r="G214">
        <f t="shared" ca="1" si="15"/>
        <v>-1.9931062531260468</v>
      </c>
      <c r="H214">
        <f t="shared" ca="1" si="19"/>
        <v>2.664745751333975</v>
      </c>
    </row>
    <row r="215" spans="1:8" x14ac:dyDescent="0.25">
      <c r="A215" s="1">
        <v>40487</v>
      </c>
      <c r="B215">
        <v>311.37342799999999</v>
      </c>
      <c r="C215" s="6">
        <v>-1.297466825242011E-3</v>
      </c>
      <c r="D215" s="6">
        <f t="shared" ca="1" si="17"/>
        <v>-3.6252042125370816E-2</v>
      </c>
      <c r="E215" s="6">
        <f t="shared" ca="1" si="18"/>
        <v>-3.4954575300128805E-2</v>
      </c>
      <c r="F215">
        <f t="shared" ca="1" si="16"/>
        <v>3.2337215334492866E-2</v>
      </c>
      <c r="G215">
        <f t="shared" ca="1" si="15"/>
        <v>-1.0173992856445737</v>
      </c>
      <c r="H215">
        <f t="shared" ca="1" si="19"/>
        <v>1.7525212380231154</v>
      </c>
    </row>
    <row r="216" spans="1:8" x14ac:dyDescent="0.25">
      <c r="A216" s="5">
        <v>40490</v>
      </c>
      <c r="B216">
        <v>312.21528749999999</v>
      </c>
      <c r="C216" s="6">
        <v>-2.7036973109985422E-3</v>
      </c>
      <c r="D216" s="6">
        <f t="shared" ca="1" si="17"/>
        <v>-9.1645226847406457E-3</v>
      </c>
      <c r="E216" s="6">
        <f t="shared" ca="1" si="18"/>
        <v>-6.4608253737421031E-3</v>
      </c>
      <c r="F216">
        <f t="shared" ca="1" si="16"/>
        <v>1.9248972480790105E-2</v>
      </c>
      <c r="G216">
        <f t="shared" ca="1" si="15"/>
        <v>-0.32173722332927385</v>
      </c>
      <c r="H216">
        <f t="shared" ca="1" si="19"/>
        <v>2.7843148064811571</v>
      </c>
    </row>
    <row r="217" spans="1:8" x14ac:dyDescent="0.25">
      <c r="A217" s="1">
        <v>40491</v>
      </c>
      <c r="B217">
        <v>311.2439114</v>
      </c>
      <c r="C217" s="6">
        <v>3.1112381068143127E-3</v>
      </c>
      <c r="D217" s="6">
        <f t="shared" ca="1" si="17"/>
        <v>1.2683240072119255E-2</v>
      </c>
      <c r="E217" s="6">
        <f t="shared" ca="1" si="18"/>
        <v>9.572001965304942E-3</v>
      </c>
      <c r="F217">
        <f t="shared" ca="1" si="16"/>
        <v>9.7191901517691779E-3</v>
      </c>
      <c r="G217">
        <f t="shared" ca="1" si="15"/>
        <v>1.3651206784439451</v>
      </c>
      <c r="H217">
        <f t="shared" ca="1" si="19"/>
        <v>2.7348894184149115</v>
      </c>
    </row>
    <row r="218" spans="1:8" x14ac:dyDescent="0.25">
      <c r="A218" s="5">
        <v>40492</v>
      </c>
      <c r="B218">
        <v>310.27754010000001</v>
      </c>
      <c r="C218" s="6">
        <v>3.1048681262652697E-3</v>
      </c>
      <c r="D218" s="6">
        <f t="shared" ca="1" si="17"/>
        <v>-2.3924112411197206E-2</v>
      </c>
      <c r="E218" s="6">
        <f t="shared" ca="1" si="18"/>
        <v>-2.7028980537462475E-2</v>
      </c>
      <c r="F218">
        <f t="shared" ca="1" si="16"/>
        <v>2.2750599315363565E-2</v>
      </c>
      <c r="G218">
        <f t="shared" ca="1" si="15"/>
        <v>-0.99803939317121915</v>
      </c>
      <c r="H218">
        <f t="shared" ca="1" si="19"/>
        <v>2.1833747138368556</v>
      </c>
    </row>
    <row r="219" spans="1:8" x14ac:dyDescent="0.25">
      <c r="A219" s="1">
        <v>40493</v>
      </c>
      <c r="B219">
        <v>307.44315410000002</v>
      </c>
      <c r="C219" s="6">
        <v>9.13500216318105E-3</v>
      </c>
      <c r="D219" s="6">
        <f t="shared" ca="1" si="17"/>
        <v>3.7163507569861658E-3</v>
      </c>
      <c r="E219" s="6">
        <f t="shared" ca="1" si="18"/>
        <v>-5.4186514061948842E-3</v>
      </c>
      <c r="F219">
        <f t="shared" ca="1" si="16"/>
        <v>1.8090141247743288E-2</v>
      </c>
      <c r="G219">
        <f t="shared" ca="1" si="15"/>
        <v>0.12794314323830405</v>
      </c>
      <c r="H219">
        <f t="shared" ca="1" si="19"/>
        <v>2.7948889619400998</v>
      </c>
    </row>
    <row r="220" spans="1:8" x14ac:dyDescent="0.25">
      <c r="A220" s="5">
        <v>40494</v>
      </c>
      <c r="B220">
        <v>300.5191006</v>
      </c>
      <c r="C220" s="6">
        <v>2.2521410568627828E-2</v>
      </c>
      <c r="D220" s="6">
        <f t="shared" ca="1" si="17"/>
        <v>-2.3463982275658815E-3</v>
      </c>
      <c r="E220" s="6">
        <f t="shared" ca="1" si="18"/>
        <v>-2.486780879619371E-2</v>
      </c>
      <c r="F220">
        <f t="shared" ca="1" si="16"/>
        <v>8.3606379871006258E-3</v>
      </c>
      <c r="G220">
        <f t="shared" ca="1" si="15"/>
        <v>-0.44798843864078086</v>
      </c>
      <c r="H220">
        <f t="shared" ca="1" si="19"/>
        <v>2.2816234844288901</v>
      </c>
    </row>
    <row r="221" spans="1:8" x14ac:dyDescent="0.25">
      <c r="A221" s="1">
        <v>40497</v>
      </c>
      <c r="B221">
        <v>296.62367760000001</v>
      </c>
      <c r="C221" s="6">
        <v>1.2962314183100527E-2</v>
      </c>
      <c r="D221" s="6">
        <f t="shared" ca="1" si="17"/>
        <v>4.5084945606226317E-3</v>
      </c>
      <c r="E221" s="6">
        <f t="shared" ca="1" si="18"/>
        <v>-8.4538196224778952E-3</v>
      </c>
      <c r="F221">
        <f t="shared" ca="1" si="16"/>
        <v>9.9860754587192766E-3</v>
      </c>
      <c r="G221">
        <f t="shared" ca="1" si="15"/>
        <v>3.9283056976966747E-2</v>
      </c>
      <c r="H221">
        <f t="shared" ca="1" si="19"/>
        <v>2.7587551835600501</v>
      </c>
    </row>
    <row r="222" spans="1:8" x14ac:dyDescent="0.25">
      <c r="A222" s="5">
        <v>40498</v>
      </c>
      <c r="B222">
        <v>290.77060990000001</v>
      </c>
      <c r="C222" s="6">
        <v>1.9732301033273943E-2</v>
      </c>
      <c r="D222" s="6">
        <f t="shared" ca="1" si="17"/>
        <v>1.0472237912402043E-2</v>
      </c>
      <c r="E222" s="6">
        <f t="shared" ca="1" si="18"/>
        <v>-9.2600631208719E-3</v>
      </c>
      <c r="F222">
        <f t="shared" ca="1" si="16"/>
        <v>7.1940684621939399E-3</v>
      </c>
      <c r="G222">
        <f t="shared" ca="1" si="15"/>
        <v>4.5154709011050106E-2</v>
      </c>
      <c r="H222">
        <f t="shared" ca="1" si="19"/>
        <v>2.7464236754950839</v>
      </c>
    </row>
    <row r="223" spans="1:8" x14ac:dyDescent="0.25">
      <c r="A223" s="1">
        <v>40499</v>
      </c>
      <c r="B223">
        <v>290.68592330000001</v>
      </c>
      <c r="C223" s="6">
        <v>2.9124883023467401E-4</v>
      </c>
      <c r="D223" s="6">
        <f t="shared" ca="1" si="17"/>
        <v>3.0925259348105996E-3</v>
      </c>
      <c r="E223" s="6">
        <f t="shared" ca="1" si="18"/>
        <v>2.8012771045759256E-3</v>
      </c>
      <c r="F223">
        <f t="shared" ca="1" si="16"/>
        <v>6.9882679073601335E-3</v>
      </c>
      <c r="G223">
        <f t="shared" ca="1" si="15"/>
        <v>-0.39323919471678431</v>
      </c>
      <c r="H223">
        <f t="shared" ca="1" si="19"/>
        <v>2.8111035264903772</v>
      </c>
    </row>
    <row r="224" spans="1:8" x14ac:dyDescent="0.25">
      <c r="A224" s="5">
        <v>40500</v>
      </c>
      <c r="B224">
        <v>297.16664750000001</v>
      </c>
      <c r="C224" s="6">
        <v>-2.2294592481217672E-2</v>
      </c>
      <c r="D224" s="6">
        <f t="shared" ca="1" si="17"/>
        <v>-5.69166057684432E-3</v>
      </c>
      <c r="E224" s="6">
        <f t="shared" ca="1" si="18"/>
        <v>1.6602931904373352E-2</v>
      </c>
      <c r="F224">
        <f t="shared" ca="1" si="16"/>
        <v>9.3195943783896951E-3</v>
      </c>
      <c r="G224">
        <f t="shared" ca="1" si="15"/>
        <v>-1.5646807819560731</v>
      </c>
      <c r="H224">
        <f t="shared" ca="1" si="19"/>
        <v>2.5701114508392537</v>
      </c>
    </row>
    <row r="225" spans="1:8" x14ac:dyDescent="0.25">
      <c r="A225" s="1">
        <v>40501</v>
      </c>
      <c r="B225">
        <v>294.312364</v>
      </c>
      <c r="C225" s="6">
        <v>9.6049927675682656E-3</v>
      </c>
      <c r="D225" s="6">
        <f t="shared" ca="1" si="17"/>
        <v>-2.7730418417275391E-2</v>
      </c>
      <c r="E225" s="6">
        <f t="shared" ca="1" si="18"/>
        <v>-3.7335411184843653E-2</v>
      </c>
      <c r="F225">
        <f t="shared" ca="1" si="16"/>
        <v>2.5758185716822417E-2</v>
      </c>
      <c r="G225">
        <f t="shared" ca="1" si="15"/>
        <v>-1.0816473692358781</v>
      </c>
      <c r="H225">
        <f t="shared" ca="1" si="19"/>
        <v>1.6014392302852956</v>
      </c>
    </row>
    <row r="226" spans="1:8" x14ac:dyDescent="0.25">
      <c r="A226" s="5">
        <v>40504</v>
      </c>
      <c r="B226">
        <v>294.5066084</v>
      </c>
      <c r="C226" s="6">
        <v>-6.5999401914355969E-4</v>
      </c>
      <c r="D226" s="6">
        <f t="shared" ca="1" si="17"/>
        <v>-2.7062113036047809E-2</v>
      </c>
      <c r="E226" s="6">
        <f t="shared" ca="1" si="18"/>
        <v>-2.6402119016904251E-2</v>
      </c>
      <c r="F226">
        <f t="shared" ca="1" si="16"/>
        <v>1.9494614769929353E-2</v>
      </c>
      <c r="G226">
        <f t="shared" ca="1" si="15"/>
        <v>-0.87292255527380458</v>
      </c>
      <c r="H226">
        <f t="shared" ca="1" si="19"/>
        <v>2.2127211636230504</v>
      </c>
    </row>
    <row r="227" spans="1:8" x14ac:dyDescent="0.25">
      <c r="A227" s="1">
        <v>40505</v>
      </c>
      <c r="B227">
        <v>290.41694100000001</v>
      </c>
      <c r="C227" s="6">
        <v>1.3886504694133703E-2</v>
      </c>
      <c r="D227" s="6">
        <f t="shared" ca="1" si="17"/>
        <v>1.9514999663142029E-2</v>
      </c>
      <c r="E227" s="6">
        <f t="shared" ca="1" si="18"/>
        <v>5.6284949690083262E-3</v>
      </c>
      <c r="F227">
        <f t="shared" ca="1" si="16"/>
        <v>1.6122084925958943E-2</v>
      </c>
      <c r="G227">
        <f t="shared" ca="1" si="15"/>
        <v>0.9420254681112763</v>
      </c>
      <c r="H227">
        <f t="shared" ca="1" si="19"/>
        <v>2.7891181289278704</v>
      </c>
    </row>
    <row r="228" spans="1:8" x14ac:dyDescent="0.25">
      <c r="A228" s="5">
        <v>40506</v>
      </c>
      <c r="B228">
        <v>296.37462319999997</v>
      </c>
      <c r="C228" s="6">
        <v>-2.0514237838487409E-2</v>
      </c>
      <c r="D228" s="6">
        <f t="shared" ca="1" si="17"/>
        <v>-1.0404771973549767E-2</v>
      </c>
      <c r="E228" s="6">
        <f t="shared" ca="1" si="18"/>
        <v>1.0109465864937642E-2</v>
      </c>
      <c r="F228">
        <f t="shared" ca="1" si="16"/>
        <v>1.6843430546823163E-2</v>
      </c>
      <c r="G228">
        <f t="shared" ca="1" si="15"/>
        <v>-0.60009371424637359</v>
      </c>
      <c r="H228">
        <f t="shared" ca="1" si="19"/>
        <v>2.7253732027252395</v>
      </c>
    </row>
    <row r="229" spans="1:8" x14ac:dyDescent="0.25">
      <c r="A229" s="1">
        <v>40508</v>
      </c>
      <c r="B229">
        <v>293.89891069999999</v>
      </c>
      <c r="C229" s="6">
        <v>8.3533214594061992E-3</v>
      </c>
      <c r="D229" s="6">
        <f t="shared" ca="1" si="17"/>
        <v>2.5315539529052487E-2</v>
      </c>
      <c r="E229" s="6">
        <f t="shared" ca="1" si="18"/>
        <v>1.696221806964629E-2</v>
      </c>
      <c r="F229">
        <f t="shared" ca="1" si="16"/>
        <v>1.2377244249788075E-2</v>
      </c>
      <c r="G229">
        <f t="shared" ca="1" si="15"/>
        <v>1.5398595725142548</v>
      </c>
      <c r="H229">
        <f t="shared" ca="1" si="19"/>
        <v>2.5593479911047963</v>
      </c>
    </row>
    <row r="230" spans="1:8" x14ac:dyDescent="0.25">
      <c r="A230" s="5">
        <v>40511</v>
      </c>
      <c r="B230">
        <v>289.96863689999998</v>
      </c>
      <c r="C230" s="6">
        <v>1.33728763765711E-2</v>
      </c>
      <c r="D230" s="6">
        <f t="shared" ca="1" si="17"/>
        <v>2.6422731557346979E-2</v>
      </c>
      <c r="E230" s="6">
        <f t="shared" ca="1" si="18"/>
        <v>1.3049855180775879E-2</v>
      </c>
      <c r="F230">
        <f t="shared" ca="1" si="16"/>
        <v>2.546370777329204E-2</v>
      </c>
      <c r="G230">
        <f t="shared" ca="1" si="15"/>
        <v>1.4006375492258361</v>
      </c>
      <c r="H230">
        <f t="shared" ca="1" si="19"/>
        <v>2.6642868326750349</v>
      </c>
    </row>
    <row r="231" spans="1:8" x14ac:dyDescent="0.25">
      <c r="A231" s="1">
        <v>40512</v>
      </c>
      <c r="B231">
        <v>276.8178881</v>
      </c>
      <c r="C231" s="6">
        <v>4.5352314445424681E-2</v>
      </c>
      <c r="D231" s="6">
        <f t="shared" ca="1" si="17"/>
        <v>2.0419601861439544E-2</v>
      </c>
      <c r="E231" s="6">
        <f t="shared" ca="1" si="18"/>
        <v>-2.4932712583985137E-2</v>
      </c>
      <c r="F231">
        <f t="shared" ca="1" si="16"/>
        <v>2.4027535615864376E-2</v>
      </c>
      <c r="G231">
        <f t="shared" ca="1" si="15"/>
        <v>0.69319359743231945</v>
      </c>
      <c r="H231">
        <f t="shared" ca="1" si="19"/>
        <v>2.2787929680654972</v>
      </c>
    </row>
    <row r="232" spans="1:8" x14ac:dyDescent="0.25">
      <c r="A232" s="5">
        <v>40513</v>
      </c>
      <c r="B232">
        <v>281.12175910000002</v>
      </c>
      <c r="C232" s="6">
        <v>-1.5547662145465284E-2</v>
      </c>
      <c r="D232" s="6">
        <f t="shared" ca="1" si="17"/>
        <v>2.1270957250682138E-2</v>
      </c>
      <c r="E232" s="6">
        <f t="shared" ca="1" si="18"/>
        <v>3.6818619396147424E-2</v>
      </c>
      <c r="F232">
        <f t="shared" ca="1" si="16"/>
        <v>1.4211499936345302E-2</v>
      </c>
      <c r="G232">
        <f t="shared" ca="1" si="15"/>
        <v>1.0727203404548948</v>
      </c>
      <c r="H232">
        <f t="shared" ca="1" si="19"/>
        <v>1.6102533073803285</v>
      </c>
    </row>
    <row r="233" spans="1:8" x14ac:dyDescent="0.25">
      <c r="A233" s="1">
        <v>40514</v>
      </c>
      <c r="B233">
        <v>284.8428346</v>
      </c>
      <c r="C233" s="6">
        <v>-1.3236526094290449E-2</v>
      </c>
      <c r="D233" s="6">
        <f t="shared" ca="1" si="17"/>
        <v>3.8886593458889174E-2</v>
      </c>
      <c r="E233" s="6">
        <f t="shared" ca="1" si="18"/>
        <v>5.2123119553179623E-2</v>
      </c>
      <c r="F233">
        <f t="shared" ca="1" si="16"/>
        <v>1.859968050905143E-2</v>
      </c>
      <c r="G233">
        <f t="shared" ca="1" si="15"/>
        <v>0.99211657995028757</v>
      </c>
      <c r="H233">
        <f t="shared" ca="1" si="19"/>
        <v>0.40384779392015968</v>
      </c>
    </row>
    <row r="234" spans="1:8" x14ac:dyDescent="0.25">
      <c r="A234" s="5">
        <v>40515</v>
      </c>
      <c r="B234">
        <v>285.43063489999997</v>
      </c>
      <c r="C234" s="6">
        <v>-2.0635951781107905E-3</v>
      </c>
      <c r="D234" s="6">
        <f t="shared" ca="1" si="17"/>
        <v>-5.1245668918224107E-3</v>
      </c>
      <c r="E234" s="6">
        <f t="shared" ca="1" si="18"/>
        <v>-3.0609717137116202E-3</v>
      </c>
      <c r="F234">
        <f t="shared" ca="1" si="16"/>
        <v>1.77034980053161E-2</v>
      </c>
      <c r="G234">
        <f t="shared" ca="1" si="15"/>
        <v>0.10623656752782626</v>
      </c>
      <c r="H234">
        <f t="shared" ca="1" si="19"/>
        <v>2.811736780520401</v>
      </c>
    </row>
    <row r="235" spans="1:8" x14ac:dyDescent="0.25">
      <c r="A235" s="1">
        <v>40518</v>
      </c>
      <c r="B235">
        <v>288.10062210000001</v>
      </c>
      <c r="C235" s="6">
        <v>-9.354241884146252E-3</v>
      </c>
      <c r="D235" s="6">
        <f t="shared" ca="1" si="17"/>
        <v>-8.9287484697810615E-3</v>
      </c>
      <c r="E235" s="6">
        <f t="shared" ca="1" si="18"/>
        <v>4.2549341436519048E-4</v>
      </c>
      <c r="F235">
        <f t="shared" ca="1" si="16"/>
        <v>8.2310218331697813E-3</v>
      </c>
      <c r="G235">
        <f t="shared" ca="1" si="15"/>
        <v>-0.3602111542981693</v>
      </c>
      <c r="H235">
        <f t="shared" ca="1" si="19"/>
        <v>2.8186698549168985</v>
      </c>
    </row>
    <row r="236" spans="1:8" x14ac:dyDescent="0.25">
      <c r="A236" s="5">
        <v>40519</v>
      </c>
      <c r="B236">
        <v>292.4742258</v>
      </c>
      <c r="C236" s="6">
        <v>-1.5180820048635326E-2</v>
      </c>
      <c r="D236" s="6">
        <f t="shared" ca="1" si="17"/>
        <v>6.2908674518034344E-3</v>
      </c>
      <c r="E236" s="6">
        <f t="shared" ca="1" si="18"/>
        <v>2.147168750043876E-2</v>
      </c>
      <c r="F236">
        <f t="shared" ca="1" si="16"/>
        <v>9.0456905225825088E-3</v>
      </c>
      <c r="G236">
        <f t="shared" ca="1" si="15"/>
        <v>0.79825738628550613</v>
      </c>
      <c r="H236">
        <f t="shared" ca="1" si="19"/>
        <v>2.4048783692272981</v>
      </c>
    </row>
    <row r="237" spans="1:8" x14ac:dyDescent="0.25">
      <c r="A237" s="1">
        <v>40520</v>
      </c>
      <c r="B237">
        <v>294.16789349999999</v>
      </c>
      <c r="C237" s="6">
        <v>-5.7908271929512081E-3</v>
      </c>
      <c r="D237" s="6">
        <f t="shared" ca="1" si="17"/>
        <v>9.2886069364573713E-3</v>
      </c>
      <c r="E237" s="6">
        <f t="shared" ca="1" si="18"/>
        <v>1.507943412940858E-2</v>
      </c>
      <c r="F237">
        <f t="shared" ca="1" si="16"/>
        <v>1.4483250891850482E-2</v>
      </c>
      <c r="G237">
        <f t="shared" ca="1" si="15"/>
        <v>0.93235120893958412</v>
      </c>
      <c r="H237">
        <f t="shared" ca="1" si="19"/>
        <v>2.6132209160486144</v>
      </c>
    </row>
    <row r="238" spans="1:8" x14ac:dyDescent="0.25">
      <c r="A238" s="5">
        <v>40521</v>
      </c>
      <c r="B238">
        <v>294.6461046</v>
      </c>
      <c r="C238" s="6">
        <v>-1.6256400190730197E-3</v>
      </c>
      <c r="D238" s="6">
        <f t="shared" ca="1" si="17"/>
        <v>-1.4649087941738631E-2</v>
      </c>
      <c r="E238" s="6">
        <f t="shared" ca="1" si="18"/>
        <v>-1.3023447922665611E-2</v>
      </c>
      <c r="F238">
        <f t="shared" ca="1" si="16"/>
        <v>1.6612633265148682E-2</v>
      </c>
      <c r="G238">
        <f t="shared" ca="1" si="15"/>
        <v>-0.47007409783390253</v>
      </c>
      <c r="H238">
        <f t="shared" ca="1" si="19"/>
        <v>2.6736863276780634</v>
      </c>
    </row>
    <row r="239" spans="1:8" x14ac:dyDescent="0.25">
      <c r="A239" s="1">
        <v>40522</v>
      </c>
      <c r="B239">
        <v>294.99977339999998</v>
      </c>
      <c r="C239" s="6">
        <v>-1.2003172432233809E-3</v>
      </c>
      <c r="D239" s="6">
        <f t="shared" ca="1" si="17"/>
        <v>3.4723973003492003E-3</v>
      </c>
      <c r="E239" s="6">
        <f t="shared" ca="1" si="18"/>
        <v>4.6727145435725807E-3</v>
      </c>
      <c r="F239">
        <f t="shared" ca="1" si="16"/>
        <v>1.0856835698251696E-2</v>
      </c>
      <c r="G239">
        <f t="shared" ca="1" si="15"/>
        <v>0.56015598258516552</v>
      </c>
      <c r="H239">
        <f t="shared" ca="1" si="19"/>
        <v>2.798129083296558</v>
      </c>
    </row>
    <row r="240" spans="1:8" x14ac:dyDescent="0.25">
      <c r="A240" s="5">
        <v>40525</v>
      </c>
      <c r="B240">
        <v>296.2002761</v>
      </c>
      <c r="C240" s="6">
        <v>-4.069503803896873E-3</v>
      </c>
      <c r="D240" s="6">
        <f t="shared" ca="1" si="17"/>
        <v>5.0759912828341478E-3</v>
      </c>
      <c r="E240" s="6">
        <f t="shared" ca="1" si="18"/>
        <v>9.1454950867310217E-3</v>
      </c>
      <c r="F240">
        <f t="shared" ca="1" si="16"/>
        <v>1.1448820813800572E-2</v>
      </c>
      <c r="G240">
        <f t="shared" ca="1" si="15"/>
        <v>0.50734085158270237</v>
      </c>
      <c r="H240">
        <f t="shared" ca="1" si="19"/>
        <v>2.7420782293224404</v>
      </c>
    </row>
    <row r="241" spans="1:8" x14ac:dyDescent="0.25">
      <c r="A241" s="1">
        <v>40526</v>
      </c>
      <c r="B241">
        <v>296.34474660000001</v>
      </c>
      <c r="C241" s="6">
        <v>-4.8774600045017066E-4</v>
      </c>
      <c r="D241" s="6">
        <f t="shared" ca="1" si="17"/>
        <v>5.4533328991587743E-3</v>
      </c>
      <c r="E241" s="6">
        <f t="shared" ca="1" si="18"/>
        <v>5.9410788996089453E-3</v>
      </c>
      <c r="F241">
        <f t="shared" ca="1" si="16"/>
        <v>1.085347827624538E-2</v>
      </c>
      <c r="G241">
        <f t="shared" ca="1" si="15"/>
        <v>0.5522848347444772</v>
      </c>
      <c r="H241">
        <f t="shared" ca="1" si="19"/>
        <v>2.7858212558980577</v>
      </c>
    </row>
    <row r="242" spans="1:8" x14ac:dyDescent="0.25">
      <c r="A242" s="5">
        <v>40527</v>
      </c>
      <c r="B242">
        <v>294.04835559999998</v>
      </c>
      <c r="C242" s="6">
        <v>7.7490525016785574E-3</v>
      </c>
      <c r="D242" s="6">
        <f t="shared" ca="1" si="17"/>
        <v>-9.0276675202625913E-3</v>
      </c>
      <c r="E242" s="6">
        <f t="shared" ca="1" si="18"/>
        <v>-1.6776720021941149E-2</v>
      </c>
      <c r="F242">
        <f t="shared" ca="1" si="16"/>
        <v>1.1352475323941959E-2</v>
      </c>
      <c r="G242">
        <f t="shared" ca="1" si="15"/>
        <v>-0.63370464481260869</v>
      </c>
      <c r="H242">
        <f t="shared" ca="1" si="19"/>
        <v>2.5762477479509727</v>
      </c>
    </row>
    <row r="243" spans="1:8" x14ac:dyDescent="0.25">
      <c r="A243" s="1">
        <v>40528</v>
      </c>
      <c r="B243">
        <v>294.75071889999998</v>
      </c>
      <c r="C243" s="6">
        <v>-2.3885979520845918E-3</v>
      </c>
      <c r="D243" s="6">
        <f t="shared" ca="1" si="17"/>
        <v>-1.6015979361833771E-2</v>
      </c>
      <c r="E243" s="6">
        <f t="shared" ca="1" si="18"/>
        <v>-1.362738140974918E-2</v>
      </c>
      <c r="F243">
        <f t="shared" ca="1" si="16"/>
        <v>1.2399875415012527E-2</v>
      </c>
      <c r="G243">
        <f t="shared" ca="1" si="15"/>
        <v>-1.2739120091206273</v>
      </c>
      <c r="H243">
        <f t="shared" ca="1" si="19"/>
        <v>2.6596861057016232</v>
      </c>
    </row>
    <row r="244" spans="1:8" x14ac:dyDescent="0.25">
      <c r="A244" s="5">
        <v>40529</v>
      </c>
      <c r="B244">
        <v>294.29741009999998</v>
      </c>
      <c r="C244" s="6">
        <v>1.5379395907556583E-3</v>
      </c>
      <c r="D244" s="6">
        <f t="shared" ca="1" si="17"/>
        <v>4.1193349766607858E-3</v>
      </c>
      <c r="E244" s="6">
        <f t="shared" ca="1" si="18"/>
        <v>2.5813953859051275E-3</v>
      </c>
      <c r="F244">
        <f t="shared" ca="1" si="16"/>
        <v>2.1472993047968337E-2</v>
      </c>
      <c r="G244">
        <f t="shared" ca="1" si="15"/>
        <v>2.9245351998649156E-2</v>
      </c>
      <c r="H244">
        <f t="shared" ca="1" si="19"/>
        <v>2.8122221352233914</v>
      </c>
    </row>
    <row r="245" spans="1:8" x14ac:dyDescent="0.25">
      <c r="A245" s="1">
        <v>40532</v>
      </c>
      <c r="B245">
        <v>296.4194536</v>
      </c>
      <c r="C245" s="6">
        <v>-7.2105408582391669E-3</v>
      </c>
      <c r="D245" s="6">
        <f t="shared" ca="1" si="17"/>
        <v>-6.9287025749880556E-3</v>
      </c>
      <c r="E245" s="6">
        <f t="shared" ca="1" si="18"/>
        <v>2.8183828325111134E-4</v>
      </c>
      <c r="F245">
        <f t="shared" ca="1" si="16"/>
        <v>8.6317010460553976E-3</v>
      </c>
      <c r="G245">
        <f t="shared" ca="1" si="15"/>
        <v>-0.67802726726365459</v>
      </c>
      <c r="H245">
        <f t="shared" ca="1" si="19"/>
        <v>2.818807966035604</v>
      </c>
    </row>
    <row r="246" spans="1:8" x14ac:dyDescent="0.25">
      <c r="A246" s="5">
        <v>40533</v>
      </c>
      <c r="B246">
        <v>300.40951189999998</v>
      </c>
      <c r="C246" s="6">
        <v>-1.3460851680080106E-2</v>
      </c>
      <c r="D246" s="6">
        <f t="shared" ca="1" si="17"/>
        <v>1.7167482613878942E-2</v>
      </c>
      <c r="E246" s="6">
        <f t="shared" ca="1" si="18"/>
        <v>3.0628334293959048E-2</v>
      </c>
      <c r="F246">
        <f t="shared" ca="1" si="16"/>
        <v>1.2839912911011378E-2</v>
      </c>
      <c r="G246">
        <f t="shared" ca="1" si="15"/>
        <v>1.2830828892285207</v>
      </c>
      <c r="H246">
        <f t="shared" ca="1" si="19"/>
        <v>1.9807916850344207</v>
      </c>
    </row>
    <row r="247" spans="1:8" x14ac:dyDescent="0.25">
      <c r="A247" s="1">
        <v>40534</v>
      </c>
      <c r="B247">
        <v>301.61498849999998</v>
      </c>
      <c r="C247" s="6">
        <v>-4.0127777325548704E-3</v>
      </c>
      <c r="D247" s="6">
        <f t="shared" ca="1" si="17"/>
        <v>1.1481443180109388E-2</v>
      </c>
      <c r="E247" s="6">
        <f t="shared" ca="1" si="18"/>
        <v>1.549422091266426E-2</v>
      </c>
      <c r="F247">
        <f t="shared" ca="1" si="16"/>
        <v>2.1625559959594788E-2</v>
      </c>
      <c r="G247">
        <f t="shared" ca="1" si="15"/>
        <v>0.68115808157869362</v>
      </c>
      <c r="H247">
        <f t="shared" ca="1" si="19"/>
        <v>2.6018897889544221</v>
      </c>
    </row>
    <row r="248" spans="1:8" x14ac:dyDescent="0.25">
      <c r="A248" s="5">
        <v>40535</v>
      </c>
      <c r="B248">
        <v>300.9873326</v>
      </c>
      <c r="C248" s="6">
        <v>2.0809837837352015E-3</v>
      </c>
      <c r="D248" s="6">
        <f t="shared" ca="1" si="17"/>
        <v>7.5834705178515205E-3</v>
      </c>
      <c r="E248" s="6">
        <f t="shared" ca="1" si="18"/>
        <v>5.502486734116319E-3</v>
      </c>
      <c r="F248">
        <f t="shared" ca="1" si="16"/>
        <v>1.3815544714766124E-2</v>
      </c>
      <c r="G248">
        <f t="shared" ca="1" si="15"/>
        <v>0.98790290799213509</v>
      </c>
      <c r="H248">
        <f t="shared" ca="1" si="19"/>
        <v>2.7903983865120678</v>
      </c>
    </row>
    <row r="249" spans="1:8" x14ac:dyDescent="0.25">
      <c r="A249" s="1">
        <v>40539</v>
      </c>
      <c r="B249">
        <v>300.06579169999998</v>
      </c>
      <c r="C249" s="6">
        <v>3.0617265252977127E-3</v>
      </c>
      <c r="D249" s="6">
        <f t="shared" ca="1" si="17"/>
        <v>-1.9385635546468917E-2</v>
      </c>
      <c r="E249" s="6">
        <f t="shared" ca="1" si="18"/>
        <v>-2.2447362071766629E-2</v>
      </c>
      <c r="F249">
        <f t="shared" ca="1" si="16"/>
        <v>1.7363393441750988E-2</v>
      </c>
      <c r="G249">
        <f t="shared" ca="1" si="15"/>
        <v>-1.0123415818344563</v>
      </c>
      <c r="H249">
        <f t="shared" ca="1" si="19"/>
        <v>2.3818727632883787</v>
      </c>
    </row>
    <row r="250" spans="1:8" x14ac:dyDescent="0.25">
      <c r="A250" s="5">
        <v>40540</v>
      </c>
      <c r="B250">
        <v>298.34224749999998</v>
      </c>
      <c r="C250" s="6">
        <v>5.7438876662194091E-3</v>
      </c>
      <c r="D250" s="6">
        <f t="shared" ca="1" si="17"/>
        <v>-3.9469498871037133E-3</v>
      </c>
      <c r="E250" s="6">
        <f t="shared" ca="1" si="18"/>
        <v>-9.6908375533231225E-3</v>
      </c>
      <c r="F250">
        <f t="shared" ca="1" si="16"/>
        <v>1.7909298114607147E-2</v>
      </c>
      <c r="G250">
        <f t="shared" ca="1" si="15"/>
        <v>-0.27274112861842431</v>
      </c>
      <c r="H250">
        <f t="shared" ca="1" si="19"/>
        <v>2.7393647189946977</v>
      </c>
    </row>
    <row r="251" spans="1:8" x14ac:dyDescent="0.25">
      <c r="A251" s="1">
        <v>40541</v>
      </c>
      <c r="B251">
        <v>299.3783818</v>
      </c>
      <c r="C251" s="6">
        <v>-3.4729720939037129E-3</v>
      </c>
      <c r="D251" s="6">
        <f t="shared" ca="1" si="17"/>
        <v>1.3016848438495845E-2</v>
      </c>
      <c r="E251" s="6">
        <f t="shared" ca="1" si="18"/>
        <v>1.6489820532399557E-2</v>
      </c>
      <c r="F251">
        <f t="shared" ca="1" si="16"/>
        <v>9.1658387260530275E-3</v>
      </c>
      <c r="G251">
        <f t="shared" ca="1" si="15"/>
        <v>1.2696351851368703</v>
      </c>
      <c r="H251">
        <f t="shared" ca="1" si="19"/>
        <v>2.5734528760062769</v>
      </c>
    </row>
    <row r="252" spans="1:8" x14ac:dyDescent="0.25">
      <c r="A252" s="5">
        <v>40542</v>
      </c>
      <c r="B252">
        <v>298.31237049999999</v>
      </c>
      <c r="C252" s="6">
        <v>3.560749088129428E-3</v>
      </c>
      <c r="D252" s="6">
        <f t="shared" ca="1" si="17"/>
        <v>-9.7721425369829071E-3</v>
      </c>
      <c r="E252" s="6">
        <f t="shared" ca="1" si="18"/>
        <v>-1.3332891625112335E-2</v>
      </c>
      <c r="F252">
        <f t="shared" ca="1" si="16"/>
        <v>2.1305906186982231E-2</v>
      </c>
      <c r="G252">
        <f t="shared" ca="1" si="15"/>
        <v>-0.58012240038742291</v>
      </c>
      <c r="H252">
        <f t="shared" ca="1" si="19"/>
        <v>2.6665933068584118</v>
      </c>
    </row>
    <row r="253" spans="1:8" x14ac:dyDescent="0.25">
      <c r="A253" s="1">
        <v>40543</v>
      </c>
      <c r="B253">
        <v>295.87648380000002</v>
      </c>
      <c r="C253" s="6">
        <v>8.1655571169146988E-3</v>
      </c>
      <c r="D253" s="6">
        <f t="shared" ca="1" si="17"/>
        <v>-1.0097798369422151E-2</v>
      </c>
      <c r="E253" s="6">
        <f t="shared" ca="1" si="18"/>
        <v>-1.8263355486336848E-2</v>
      </c>
      <c r="F253">
        <f t="shared" ca="1" si="16"/>
        <v>1.2573566173483083E-2</v>
      </c>
      <c r="G253">
        <f t="shared" ca="1" si="15"/>
        <v>-0.67865278093972448</v>
      </c>
      <c r="H253">
        <f t="shared" ca="1" si="19"/>
        <v>2.5307788496676826</v>
      </c>
    </row>
    <row r="254" spans="1:8" x14ac:dyDescent="0.25">
      <c r="A254" s="5">
        <v>40546</v>
      </c>
      <c r="B254">
        <v>301.04711650000002</v>
      </c>
      <c r="C254" s="6">
        <v>-1.7475646031724263E-2</v>
      </c>
      <c r="D254" s="6">
        <f t="shared" ca="1" si="17"/>
        <v>-2.0472227819950058E-2</v>
      </c>
      <c r="E254" s="6">
        <f t="shared" ca="1" si="18"/>
        <v>-2.9965817882257953E-3</v>
      </c>
      <c r="F254">
        <f t="shared" ca="1" si="16"/>
        <v>1.305290621419144E-2</v>
      </c>
      <c r="G254">
        <f t="shared" ca="1" si="15"/>
        <v>-1.691323194656144</v>
      </c>
      <c r="H254">
        <f t="shared" ca="1" si="19"/>
        <v>2.8120592771120165</v>
      </c>
    </row>
    <row r="255" spans="1:8" x14ac:dyDescent="0.25">
      <c r="A255" s="1">
        <v>40547</v>
      </c>
      <c r="B255">
        <v>299.93627470000001</v>
      </c>
      <c r="C255" s="6">
        <v>3.6899267228158381E-3</v>
      </c>
      <c r="D255" s="6">
        <f t="shared" ca="1" si="17"/>
        <v>-1.2315044629522952E-2</v>
      </c>
      <c r="E255" s="6">
        <f t="shared" ca="1" si="18"/>
        <v>-1.600497135233879E-2</v>
      </c>
      <c r="F255">
        <f t="shared" ca="1" si="16"/>
        <v>2.7785195399410254E-2</v>
      </c>
      <c r="G255">
        <f t="shared" ca="1" si="15"/>
        <v>-0.57562322731286764</v>
      </c>
      <c r="H255">
        <f t="shared" ca="1" si="19"/>
        <v>2.5983136747311124</v>
      </c>
    </row>
    <row r="256" spans="1:8" x14ac:dyDescent="0.25">
      <c r="A256" s="5">
        <v>40548</v>
      </c>
      <c r="B256">
        <v>303.39831659999999</v>
      </c>
      <c r="C256" s="6">
        <v>-1.1542591517023913E-2</v>
      </c>
      <c r="D256" s="6">
        <f t="shared" ca="1" si="17"/>
        <v>2.2414626527869561E-3</v>
      </c>
      <c r="E256" s="6">
        <f t="shared" ca="1" si="18"/>
        <v>1.3784054169810869E-2</v>
      </c>
      <c r="F256">
        <f t="shared" ca="1" si="16"/>
        <v>1.330301776302569E-2</v>
      </c>
      <c r="G256">
        <f t="shared" ca="1" si="15"/>
        <v>0.76036694006130079</v>
      </c>
      <c r="H256">
        <f t="shared" ca="1" si="19"/>
        <v>2.6466530683993859</v>
      </c>
    </row>
    <row r="257" spans="1:8" x14ac:dyDescent="0.25">
      <c r="A257" s="1">
        <v>40549</v>
      </c>
      <c r="B257">
        <v>305.60504680000003</v>
      </c>
      <c r="C257" s="6">
        <v>-7.2733765458210791E-3</v>
      </c>
      <c r="D257" s="6">
        <f t="shared" ca="1" si="17"/>
        <v>2.5980164875920447E-2</v>
      </c>
      <c r="E257" s="6">
        <f t="shared" ca="1" si="18"/>
        <v>3.3253541421741528E-2</v>
      </c>
      <c r="F257">
        <f t="shared" ca="1" si="16"/>
        <v>1.4177972128351814E-2</v>
      </c>
      <c r="G257">
        <f t="shared" ca="1" si="15"/>
        <v>1.7151841994633528</v>
      </c>
      <c r="H257">
        <f t="shared" ca="1" si="19"/>
        <v>1.8319111395585428</v>
      </c>
    </row>
    <row r="258" spans="1:8" x14ac:dyDescent="0.25">
      <c r="A258" s="5">
        <v>40550</v>
      </c>
      <c r="B258">
        <v>307.06955740000001</v>
      </c>
      <c r="C258" s="6">
        <v>-4.7921675879862551E-3</v>
      </c>
      <c r="D258" s="6">
        <f t="shared" ca="1" si="17"/>
        <v>3.0951773140537583E-2</v>
      </c>
      <c r="E258" s="6">
        <f t="shared" ca="1" si="18"/>
        <v>3.574394072852384E-2</v>
      </c>
      <c r="F258">
        <f t="shared" ca="1" si="16"/>
        <v>2.8183511069414136E-2</v>
      </c>
      <c r="G258">
        <f t="shared" ca="1" si="15"/>
        <v>1.2827531627034985</v>
      </c>
      <c r="H258">
        <f t="shared" ca="1" si="19"/>
        <v>1.6794330462841678</v>
      </c>
    </row>
    <row r="259" spans="1:8" x14ac:dyDescent="0.25">
      <c r="A259" s="1">
        <v>40553</v>
      </c>
      <c r="B259">
        <v>305.9587156</v>
      </c>
      <c r="C259" s="6">
        <v>3.6175575638485707E-3</v>
      </c>
      <c r="D259" s="6">
        <f t="shared" ca="1" si="17"/>
        <v>-3.2474978916542031E-2</v>
      </c>
      <c r="E259" s="6">
        <f t="shared" ca="1" si="18"/>
        <v>-3.6092536480390604E-2</v>
      </c>
      <c r="F259">
        <f t="shared" ca="1" si="16"/>
        <v>2.2525160600017562E-2</v>
      </c>
      <c r="G259">
        <f t="shared" ref="G259:G322" ca="1" si="20">_xlfn.NORM.INV(RAND(),0,1)</f>
        <v>-1.2962318012065472</v>
      </c>
      <c r="H259">
        <f t="shared" ca="1" si="19"/>
        <v>1.6815571466852441</v>
      </c>
    </row>
    <row r="260" spans="1:8" x14ac:dyDescent="0.25">
      <c r="A260" s="5">
        <v>40554</v>
      </c>
      <c r="B260">
        <v>306.85535379999999</v>
      </c>
      <c r="C260" s="6">
        <v>-2.9305855799585004E-3</v>
      </c>
      <c r="D260" s="6">
        <f t="shared" ca="1" si="17"/>
        <v>-1.2836195018505445E-2</v>
      </c>
      <c r="E260" s="6">
        <f t="shared" ca="1" si="18"/>
        <v>-9.9056094385469445E-3</v>
      </c>
      <c r="F260">
        <f t="shared" ref="F260:F323" ca="1" si="21">SQRT($K$6+$K$7*POWER($G259,2)+$K$8*POWER($F259,2))</f>
        <v>2.2313313519599916E-2</v>
      </c>
      <c r="G260">
        <f t="shared" ca="1" si="20"/>
        <v>-0.47850851768422897</v>
      </c>
      <c r="H260">
        <f t="shared" ca="1" si="19"/>
        <v>2.7357229718158638</v>
      </c>
    </row>
    <row r="261" spans="1:8" x14ac:dyDescent="0.25">
      <c r="A261" s="1">
        <v>40555</v>
      </c>
      <c r="B261">
        <v>307.28376050000003</v>
      </c>
      <c r="C261" s="6">
        <v>-1.3961193594792646E-3</v>
      </c>
      <c r="D261" s="6">
        <f t="shared" ref="D261:D324" ca="1" si="22">($K$10*$C260)+($K$11*$C259)+($F261*$G261)</f>
        <v>6.328570718954968E-3</v>
      </c>
      <c r="E261" s="6">
        <f t="shared" ca="1" si="18"/>
        <v>7.7246900784342324E-3</v>
      </c>
      <c r="F261">
        <f t="shared" ca="1" si="21"/>
        <v>1.1573708814325278E-2</v>
      </c>
      <c r="G261">
        <f t="shared" ca="1" si="20"/>
        <v>0.40598080243099377</v>
      </c>
      <c r="H261">
        <f t="shared" ca="1" si="19"/>
        <v>2.7637097936431245</v>
      </c>
    </row>
    <row r="262" spans="1:8" x14ac:dyDescent="0.25">
      <c r="A262" s="5">
        <v>40556</v>
      </c>
      <c r="B262">
        <v>307.19409960000002</v>
      </c>
      <c r="C262" s="6">
        <v>2.9178535127961171E-4</v>
      </c>
      <c r="D262" s="6">
        <f t="shared" ca="1" si="22"/>
        <v>1.3710252024566095E-2</v>
      </c>
      <c r="E262" s="6">
        <f t="shared" ref="E262:E325" ca="1" si="23">$D262-$C262</f>
        <v>1.3418466673286483E-2</v>
      </c>
      <c r="F262">
        <f t="shared" ca="1" si="21"/>
        <v>9.7367188926866938E-3</v>
      </c>
      <c r="G262">
        <f t="shared" ca="1" si="20"/>
        <v>1.5437100427006722</v>
      </c>
      <c r="H262">
        <f t="shared" ref="H262:H325" ca="1" si="24">LN(_xlfn.NORM.DIST($E262,AVERAGE($E$5:$E$1763),_xlfn.STDEV.S($E$5:$E$1763),FALSE))</f>
        <v>2.655552559144664</v>
      </c>
    </row>
    <row r="263" spans="1:8" x14ac:dyDescent="0.25">
      <c r="A263" s="1">
        <v>40557</v>
      </c>
      <c r="B263">
        <v>310.92512429999999</v>
      </c>
      <c r="C263" s="6">
        <v>-1.214549597423315E-2</v>
      </c>
      <c r="D263" s="6">
        <f t="shared" ca="1" si="22"/>
        <v>-3.2862291716772858E-2</v>
      </c>
      <c r="E263" s="6">
        <f t="shared" ca="1" si="23"/>
        <v>-2.0716795742539706E-2</v>
      </c>
      <c r="F263">
        <f t="shared" ca="1" si="21"/>
        <v>2.5449336955432812E-2</v>
      </c>
      <c r="G263">
        <f t="shared" ca="1" si="20"/>
        <v>-1.2665660153655147</v>
      </c>
      <c r="H263">
        <f t="shared" ca="1" si="24"/>
        <v>2.4472093851488279</v>
      </c>
    </row>
    <row r="264" spans="1:8" x14ac:dyDescent="0.25">
      <c r="A264" s="5">
        <v>40561</v>
      </c>
      <c r="B264">
        <v>318.62127370000002</v>
      </c>
      <c r="C264" s="6">
        <v>-2.4752420433461975E-2</v>
      </c>
      <c r="D264" s="6">
        <f t="shared" ca="1" si="22"/>
        <v>-2.6557102399525339E-2</v>
      </c>
      <c r="E264" s="6">
        <f t="shared" ca="1" si="23"/>
        <v>-1.8046819660633637E-3</v>
      </c>
      <c r="F264">
        <f t="shared" ca="1" si="21"/>
        <v>2.2085043438727154E-2</v>
      </c>
      <c r="G264">
        <f t="shared" ca="1" si="20"/>
        <v>-1.2084362651868772</v>
      </c>
      <c r="H264">
        <f t="shared" ca="1" si="24"/>
        <v>2.8167074946742479</v>
      </c>
    </row>
    <row r="265" spans="1:8" x14ac:dyDescent="0.25">
      <c r="A265" s="1">
        <v>40562</v>
      </c>
      <c r="B265">
        <v>314.69597420000002</v>
      </c>
      <c r="C265" s="6">
        <v>1.2319640350492999E-2</v>
      </c>
      <c r="D265" s="6">
        <f t="shared" ca="1" si="22"/>
        <v>3.2653410204719235E-2</v>
      </c>
      <c r="E265" s="6">
        <f t="shared" ca="1" si="23"/>
        <v>2.0333769854226236E-2</v>
      </c>
      <c r="F265">
        <f t="shared" ca="1" si="21"/>
        <v>2.1013927631082674E-2</v>
      </c>
      <c r="G265">
        <f t="shared" ca="1" si="20"/>
        <v>1.8143232237762417</v>
      </c>
      <c r="H265">
        <f t="shared" ca="1" si="24"/>
        <v>2.4472428615106794</v>
      </c>
    </row>
    <row r="266" spans="1:8" x14ac:dyDescent="0.25">
      <c r="A266" s="5">
        <v>40563</v>
      </c>
      <c r="B266">
        <v>312.21528749999999</v>
      </c>
      <c r="C266" s="6">
        <v>7.8828040501829691E-3</v>
      </c>
      <c r="D266" s="6">
        <f t="shared" ca="1" si="22"/>
        <v>-5.7459831446106391E-2</v>
      </c>
      <c r="E266" s="6">
        <f t="shared" ca="1" si="23"/>
        <v>-6.5342635496289353E-2</v>
      </c>
      <c r="F266">
        <f t="shared" ca="1" si="21"/>
        <v>2.9952868363407961E-2</v>
      </c>
      <c r="G266">
        <f t="shared" ca="1" si="20"/>
        <v>-1.5460175730953434</v>
      </c>
      <c r="H266">
        <f t="shared" ca="1" si="24"/>
        <v>-0.92689952879172532</v>
      </c>
    </row>
    <row r="267" spans="1:8" x14ac:dyDescent="0.25">
      <c r="A267" s="1">
        <v>40564</v>
      </c>
      <c r="B267">
        <v>304.77316680000001</v>
      </c>
      <c r="C267" s="6">
        <v>2.3836503201336595E-2</v>
      </c>
      <c r="D267" s="6">
        <f t="shared" ca="1" si="22"/>
        <v>3.2332623345805528E-2</v>
      </c>
      <c r="E267" s="6">
        <f t="shared" ca="1" si="23"/>
        <v>8.4961201444689327E-3</v>
      </c>
      <c r="F267">
        <f t="shared" ca="1" si="21"/>
        <v>2.6464186878970782E-2</v>
      </c>
      <c r="G267">
        <f t="shared" ca="1" si="20"/>
        <v>1.0120013827327348</v>
      </c>
      <c r="H267">
        <f t="shared" ca="1" si="24"/>
        <v>2.7524069530555608</v>
      </c>
    </row>
    <row r="268" spans="1:8" x14ac:dyDescent="0.25">
      <c r="A268" s="5">
        <v>40567</v>
      </c>
      <c r="B268">
        <v>304.39956969999997</v>
      </c>
      <c r="C268" s="6">
        <v>1.2258201859522773E-3</v>
      </c>
      <c r="D268" s="6">
        <f t="shared" ca="1" si="22"/>
        <v>2.3274853467491262E-3</v>
      </c>
      <c r="E268" s="6">
        <f t="shared" ca="1" si="23"/>
        <v>1.1016651607968489E-3</v>
      </c>
      <c r="F268">
        <f t="shared" ca="1" si="21"/>
        <v>1.8597664805712934E-2</v>
      </c>
      <c r="G268">
        <f t="shared" ca="1" si="20"/>
        <v>-6.5844872488703535E-2</v>
      </c>
      <c r="H268">
        <f t="shared" ca="1" si="24"/>
        <v>2.8175305789018239</v>
      </c>
    </row>
    <row r="269" spans="1:8" x14ac:dyDescent="0.25">
      <c r="A269" s="1">
        <v>40568</v>
      </c>
      <c r="B269">
        <v>308.79807599999998</v>
      </c>
      <c r="C269" s="6">
        <v>-1.4449778310576923E-2</v>
      </c>
      <c r="D269" s="6">
        <f t="shared" ca="1" si="22"/>
        <v>6.9910722646287764E-3</v>
      </c>
      <c r="E269" s="6">
        <f t="shared" ca="1" si="23"/>
        <v>2.14408505752057E-2</v>
      </c>
      <c r="F269">
        <f t="shared" ca="1" si="21"/>
        <v>8.2503738670456073E-3</v>
      </c>
      <c r="G269">
        <f t="shared" ca="1" si="20"/>
        <v>-0.45436117137714971</v>
      </c>
      <c r="H269">
        <f t="shared" ca="1" si="24"/>
        <v>2.4060565501163729</v>
      </c>
    </row>
    <row r="270" spans="1:8" x14ac:dyDescent="0.25">
      <c r="A270" s="5">
        <v>40569</v>
      </c>
      <c r="B270">
        <v>307.09943390000001</v>
      </c>
      <c r="C270" s="6">
        <v>5.5008182758236237E-3</v>
      </c>
      <c r="D270" s="6">
        <f t="shared" ca="1" si="22"/>
        <v>-6.5595729029180932E-3</v>
      </c>
      <c r="E270" s="6">
        <f t="shared" ca="1" si="23"/>
        <v>-1.2060391178741716E-2</v>
      </c>
      <c r="F270">
        <f t="shared" ca="1" si="21"/>
        <v>1.005212305629994E-2</v>
      </c>
      <c r="G270">
        <f t="shared" ca="1" si="20"/>
        <v>-0.70747598475477291</v>
      </c>
      <c r="H270">
        <f t="shared" ca="1" si="24"/>
        <v>2.6946798905483993</v>
      </c>
    </row>
    <row r="271" spans="1:8" x14ac:dyDescent="0.25">
      <c r="A271" s="1">
        <v>40570</v>
      </c>
      <c r="B271">
        <v>307.24390440000002</v>
      </c>
      <c r="C271" s="6">
        <v>-4.7043557900876764E-4</v>
      </c>
      <c r="D271" s="6">
        <f t="shared" ca="1" si="22"/>
        <v>-2.3820207368102853E-2</v>
      </c>
      <c r="E271" s="6">
        <f t="shared" ca="1" si="23"/>
        <v>-2.3349771789094087E-2</v>
      </c>
      <c r="F271">
        <f t="shared" ca="1" si="21"/>
        <v>1.3295180014669285E-2</v>
      </c>
      <c r="G271">
        <f t="shared" ca="1" si="20"/>
        <v>-1.3019643730919155</v>
      </c>
      <c r="H271">
        <f t="shared" ca="1" si="24"/>
        <v>2.3457059567663259</v>
      </c>
    </row>
    <row r="272" spans="1:8" x14ac:dyDescent="0.25">
      <c r="A272" s="5">
        <v>40571</v>
      </c>
      <c r="B272">
        <v>299.37337710000003</v>
      </c>
      <c r="C272" s="6">
        <v>2.5616544990111092E-2</v>
      </c>
      <c r="D272" s="6">
        <f t="shared" ca="1" si="22"/>
        <v>1.439814093510799E-2</v>
      </c>
      <c r="E272" s="6">
        <f t="shared" ca="1" si="23"/>
        <v>-1.1218404055003102E-2</v>
      </c>
      <c r="F272">
        <f t="shared" ca="1" si="21"/>
        <v>2.1923491425839724E-2</v>
      </c>
      <c r="G272">
        <f t="shared" ca="1" si="20"/>
        <v>0.54369610807699242</v>
      </c>
      <c r="H272">
        <f t="shared" ca="1" si="24"/>
        <v>2.7116930508432957</v>
      </c>
    </row>
    <row r="273" spans="1:8" x14ac:dyDescent="0.25">
      <c r="A273" s="1">
        <v>40574</v>
      </c>
      <c r="B273">
        <v>299.05956429999998</v>
      </c>
      <c r="C273" s="6">
        <v>1.0482321542413819E-3</v>
      </c>
      <c r="D273" s="6">
        <f t="shared" ca="1" si="22"/>
        <v>5.5381729769749793E-3</v>
      </c>
      <c r="E273" s="6">
        <f t="shared" ca="1" si="23"/>
        <v>4.4899408227335978E-3</v>
      </c>
      <c r="F273">
        <f t="shared" ca="1" si="21"/>
        <v>1.2228630505561141E-2</v>
      </c>
      <c r="G273">
        <f t="shared" ca="1" si="20"/>
        <v>0.47018406969616422</v>
      </c>
      <c r="H273">
        <f t="shared" ca="1" si="24"/>
        <v>2.7996686035670018</v>
      </c>
    </row>
    <row r="274" spans="1:8" x14ac:dyDescent="0.25">
      <c r="A274" s="5">
        <v>40575</v>
      </c>
      <c r="B274">
        <v>304.37964190000002</v>
      </c>
      <c r="C274" s="6">
        <v>-1.7789357823925805E-2</v>
      </c>
      <c r="D274" s="6">
        <f t="shared" ca="1" si="22"/>
        <v>-1.9032353083527753E-3</v>
      </c>
      <c r="E274" s="6">
        <f t="shared" ca="1" si="23"/>
        <v>1.5886122515573031E-2</v>
      </c>
      <c r="F274">
        <f t="shared" ca="1" si="21"/>
        <v>1.0482168835163033E-2</v>
      </c>
      <c r="G274">
        <f t="shared" ca="1" si="20"/>
        <v>-1.2826509982334444</v>
      </c>
      <c r="H274">
        <f t="shared" ca="1" si="24"/>
        <v>2.5909048475792074</v>
      </c>
    </row>
    <row r="275" spans="1:8" x14ac:dyDescent="0.25">
      <c r="A275" s="1">
        <v>40576</v>
      </c>
      <c r="B275">
        <v>304.85785290000001</v>
      </c>
      <c r="C275" s="6">
        <v>-1.5711004751004258E-3</v>
      </c>
      <c r="D275" s="6">
        <f t="shared" ca="1" si="22"/>
        <v>-2.2418223208500229E-2</v>
      </c>
      <c r="E275" s="6">
        <f t="shared" ca="1" si="23"/>
        <v>-2.0847122733399802E-2</v>
      </c>
      <c r="F275">
        <f t="shared" ca="1" si="21"/>
        <v>2.1538319591174866E-2</v>
      </c>
      <c r="G275">
        <f t="shared" ca="1" si="20"/>
        <v>-1.0627670886530034</v>
      </c>
      <c r="H275">
        <f t="shared" ca="1" si="24"/>
        <v>2.4424730040060103</v>
      </c>
    </row>
    <row r="276" spans="1:8" x14ac:dyDescent="0.25">
      <c r="A276" s="5">
        <v>40577</v>
      </c>
      <c r="B276">
        <v>303.93628169999999</v>
      </c>
      <c r="C276" s="6">
        <v>3.0229537839798143E-3</v>
      </c>
      <c r="D276" s="6">
        <f t="shared" ca="1" si="22"/>
        <v>-2.666095622955636E-2</v>
      </c>
      <c r="E276" s="6">
        <f t="shared" ca="1" si="23"/>
        <v>-2.9683910013536173E-2</v>
      </c>
      <c r="F276">
        <f t="shared" ca="1" si="21"/>
        <v>1.890086761540721E-2</v>
      </c>
      <c r="G276">
        <f t="shared" ca="1" si="20"/>
        <v>-0.9865056096328827</v>
      </c>
      <c r="H276">
        <f t="shared" ca="1" si="24"/>
        <v>2.0513954820645082</v>
      </c>
    </row>
    <row r="277" spans="1:8" x14ac:dyDescent="0.25">
      <c r="A277" s="1">
        <v>40578</v>
      </c>
      <c r="B277">
        <v>304.34973450000001</v>
      </c>
      <c r="C277" s="6">
        <v>-1.3603272294030171E-3</v>
      </c>
      <c r="D277" s="6">
        <f t="shared" ca="1" si="22"/>
        <v>2.7169052116359949E-2</v>
      </c>
      <c r="E277" s="6">
        <f t="shared" ca="1" si="23"/>
        <v>2.8529379345762967E-2</v>
      </c>
      <c r="F277">
        <f t="shared" ca="1" si="21"/>
        <v>1.7645137205939902E-2</v>
      </c>
      <c r="G277">
        <f t="shared" ca="1" si="20"/>
        <v>1.5798614645412417</v>
      </c>
      <c r="H277">
        <f t="shared" ca="1" si="24"/>
        <v>2.091076920729062</v>
      </c>
    </row>
    <row r="278" spans="1:8" x14ac:dyDescent="0.25">
      <c r="A278" s="5">
        <v>40581</v>
      </c>
      <c r="B278">
        <v>305.99857170000001</v>
      </c>
      <c r="C278" s="6">
        <v>-5.4175739719595599E-3</v>
      </c>
      <c r="D278" s="6">
        <f t="shared" ca="1" si="22"/>
        <v>8.944718882125063E-3</v>
      </c>
      <c r="E278" s="6">
        <f t="shared" ca="1" si="23"/>
        <v>1.4362292854084623E-2</v>
      </c>
      <c r="F278">
        <f t="shared" ca="1" si="21"/>
        <v>2.6261692448902876E-2</v>
      </c>
      <c r="G278">
        <f t="shared" ca="1" si="20"/>
        <v>0.2887372413170784</v>
      </c>
      <c r="H278">
        <f t="shared" ca="1" si="24"/>
        <v>2.6320953915170247</v>
      </c>
    </row>
    <row r="279" spans="1:8" x14ac:dyDescent="0.25">
      <c r="A279" s="1">
        <v>40582</v>
      </c>
      <c r="B279">
        <v>308.0359287</v>
      </c>
      <c r="C279" s="6">
        <v>-6.6580604892411193E-3</v>
      </c>
      <c r="D279" s="6">
        <f t="shared" ca="1" si="22"/>
        <v>-4.4850413567274093E-3</v>
      </c>
      <c r="E279" s="6">
        <f t="shared" ca="1" si="23"/>
        <v>2.1730191325137101E-3</v>
      </c>
      <c r="F279">
        <f t="shared" ca="1" si="21"/>
        <v>1.0472104924180711E-2</v>
      </c>
      <c r="G279">
        <f t="shared" ca="1" si="20"/>
        <v>-0.36974867252003268</v>
      </c>
      <c r="H279">
        <f t="shared" ca="1" si="24"/>
        <v>2.814073260995817</v>
      </c>
    </row>
    <row r="280" spans="1:8" x14ac:dyDescent="0.25">
      <c r="A280" s="5">
        <v>40583</v>
      </c>
      <c r="B280">
        <v>307.09943390000001</v>
      </c>
      <c r="C280" s="6">
        <v>3.0402128866988602E-3</v>
      </c>
      <c r="D280" s="6">
        <f t="shared" ca="1" si="22"/>
        <v>-8.5468148551852592E-3</v>
      </c>
      <c r="E280" s="6">
        <f t="shared" ca="1" si="23"/>
        <v>-1.158702774188412E-2</v>
      </c>
      <c r="F280">
        <f t="shared" ca="1" si="21"/>
        <v>9.2858203740647533E-3</v>
      </c>
      <c r="G280">
        <f t="shared" ca="1" si="20"/>
        <v>-0.65753794732447179</v>
      </c>
      <c r="H280">
        <f t="shared" ca="1" si="24"/>
        <v>2.7043986416645196</v>
      </c>
    </row>
    <row r="281" spans="1:8" x14ac:dyDescent="0.25">
      <c r="A281" s="1">
        <v>40584</v>
      </c>
      <c r="B281">
        <v>307.06955740000001</v>
      </c>
      <c r="C281" s="6">
        <v>9.7286079692771144E-5</v>
      </c>
      <c r="D281" s="6">
        <f t="shared" ca="1" si="22"/>
        <v>1.4414185456184923E-2</v>
      </c>
      <c r="E281" s="6">
        <f t="shared" ca="1" si="23"/>
        <v>1.4316899376492151E-2</v>
      </c>
      <c r="F281">
        <f t="shared" ca="1" si="21"/>
        <v>1.2599835620587595E-2</v>
      </c>
      <c r="G281">
        <f t="shared" ca="1" si="20"/>
        <v>1.3820791742986938</v>
      </c>
      <c r="H281">
        <f t="shared" ca="1" si="24"/>
        <v>2.6332595582327607</v>
      </c>
    </row>
    <row r="282" spans="1:8" x14ac:dyDescent="0.25">
      <c r="A282" s="5">
        <v>40585</v>
      </c>
      <c r="B282">
        <v>311.08451789999998</v>
      </c>
      <c r="C282" s="6">
        <v>-1.3075084791847139E-2</v>
      </c>
      <c r="D282" s="6">
        <f t="shared" ca="1" si="22"/>
        <v>-5.8765180953375936E-3</v>
      </c>
      <c r="E282" s="6">
        <f t="shared" ca="1" si="23"/>
        <v>7.1985666965095453E-3</v>
      </c>
      <c r="F282">
        <f t="shared" ca="1" si="21"/>
        <v>2.3093983035936363E-2</v>
      </c>
      <c r="G282">
        <f t="shared" ca="1" si="20"/>
        <v>-0.31377474621411477</v>
      </c>
      <c r="H282">
        <f t="shared" ca="1" si="24"/>
        <v>2.7708160011722338</v>
      </c>
    </row>
    <row r="283" spans="1:8" x14ac:dyDescent="0.25">
      <c r="A283" s="1">
        <v>40588</v>
      </c>
      <c r="B283">
        <v>312.90269740000002</v>
      </c>
      <c r="C283" s="6">
        <v>-5.8446479827212322E-3</v>
      </c>
      <c r="D283" s="6">
        <f t="shared" ca="1" si="22"/>
        <v>1.9966342299869905E-2</v>
      </c>
      <c r="E283" s="6">
        <f t="shared" ca="1" si="23"/>
        <v>2.5810990282591137E-2</v>
      </c>
      <c r="F283">
        <f t="shared" ca="1" si="21"/>
        <v>1.0174664770051923E-2</v>
      </c>
      <c r="G283">
        <f t="shared" ca="1" si="20"/>
        <v>1.9580719473018429</v>
      </c>
      <c r="H283">
        <f t="shared" ca="1" si="24"/>
        <v>2.2223525449270136</v>
      </c>
    </row>
    <row r="284" spans="1:8" x14ac:dyDescent="0.25">
      <c r="A284" s="5">
        <v>40589</v>
      </c>
      <c r="B284">
        <v>310.91017040000003</v>
      </c>
      <c r="C284" s="6">
        <v>6.3678805473921596E-3</v>
      </c>
      <c r="D284" s="6">
        <f t="shared" ca="1" si="22"/>
        <v>-3.0695918442449316E-2</v>
      </c>
      <c r="E284" s="6">
        <f t="shared" ca="1" si="23"/>
        <v>-3.7063798989841475E-2</v>
      </c>
      <c r="F284">
        <f t="shared" ca="1" si="21"/>
        <v>3.1803964051860478E-2</v>
      </c>
      <c r="G284">
        <f t="shared" ca="1" si="20"/>
        <v>-0.77992641927965822</v>
      </c>
      <c r="H284">
        <f t="shared" ca="1" si="24"/>
        <v>1.6191806411772471</v>
      </c>
    </row>
    <row r="285" spans="1:8" x14ac:dyDescent="0.25">
      <c r="A285" s="1">
        <v>40590</v>
      </c>
      <c r="B285">
        <v>310.94502169999998</v>
      </c>
      <c r="C285" s="6">
        <v>-1.1209443536414163E-4</v>
      </c>
      <c r="D285" s="6">
        <f t="shared" ca="1" si="22"/>
        <v>8.4016147910948667E-3</v>
      </c>
      <c r="E285" s="6">
        <f t="shared" ca="1" si="23"/>
        <v>8.513709226459009E-3</v>
      </c>
      <c r="F285">
        <f t="shared" ca="1" si="21"/>
        <v>1.6170854482890781E-2</v>
      </c>
      <c r="G285">
        <f t="shared" ca="1" si="20"/>
        <v>0.68239164965294064</v>
      </c>
      <c r="H285">
        <f t="shared" ca="1" si="24"/>
        <v>2.7521369940896125</v>
      </c>
    </row>
    <row r="286" spans="1:8" x14ac:dyDescent="0.25">
      <c r="A286" s="5">
        <v>40591</v>
      </c>
      <c r="B286">
        <v>311.4630889</v>
      </c>
      <c r="C286" s="6">
        <v>-1.666105465100034E-3</v>
      </c>
      <c r="D286" s="6">
        <f t="shared" ca="1" si="22"/>
        <v>-5.0801854524673467E-3</v>
      </c>
      <c r="E286" s="6">
        <f t="shared" ca="1" si="23"/>
        <v>-3.4140799873673125E-3</v>
      </c>
      <c r="F286">
        <f t="shared" ca="1" si="21"/>
        <v>1.3349599888263383E-2</v>
      </c>
      <c r="G286">
        <f t="shared" ca="1" si="20"/>
        <v>-0.595469251990284</v>
      </c>
      <c r="H286">
        <f t="shared" ca="1" si="24"/>
        <v>2.8098381420552223</v>
      </c>
    </row>
    <row r="287" spans="1:8" x14ac:dyDescent="0.25">
      <c r="A287" s="1">
        <v>40592</v>
      </c>
      <c r="B287">
        <v>313.86409429999998</v>
      </c>
      <c r="C287" s="6">
        <v>-7.7087959555003759E-3</v>
      </c>
      <c r="D287" s="6">
        <f t="shared" ca="1" si="22"/>
        <v>3.5137222194417846E-3</v>
      </c>
      <c r="E287" s="6">
        <f t="shared" ca="1" si="23"/>
        <v>1.122251817494216E-2</v>
      </c>
      <c r="F287">
        <f t="shared" ca="1" si="21"/>
        <v>1.2046581630158372E-2</v>
      </c>
      <c r="G287">
        <f t="shared" ca="1" si="20"/>
        <v>0.29587270579250441</v>
      </c>
      <c r="H287">
        <f t="shared" ca="1" si="24"/>
        <v>2.7040445265661917</v>
      </c>
    </row>
    <row r="288" spans="1:8" x14ac:dyDescent="0.25">
      <c r="A288" s="5">
        <v>40596</v>
      </c>
      <c r="B288">
        <v>303.96618910000001</v>
      </c>
      <c r="C288" s="6">
        <v>3.1535640360758427E-2</v>
      </c>
      <c r="D288" s="6">
        <f t="shared" ca="1" si="22"/>
        <v>-1.1221239257291196E-2</v>
      </c>
      <c r="E288" s="6">
        <f t="shared" ca="1" si="23"/>
        <v>-4.2756879618049623E-2</v>
      </c>
      <c r="F288">
        <f t="shared" ca="1" si="21"/>
        <v>8.727236872792898E-3</v>
      </c>
      <c r="G288">
        <f t="shared" ca="1" si="20"/>
        <v>-1.199742432485458</v>
      </c>
      <c r="H288">
        <f t="shared" ca="1" si="24"/>
        <v>1.2200771158532286</v>
      </c>
    </row>
    <row r="289" spans="1:8" x14ac:dyDescent="0.25">
      <c r="A289" s="1">
        <v>40597</v>
      </c>
      <c r="B289">
        <v>304.51910709999999</v>
      </c>
      <c r="C289" s="6">
        <v>-1.8190115211072892E-3</v>
      </c>
      <c r="D289" s="6">
        <f t="shared" ca="1" si="22"/>
        <v>1.8348377925848612E-2</v>
      </c>
      <c r="E289" s="6">
        <f t="shared" ca="1" si="23"/>
        <v>2.01673894469559E-2</v>
      </c>
      <c r="F289">
        <f t="shared" ca="1" si="21"/>
        <v>2.025423827062748E-2</v>
      </c>
      <c r="G289">
        <f t="shared" ca="1" si="20"/>
        <v>1.0773600755175357</v>
      </c>
      <c r="H289">
        <f t="shared" ca="1" si="24"/>
        <v>2.4532456700008796</v>
      </c>
    </row>
    <row r="290" spans="1:8" x14ac:dyDescent="0.25">
      <c r="A290" s="5">
        <v>40598</v>
      </c>
      <c r="B290">
        <v>303.27377439999998</v>
      </c>
      <c r="C290" s="6">
        <v>4.0895059487714028E-3</v>
      </c>
      <c r="D290" s="6">
        <f t="shared" ca="1" si="22"/>
        <v>8.3521941113214142E-3</v>
      </c>
      <c r="E290" s="6">
        <f t="shared" ca="1" si="23"/>
        <v>4.2626881625500114E-3</v>
      </c>
      <c r="F290">
        <f t="shared" ca="1" si="21"/>
        <v>1.9017291152803539E-2</v>
      </c>
      <c r="G290">
        <f t="shared" ca="1" si="20"/>
        <v>-0.30795010811361673</v>
      </c>
      <c r="H290">
        <f t="shared" ca="1" si="24"/>
        <v>2.8015005446528658</v>
      </c>
    </row>
    <row r="291" spans="1:8" x14ac:dyDescent="0.25">
      <c r="A291" s="1">
        <v>40599</v>
      </c>
      <c r="B291">
        <v>303.88150250000001</v>
      </c>
      <c r="C291" s="6">
        <v>-2.0038926913557458E-3</v>
      </c>
      <c r="D291" s="6">
        <f t="shared" ca="1" si="22"/>
        <v>1.2126620833658019E-3</v>
      </c>
      <c r="E291" s="6">
        <f t="shared" ca="1" si="23"/>
        <v>3.2165547747215477E-3</v>
      </c>
      <c r="F291">
        <f t="shared" ca="1" si="21"/>
        <v>9.5774087970316481E-3</v>
      </c>
      <c r="G291">
        <f t="shared" ca="1" si="20"/>
        <v>0.21218293113010661</v>
      </c>
      <c r="H291">
        <f t="shared" ca="1" si="24"/>
        <v>2.80875810539191</v>
      </c>
    </row>
    <row r="292" spans="1:8" x14ac:dyDescent="0.25">
      <c r="A292" s="5">
        <v>40602</v>
      </c>
      <c r="B292">
        <v>305.5552419</v>
      </c>
      <c r="C292" s="6">
        <v>-5.5078686469242667E-3</v>
      </c>
      <c r="D292" s="6">
        <f t="shared" ca="1" si="22"/>
        <v>-5.1130289541607048E-3</v>
      </c>
      <c r="E292" s="6">
        <f t="shared" ca="1" si="23"/>
        <v>3.9483969276356192E-4</v>
      </c>
      <c r="F292">
        <f t="shared" ca="1" si="21"/>
        <v>7.8824241236680817E-3</v>
      </c>
      <c r="G292">
        <f t="shared" ca="1" si="20"/>
        <v>-0.88241268330613065</v>
      </c>
      <c r="H292">
        <f t="shared" ca="1" si="24"/>
        <v>2.818702382482372</v>
      </c>
    </row>
    <row r="293" spans="1:8" x14ac:dyDescent="0.25">
      <c r="A293" s="1">
        <v>40603</v>
      </c>
      <c r="B293">
        <v>299.25881399999997</v>
      </c>
      <c r="C293" s="6">
        <v>2.0606512461863367E-2</v>
      </c>
      <c r="D293" s="6">
        <f t="shared" ca="1" si="22"/>
        <v>-1.0228232071478998E-2</v>
      </c>
      <c r="E293" s="6">
        <f t="shared" ca="1" si="23"/>
        <v>-3.0834744533342368E-2</v>
      </c>
      <c r="F293">
        <f t="shared" ca="1" si="21"/>
        <v>1.5618107431157479E-2</v>
      </c>
      <c r="G293">
        <f t="shared" ca="1" si="20"/>
        <v>-0.59708087440175739</v>
      </c>
      <c r="H293">
        <f t="shared" ca="1" si="24"/>
        <v>1.9903212262426386</v>
      </c>
    </row>
    <row r="294" spans="1:8" x14ac:dyDescent="0.25">
      <c r="A294" s="5">
        <v>40604</v>
      </c>
      <c r="B294">
        <v>299.2737674</v>
      </c>
      <c r="C294" s="6">
        <v>-4.9968118900666473E-5</v>
      </c>
      <c r="D294" s="6">
        <f t="shared" ca="1" si="22"/>
        <v>1.4515581260259328E-2</v>
      </c>
      <c r="E294" s="6">
        <f t="shared" ca="1" si="23"/>
        <v>1.4565549379159994E-2</v>
      </c>
      <c r="F294">
        <f t="shared" ca="1" si="21"/>
        <v>1.223805232211217E-2</v>
      </c>
      <c r="G294">
        <f t="shared" ca="1" si="20"/>
        <v>1.388852433789858</v>
      </c>
      <c r="H294">
        <f t="shared" ca="1" si="24"/>
        <v>2.6268380491463033</v>
      </c>
    </row>
    <row r="295" spans="1:8" x14ac:dyDescent="0.25">
      <c r="A295" s="1">
        <v>40605</v>
      </c>
      <c r="B295">
        <v>303.64239679999997</v>
      </c>
      <c r="C295" s="6">
        <v>-1.4597435110846187E-2</v>
      </c>
      <c r="D295" s="6">
        <f t="shared" ca="1" si="22"/>
        <v>1.7043655446202E-2</v>
      </c>
      <c r="E295" s="6">
        <f t="shared" ca="1" si="23"/>
        <v>3.1641090557048189E-2</v>
      </c>
      <c r="F295">
        <f t="shared" ca="1" si="21"/>
        <v>2.3183200589624905E-2</v>
      </c>
      <c r="G295">
        <f t="shared" ca="1" si="20"/>
        <v>0.33469276198007042</v>
      </c>
      <c r="H295">
        <f t="shared" ca="1" si="24"/>
        <v>1.924797442994068</v>
      </c>
    </row>
    <row r="296" spans="1:8" x14ac:dyDescent="0.25">
      <c r="A296" s="5">
        <v>40606</v>
      </c>
      <c r="B296">
        <v>299.18908140000002</v>
      </c>
      <c r="C296" s="6">
        <v>1.4666316189478688E-2</v>
      </c>
      <c r="D296" s="6">
        <f t="shared" ca="1" si="22"/>
        <v>-1.2856685416879831E-2</v>
      </c>
      <c r="E296" s="6">
        <f t="shared" ca="1" si="23"/>
        <v>-2.7523001606358517E-2</v>
      </c>
      <c r="F296">
        <f t="shared" ca="1" si="21"/>
        <v>1.0352860954996082E-2</v>
      </c>
      <c r="G296">
        <f t="shared" ca="1" si="20"/>
        <v>-1.239650617663244</v>
      </c>
      <c r="H296">
        <f t="shared" ca="1" si="24"/>
        <v>2.1597585081975481</v>
      </c>
    </row>
    <row r="297" spans="1:8" x14ac:dyDescent="0.25">
      <c r="A297" s="1">
        <v>40609</v>
      </c>
      <c r="B297">
        <v>294.72581680000002</v>
      </c>
      <c r="C297" s="6">
        <v>1.4917872601215861E-2</v>
      </c>
      <c r="D297" s="6">
        <f t="shared" ca="1" si="22"/>
        <v>-2.0224881998143823E-3</v>
      </c>
      <c r="E297" s="6">
        <f t="shared" ca="1" si="23"/>
        <v>-1.6940360801030244E-2</v>
      </c>
      <c r="F297">
        <f t="shared" ca="1" si="21"/>
        <v>2.0894366045835836E-2</v>
      </c>
      <c r="G297">
        <f t="shared" ca="1" si="20"/>
        <v>0.21796519844041645</v>
      </c>
      <c r="H297">
        <f t="shared" ca="1" si="24"/>
        <v>2.5714338320468682</v>
      </c>
    </row>
    <row r="298" spans="1:8" x14ac:dyDescent="0.25">
      <c r="A298" s="5">
        <v>40610</v>
      </c>
      <c r="B298">
        <v>295.04957819999998</v>
      </c>
      <c r="C298" s="6">
        <v>-1.0985172711207383E-3</v>
      </c>
      <c r="D298" s="6">
        <f t="shared" ca="1" si="22"/>
        <v>1.1633414342219549E-2</v>
      </c>
      <c r="E298" s="6">
        <f t="shared" ca="1" si="23"/>
        <v>1.2731931613340288E-2</v>
      </c>
      <c r="F298">
        <f t="shared" ca="1" si="21"/>
        <v>9.1995215390097574E-3</v>
      </c>
      <c r="G298">
        <f t="shared" ca="1" si="20"/>
        <v>0.54624115807960094</v>
      </c>
      <c r="H298">
        <f t="shared" ca="1" si="24"/>
        <v>2.6716274365536532</v>
      </c>
    </row>
    <row r="299" spans="1:8" x14ac:dyDescent="0.25">
      <c r="A299" s="1">
        <v>40611</v>
      </c>
      <c r="B299">
        <v>294.780596</v>
      </c>
      <c r="C299" s="6">
        <v>9.1165085420882061E-4</v>
      </c>
      <c r="D299" s="6">
        <f t="shared" ca="1" si="22"/>
        <v>1.428151916077142E-3</v>
      </c>
      <c r="E299" s="6">
        <f t="shared" ca="1" si="23"/>
        <v>5.1650106186832139E-4</v>
      </c>
      <c r="F299">
        <f t="shared" ca="1" si="21"/>
        <v>1.1185372444173719E-2</v>
      </c>
      <c r="G299">
        <f t="shared" ca="1" si="20"/>
        <v>-0.47322346281782557</v>
      </c>
      <c r="H299">
        <f t="shared" ca="1" si="24"/>
        <v>2.8185635130628763</v>
      </c>
    </row>
    <row r="300" spans="1:8" x14ac:dyDescent="0.25">
      <c r="A300" s="5">
        <v>40612</v>
      </c>
      <c r="B300">
        <v>289.0669934</v>
      </c>
      <c r="C300" s="6">
        <v>1.9382560037974825E-2</v>
      </c>
      <c r="D300" s="6">
        <f t="shared" ca="1" si="22"/>
        <v>1.0194778965144502E-2</v>
      </c>
      <c r="E300" s="6">
        <f t="shared" ca="1" si="23"/>
        <v>-9.1877810728303224E-3</v>
      </c>
      <c r="F300">
        <f t="shared" ca="1" si="21"/>
        <v>1.0442422381258734E-2</v>
      </c>
      <c r="G300">
        <f t="shared" ca="1" si="20"/>
        <v>1.0236809100430293</v>
      </c>
      <c r="H300">
        <f t="shared" ca="1" si="24"/>
        <v>2.7475760483963234</v>
      </c>
    </row>
    <row r="301" spans="1:8" x14ac:dyDescent="0.25">
      <c r="A301" s="1">
        <v>40613</v>
      </c>
      <c r="B301">
        <v>287.27869090000002</v>
      </c>
      <c r="C301" s="6">
        <v>6.1864638330582445E-3</v>
      </c>
      <c r="D301" s="6">
        <f t="shared" ca="1" si="22"/>
        <v>-4.1196169876099635E-4</v>
      </c>
      <c r="E301" s="6">
        <f t="shared" ca="1" si="23"/>
        <v>-6.5984255318192412E-3</v>
      </c>
      <c r="F301">
        <f t="shared" ca="1" si="21"/>
        <v>1.7728933915357757E-2</v>
      </c>
      <c r="G301">
        <f t="shared" ca="1" si="20"/>
        <v>-4.642314730408463E-2</v>
      </c>
      <c r="H301">
        <f t="shared" ca="1" si="24"/>
        <v>2.7827754212851747</v>
      </c>
    </row>
    <row r="302" spans="1:8" x14ac:dyDescent="0.25">
      <c r="A302" s="5">
        <v>40616</v>
      </c>
      <c r="B302">
        <v>283.9312425</v>
      </c>
      <c r="C302" s="6">
        <v>1.1652268358342129E-2</v>
      </c>
      <c r="D302" s="6">
        <f t="shared" ca="1" si="22"/>
        <v>1.0449520231909504E-2</v>
      </c>
      <c r="E302" s="6">
        <f t="shared" ca="1" si="23"/>
        <v>-1.2027481264326248E-3</v>
      </c>
      <c r="F302">
        <f t="shared" ca="1" si="21"/>
        <v>8.0944951810843855E-3</v>
      </c>
      <c r="G302">
        <f t="shared" ca="1" si="20"/>
        <v>0.21205415087914628</v>
      </c>
      <c r="H302">
        <f t="shared" ca="1" si="24"/>
        <v>2.8181020609295802</v>
      </c>
    </row>
    <row r="303" spans="1:8" x14ac:dyDescent="0.25">
      <c r="A303" s="1">
        <v>40617</v>
      </c>
      <c r="B303">
        <v>283.71703939999998</v>
      </c>
      <c r="C303" s="6">
        <v>7.5441891534715557E-4</v>
      </c>
      <c r="D303" s="6">
        <f t="shared" ca="1" si="22"/>
        <v>1.1602374780829891E-2</v>
      </c>
      <c r="E303" s="6">
        <f t="shared" ca="1" si="23"/>
        <v>1.0847955865482735E-2</v>
      </c>
      <c r="F303">
        <f t="shared" ca="1" si="21"/>
        <v>7.7753793935495166E-3</v>
      </c>
      <c r="G303">
        <f t="shared" ca="1" si="20"/>
        <v>1.1336846073140658</v>
      </c>
      <c r="H303">
        <f t="shared" ca="1" si="24"/>
        <v>2.7114661176310486</v>
      </c>
    </row>
    <row r="304" spans="1:8" x14ac:dyDescent="0.25">
      <c r="A304" s="5">
        <v>40618</v>
      </c>
      <c r="B304">
        <v>277.51030229999998</v>
      </c>
      <c r="C304" s="6">
        <v>2.1876504538204337E-2</v>
      </c>
      <c r="D304" s="6">
        <f t="shared" ca="1" si="22"/>
        <v>1.8687247534478146E-2</v>
      </c>
      <c r="E304" s="6">
        <f t="shared" ca="1" si="23"/>
        <v>-3.1892570037261904E-3</v>
      </c>
      <c r="F304">
        <f t="shared" ca="1" si="21"/>
        <v>1.9252202323594293E-2</v>
      </c>
      <c r="G304">
        <f t="shared" ca="1" si="20"/>
        <v>0.69795780552272757</v>
      </c>
      <c r="H304">
        <f t="shared" ca="1" si="24"/>
        <v>2.8110724516399244</v>
      </c>
    </row>
    <row r="305" spans="1:8" x14ac:dyDescent="0.25">
      <c r="A305" s="1">
        <v>40619</v>
      </c>
      <c r="B305">
        <v>279.6323458</v>
      </c>
      <c r="C305" s="6">
        <v>-7.64671971603419E-3</v>
      </c>
      <c r="D305" s="6">
        <f t="shared" ca="1" si="22"/>
        <v>-1.5028959983811234E-2</v>
      </c>
      <c r="E305" s="6">
        <f t="shared" ca="1" si="23"/>
        <v>-7.3822402677770436E-3</v>
      </c>
      <c r="F305">
        <f t="shared" ca="1" si="21"/>
        <v>1.3802728456354782E-2</v>
      </c>
      <c r="G305">
        <f t="shared" ca="1" si="20"/>
        <v>-1.1134922025341802</v>
      </c>
      <c r="H305">
        <f t="shared" ca="1" si="24"/>
        <v>2.7733692420909879</v>
      </c>
    </row>
    <row r="306" spans="1:8" x14ac:dyDescent="0.25">
      <c r="A306" s="5">
        <v>40620</v>
      </c>
      <c r="B306">
        <v>279.48290100000003</v>
      </c>
      <c r="C306" s="6">
        <v>5.3443316642222763E-4</v>
      </c>
      <c r="D306" s="6">
        <f t="shared" ca="1" si="22"/>
        <v>9.2457435721743815E-3</v>
      </c>
      <c r="E306" s="6">
        <f t="shared" ca="1" si="23"/>
        <v>8.711310405752154E-3</v>
      </c>
      <c r="F306">
        <f t="shared" ca="1" si="21"/>
        <v>1.917126878129213E-2</v>
      </c>
      <c r="G306">
        <f t="shared" ca="1" si="20"/>
        <v>-3.1857072522843845E-2</v>
      </c>
      <c r="H306">
        <f t="shared" ca="1" si="24"/>
        <v>2.7490666668458683</v>
      </c>
    </row>
    <row r="307" spans="1:8" x14ac:dyDescent="0.25">
      <c r="A307" s="1">
        <v>40623</v>
      </c>
      <c r="B307">
        <v>287.17410690000003</v>
      </c>
      <c r="C307" s="6">
        <v>-2.7519414863952624E-2</v>
      </c>
      <c r="D307" s="6">
        <f t="shared" ca="1" si="22"/>
        <v>-1.3515733366699759E-2</v>
      </c>
      <c r="E307" s="6">
        <f t="shared" ca="1" si="23"/>
        <v>1.4003681497252864E-2</v>
      </c>
      <c r="F307">
        <f t="shared" ca="1" si="21"/>
        <v>8.2832133999478728E-3</v>
      </c>
      <c r="G307">
        <f t="shared" ca="1" si="20"/>
        <v>-1.215767265551396</v>
      </c>
      <c r="H307">
        <f t="shared" ca="1" si="24"/>
        <v>2.6411932588643396</v>
      </c>
    </row>
    <row r="308" spans="1:8" x14ac:dyDescent="0.25">
      <c r="A308" s="5">
        <v>40624</v>
      </c>
      <c r="B308">
        <v>287.58255500000001</v>
      </c>
      <c r="C308" s="6">
        <v>-1.4223012806033274E-3</v>
      </c>
      <c r="D308" s="6">
        <f t="shared" ca="1" si="22"/>
        <v>-2.873883165644698E-2</v>
      </c>
      <c r="E308" s="6">
        <f t="shared" ca="1" si="23"/>
        <v>-2.7316530375843653E-2</v>
      </c>
      <c r="F308">
        <f t="shared" ca="1" si="21"/>
        <v>2.0480378639118203E-2</v>
      </c>
      <c r="G308">
        <f t="shared" ca="1" si="20"/>
        <v>-1.4149723268547794</v>
      </c>
      <c r="H308">
        <f t="shared" ca="1" si="24"/>
        <v>2.169681062034539</v>
      </c>
    </row>
    <row r="309" spans="1:8" x14ac:dyDescent="0.25">
      <c r="A309" s="1">
        <v>40625</v>
      </c>
      <c r="B309">
        <v>289.993539</v>
      </c>
      <c r="C309" s="6">
        <v>-8.3836239649515074E-3</v>
      </c>
      <c r="D309" s="6">
        <f t="shared" ca="1" si="22"/>
        <v>-1.6716741306191073E-2</v>
      </c>
      <c r="E309" s="6">
        <f t="shared" ca="1" si="23"/>
        <v>-8.3331173412395654E-3</v>
      </c>
      <c r="F309">
        <f t="shared" ca="1" si="21"/>
        <v>2.3935395267543059E-2</v>
      </c>
      <c r="G309">
        <f t="shared" ca="1" si="20"/>
        <v>-0.18038786761796774</v>
      </c>
      <c r="H309">
        <f t="shared" ca="1" si="24"/>
        <v>2.7605025907712641</v>
      </c>
    </row>
    <row r="310" spans="1:8" x14ac:dyDescent="0.25">
      <c r="A310" s="5">
        <v>40626</v>
      </c>
      <c r="B310">
        <v>292.34971400000001</v>
      </c>
      <c r="C310" s="6">
        <v>-8.1249223969779797E-3</v>
      </c>
      <c r="D310" s="6">
        <f t="shared" ca="1" si="22"/>
        <v>5.9718570211530586E-4</v>
      </c>
      <c r="E310" s="6">
        <f t="shared" ca="1" si="23"/>
        <v>8.7221080990932849E-3</v>
      </c>
      <c r="F310">
        <f t="shared" ca="1" si="21"/>
        <v>9.4621230918053769E-3</v>
      </c>
      <c r="G310">
        <f t="shared" ca="1" si="20"/>
        <v>0.1308535148101429</v>
      </c>
      <c r="H310">
        <f t="shared" ca="1" si="24"/>
        <v>2.7488969064910536</v>
      </c>
    </row>
    <row r="311" spans="1:8" x14ac:dyDescent="0.25">
      <c r="A311" s="1">
        <v>40627</v>
      </c>
      <c r="B311">
        <v>288.7880624</v>
      </c>
      <c r="C311" s="6">
        <v>1.2182846192214864E-2</v>
      </c>
      <c r="D311" s="6">
        <f t="shared" ca="1" si="22"/>
        <v>-4.5524193633394135E-3</v>
      </c>
      <c r="E311" s="6">
        <f t="shared" ca="1" si="23"/>
        <v>-1.6735265555554279E-2</v>
      </c>
      <c r="F311">
        <f t="shared" ca="1" si="21"/>
        <v>7.4167817674956034E-3</v>
      </c>
      <c r="G311">
        <f t="shared" ca="1" si="20"/>
        <v>-0.10449075899191805</v>
      </c>
      <c r="H311">
        <f t="shared" ca="1" si="24"/>
        <v>2.5774597351030049</v>
      </c>
    </row>
    <row r="312" spans="1:8" x14ac:dyDescent="0.25">
      <c r="A312" s="5">
        <v>40630</v>
      </c>
      <c r="B312">
        <v>286.60623500000003</v>
      </c>
      <c r="C312" s="6">
        <v>7.5551163087133706E-3</v>
      </c>
      <c r="D312" s="6">
        <f t="shared" ca="1" si="22"/>
        <v>-8.8466378962460662E-3</v>
      </c>
      <c r="E312" s="6">
        <f t="shared" ca="1" si="23"/>
        <v>-1.6401754204959436E-2</v>
      </c>
      <c r="F312">
        <f t="shared" ca="1" si="21"/>
        <v>7.1599811882296542E-3</v>
      </c>
      <c r="G312">
        <f t="shared" ca="1" si="20"/>
        <v>-0.72431745946711312</v>
      </c>
      <c r="H312">
        <f t="shared" ca="1" si="24"/>
        <v>2.5871001096995454</v>
      </c>
    </row>
    <row r="313" spans="1:8" x14ac:dyDescent="0.25">
      <c r="A313" s="1">
        <v>40631</v>
      </c>
      <c r="B313">
        <v>289.77933589999998</v>
      </c>
      <c r="C313" s="6">
        <v>-1.1071290546069075E-2</v>
      </c>
      <c r="D313" s="6">
        <f t="shared" ca="1" si="22"/>
        <v>4.8862710086278825E-3</v>
      </c>
      <c r="E313" s="6">
        <f t="shared" ca="1" si="23"/>
        <v>1.5957561554696957E-2</v>
      </c>
      <c r="F313">
        <f t="shared" ca="1" si="21"/>
        <v>1.3403020606767006E-2</v>
      </c>
      <c r="G313">
        <f t="shared" ca="1" si="20"/>
        <v>-4.4983863353117E-2</v>
      </c>
      <c r="H313">
        <f t="shared" ca="1" si="24"/>
        <v>2.5888732115963715</v>
      </c>
    </row>
    <row r="314" spans="1:8" x14ac:dyDescent="0.25">
      <c r="A314" s="5">
        <v>40632</v>
      </c>
      <c r="B314">
        <v>289.83411510000002</v>
      </c>
      <c r="C314" s="6">
        <v>-1.8903763385994196E-4</v>
      </c>
      <c r="D314" s="6">
        <f t="shared" ca="1" si="22"/>
        <v>-2.84155096281536E-3</v>
      </c>
      <c r="E314" s="6">
        <f t="shared" ca="1" si="23"/>
        <v>-2.652513328955418E-3</v>
      </c>
      <c r="F314">
        <f t="shared" ca="1" si="21"/>
        <v>7.5461697175058925E-3</v>
      </c>
      <c r="G314">
        <f t="shared" ca="1" si="20"/>
        <v>-0.82762222659095785</v>
      </c>
      <c r="H314">
        <f t="shared" ca="1" si="24"/>
        <v>2.8136585199128188</v>
      </c>
    </row>
    <row r="315" spans="1:8" x14ac:dyDescent="0.25">
      <c r="A315" s="1">
        <v>40633</v>
      </c>
      <c r="B315">
        <v>292.28495570000001</v>
      </c>
      <c r="C315" s="6">
        <v>-8.4560114641935476E-3</v>
      </c>
      <c r="D315" s="6">
        <f t="shared" ca="1" si="22"/>
        <v>2.976776684560032E-2</v>
      </c>
      <c r="E315" s="6">
        <f t="shared" ca="1" si="23"/>
        <v>3.8223778309793871E-2</v>
      </c>
      <c r="F315">
        <f t="shared" ca="1" si="21"/>
        <v>1.4837090982690832E-2</v>
      </c>
      <c r="G315">
        <f t="shared" ca="1" si="20"/>
        <v>2.3425088252322501</v>
      </c>
      <c r="H315">
        <f t="shared" ca="1" si="24"/>
        <v>1.5167246598567414</v>
      </c>
    </row>
    <row r="316" spans="1:8" x14ac:dyDescent="0.25">
      <c r="A316" s="5">
        <v>40634</v>
      </c>
      <c r="B316">
        <v>294.79554940000003</v>
      </c>
      <c r="C316" s="6">
        <v>-8.5895413056321576E-3</v>
      </c>
      <c r="D316" s="6">
        <f t="shared" ca="1" si="22"/>
        <v>-1.0162317938414402E-2</v>
      </c>
      <c r="E316" s="6">
        <f t="shared" ca="1" si="23"/>
        <v>-1.5727766327822447E-3</v>
      </c>
      <c r="F316">
        <f t="shared" ca="1" si="21"/>
        <v>3.7852431154674605E-2</v>
      </c>
      <c r="G316">
        <f t="shared" ca="1" si="20"/>
        <v>-0.26621819378041295</v>
      </c>
      <c r="H316">
        <f t="shared" ca="1" si="24"/>
        <v>2.8173205025757562</v>
      </c>
    </row>
    <row r="317" spans="1:8" x14ac:dyDescent="0.25">
      <c r="A317" s="1">
        <v>40637</v>
      </c>
      <c r="B317">
        <v>292.74323900000002</v>
      </c>
      <c r="C317" s="6">
        <v>6.9618093087805959E-3</v>
      </c>
      <c r="D317" s="6">
        <f t="shared" ca="1" si="22"/>
        <v>-3.4558208805035113E-3</v>
      </c>
      <c r="E317" s="6">
        <f t="shared" ca="1" si="23"/>
        <v>-1.0417630189284106E-2</v>
      </c>
      <c r="F317">
        <f t="shared" ca="1" si="21"/>
        <v>1.2396681578130618E-2</v>
      </c>
      <c r="G317">
        <f t="shared" ca="1" si="20"/>
        <v>2.8575042330761094E-2</v>
      </c>
      <c r="H317">
        <f t="shared" ca="1" si="24"/>
        <v>2.726712567652759</v>
      </c>
    </row>
    <row r="318" spans="1:8" x14ac:dyDescent="0.25">
      <c r="A318" s="5">
        <v>40638</v>
      </c>
      <c r="B318">
        <v>283.48293840000002</v>
      </c>
      <c r="C318" s="6">
        <v>3.1632841911679449E-2</v>
      </c>
      <c r="D318" s="6">
        <f t="shared" ca="1" si="22"/>
        <v>-3.7798435259470574E-3</v>
      </c>
      <c r="E318" s="6">
        <f t="shared" ca="1" si="23"/>
        <v>-3.5412685437626504E-2</v>
      </c>
      <c r="F318">
        <f t="shared" ca="1" si="21"/>
        <v>7.415893606112737E-3</v>
      </c>
      <c r="G318">
        <f t="shared" ca="1" si="20"/>
        <v>1.2152090931755351E-2</v>
      </c>
      <c r="H318">
        <f t="shared" ca="1" si="24"/>
        <v>1.7242280015027813</v>
      </c>
    </row>
    <row r="319" spans="1:8" x14ac:dyDescent="0.25">
      <c r="A319" s="1">
        <v>40639</v>
      </c>
      <c r="B319">
        <v>286.0184347</v>
      </c>
      <c r="C319" s="6">
        <v>-8.9440878322713784E-3</v>
      </c>
      <c r="D319" s="6">
        <f t="shared" ca="1" si="22"/>
        <v>1.1963331052975194E-2</v>
      </c>
      <c r="E319" s="6">
        <f t="shared" ca="1" si="23"/>
        <v>2.0907418885246574E-2</v>
      </c>
      <c r="F319">
        <f t="shared" ca="1" si="21"/>
        <v>6.9690732179970658E-3</v>
      </c>
      <c r="G319">
        <f t="shared" ca="1" si="20"/>
        <v>1.2664691787061375</v>
      </c>
      <c r="H319">
        <f t="shared" ca="1" si="24"/>
        <v>2.4261716527723949</v>
      </c>
    </row>
    <row r="320" spans="1:8" x14ac:dyDescent="0.25">
      <c r="A320" s="5">
        <v>40640</v>
      </c>
      <c r="B320">
        <v>288.91754859999998</v>
      </c>
      <c r="C320" s="6">
        <v>-1.0136108545034194E-2</v>
      </c>
      <c r="D320" s="6">
        <f t="shared" ca="1" si="22"/>
        <v>1.0670353836844462E-3</v>
      </c>
      <c r="E320" s="6">
        <f t="shared" ca="1" si="23"/>
        <v>1.1203143928718641E-2</v>
      </c>
      <c r="F320">
        <f t="shared" ca="1" si="21"/>
        <v>2.1205729377243823E-2</v>
      </c>
      <c r="G320">
        <f t="shared" ca="1" si="20"/>
        <v>-0.62177595189846591</v>
      </c>
      <c r="H320">
        <f t="shared" ca="1" si="24"/>
        <v>2.7044344813909591</v>
      </c>
    </row>
    <row r="321" spans="1:8" x14ac:dyDescent="0.25">
      <c r="A321" s="1">
        <v>40641</v>
      </c>
      <c r="B321">
        <v>288.00098209999999</v>
      </c>
      <c r="C321" s="6">
        <v>3.1724154674624971E-3</v>
      </c>
      <c r="D321" s="6">
        <f t="shared" ca="1" si="22"/>
        <v>-1.8012463025970024E-3</v>
      </c>
      <c r="E321" s="6">
        <f t="shared" ca="1" si="23"/>
        <v>-4.9736617700594996E-3</v>
      </c>
      <c r="F321">
        <f t="shared" ca="1" si="21"/>
        <v>1.3052131997826335E-2</v>
      </c>
      <c r="G321">
        <f t="shared" ca="1" si="20"/>
        <v>0.17075693437200939</v>
      </c>
      <c r="H321">
        <f t="shared" ca="1" si="24"/>
        <v>2.7988199336553268</v>
      </c>
    </row>
    <row r="322" spans="1:8" x14ac:dyDescent="0.25">
      <c r="A322" s="5">
        <v>40644</v>
      </c>
      <c r="B322">
        <v>287.60745709999998</v>
      </c>
      <c r="C322" s="6">
        <v>1.3664015904757258E-3</v>
      </c>
      <c r="D322" s="6">
        <f t="shared" ca="1" si="22"/>
        <v>-2.5878520415049361E-3</v>
      </c>
      <c r="E322" s="6">
        <f t="shared" ca="1" si="23"/>
        <v>-3.9542536319806618E-3</v>
      </c>
      <c r="F322">
        <f t="shared" ca="1" si="21"/>
        <v>7.9466414086030949E-3</v>
      </c>
      <c r="G322">
        <f t="shared" ca="1" si="20"/>
        <v>0.2490346867934721</v>
      </c>
      <c r="H322">
        <f t="shared" ca="1" si="24"/>
        <v>2.8065078435862807</v>
      </c>
    </row>
    <row r="323" spans="1:8" x14ac:dyDescent="0.25">
      <c r="A323" s="1">
        <v>40645</v>
      </c>
      <c r="B323">
        <v>284.24008090000001</v>
      </c>
      <c r="C323" s="6">
        <v>1.1708236754199122E-2</v>
      </c>
      <c r="D323" s="6">
        <f t="shared" ca="1" si="22"/>
        <v>-2.5193034735387478E-3</v>
      </c>
      <c r="E323" s="6">
        <f t="shared" ca="1" si="23"/>
        <v>-1.4227540227737871E-2</v>
      </c>
      <c r="F323">
        <f t="shared" ca="1" si="21"/>
        <v>8.0358569148487307E-3</v>
      </c>
      <c r="G323">
        <f t="shared" ref="G323:G386" ca="1" si="25">_xlfn.NORM.INV(RAND(),0,1)</f>
        <v>-0.49138254534615611</v>
      </c>
      <c r="H323">
        <f t="shared" ca="1" si="24"/>
        <v>2.645135663099619</v>
      </c>
    </row>
    <row r="324" spans="1:8" x14ac:dyDescent="0.25">
      <c r="A324" s="5">
        <v>40646</v>
      </c>
      <c r="B324">
        <v>287.06451820000001</v>
      </c>
      <c r="C324" s="6">
        <v>-9.9368016328199669E-3</v>
      </c>
      <c r="D324" s="6">
        <f t="shared" ca="1" si="22"/>
        <v>3.3625005051627077E-3</v>
      </c>
      <c r="E324" s="6">
        <f t="shared" ca="1" si="23"/>
        <v>1.3299302137982675E-2</v>
      </c>
      <c r="F324">
        <f t="shared" ref="F324:F387" ca="1" si="26">SQRT($K$6+$K$7*POWER($G323,2)+$K$8*POWER($F323,2))</f>
        <v>1.0468488767433951E-2</v>
      </c>
      <c r="G324">
        <f t="shared" ca="1" si="25"/>
        <v>0.26237456081549759</v>
      </c>
      <c r="H324">
        <f t="shared" ca="1" si="24"/>
        <v>2.6584024026735715</v>
      </c>
    </row>
    <row r="325" spans="1:8" x14ac:dyDescent="0.25">
      <c r="A325" s="1">
        <v>40647</v>
      </c>
      <c r="B325">
        <v>288.1753291</v>
      </c>
      <c r="C325" s="6">
        <v>-3.8695513711174837E-3</v>
      </c>
      <c r="D325" s="6">
        <f t="shared" ref="D325:D388" ca="1" si="27">($K$10*$C324)+($K$11*$C323)+($F325*$G325)</f>
        <v>-4.6271493702889441E-3</v>
      </c>
      <c r="E325" s="6">
        <f t="shared" ca="1" si="23"/>
        <v>-7.5759799917146046E-4</v>
      </c>
      <c r="F325">
        <f t="shared" ca="1" si="26"/>
        <v>8.3203944680222582E-3</v>
      </c>
      <c r="G325">
        <f t="shared" ca="1" si="25"/>
        <v>-1.1901133006682272</v>
      </c>
      <c r="H325">
        <f t="shared" ca="1" si="24"/>
        <v>2.8187220549662078</v>
      </c>
    </row>
    <row r="326" spans="1:8" x14ac:dyDescent="0.25">
      <c r="A326" s="5">
        <v>40648</v>
      </c>
      <c r="B326">
        <v>264.35958440000002</v>
      </c>
      <c r="C326" s="6">
        <v>8.2643246298629736E-2</v>
      </c>
      <c r="D326" s="6">
        <f t="shared" ca="1" si="27"/>
        <v>1.188285562884922E-2</v>
      </c>
      <c r="E326" s="6">
        <f t="shared" ref="E326:E389" ca="1" si="28">$D326-$C326</f>
        <v>-7.0760390669780515E-2</v>
      </c>
      <c r="F326">
        <f t="shared" ca="1" si="26"/>
        <v>2.0100569724016061E-2</v>
      </c>
      <c r="G326">
        <f t="shared" ca="1" si="25"/>
        <v>0.81390799475340148</v>
      </c>
      <c r="H326">
        <f t="shared" ref="H326:H389" ca="1" si="29">LN(_xlfn.NORM.DIST($E326,AVERAGE($E$5:$E$1763),_xlfn.STDEV.S($E$5:$E$1763),FALSE))</f>
        <v>-1.5757923341569791</v>
      </c>
    </row>
    <row r="327" spans="1:8" x14ac:dyDescent="0.25">
      <c r="A327" s="1">
        <v>40651</v>
      </c>
      <c r="B327">
        <v>262.43675960000002</v>
      </c>
      <c r="C327" s="6">
        <v>7.2735202862574963E-3</v>
      </c>
      <c r="D327" s="6">
        <f t="shared" ca="1" si="27"/>
        <v>2.2983377271842041E-2</v>
      </c>
      <c r="E327" s="6">
        <f t="shared" ca="1" si="28"/>
        <v>1.5709856985584546E-2</v>
      </c>
      <c r="F327">
        <f t="shared" ca="1" si="26"/>
        <v>1.5379244168118382E-2</v>
      </c>
      <c r="G327">
        <f t="shared" ca="1" si="25"/>
        <v>1.60771642276417</v>
      </c>
      <c r="H327">
        <f t="shared" ca="1" si="29"/>
        <v>2.5958790856609597</v>
      </c>
    </row>
    <row r="328" spans="1:8" x14ac:dyDescent="0.25">
      <c r="A328" s="5">
        <v>40652</v>
      </c>
      <c r="B328">
        <v>259.7916745</v>
      </c>
      <c r="C328" s="6">
        <v>1.0078942843340979E-2</v>
      </c>
      <c r="D328" s="6">
        <f t="shared" ca="1" si="27"/>
        <v>3.2627468858002474E-2</v>
      </c>
      <c r="E328" s="6">
        <f t="shared" ca="1" si="28"/>
        <v>2.2548526014661494E-2</v>
      </c>
      <c r="F328">
        <f t="shared" ca="1" si="26"/>
        <v>2.6592457247498754E-2</v>
      </c>
      <c r="G328">
        <f t="shared" ca="1" si="25"/>
        <v>-0.17328741451369292</v>
      </c>
      <c r="H328">
        <f t="shared" ca="1" si="29"/>
        <v>2.3626831768503527</v>
      </c>
    </row>
    <row r="329" spans="1:8" x14ac:dyDescent="0.25">
      <c r="A329" s="1">
        <v>40653</v>
      </c>
      <c r="B329">
        <v>261.88384159999998</v>
      </c>
      <c r="C329" s="6">
        <v>-8.0532492198859256E-3</v>
      </c>
      <c r="D329" s="6">
        <f t="shared" ca="1" si="27"/>
        <v>-1.0682938584301672E-2</v>
      </c>
      <c r="E329" s="6">
        <f t="shared" ca="1" si="28"/>
        <v>-2.6296893644157469E-3</v>
      </c>
      <c r="F329">
        <f t="shared" ca="1" si="26"/>
        <v>9.8701444289229223E-3</v>
      </c>
      <c r="G329">
        <f t="shared" ca="1" si="25"/>
        <v>-1.4143906724617814</v>
      </c>
      <c r="H329">
        <f t="shared" ca="1" si="29"/>
        <v>2.8137572166693059</v>
      </c>
    </row>
    <row r="330" spans="1:8" x14ac:dyDescent="0.25">
      <c r="A330" s="5">
        <v>40654</v>
      </c>
      <c r="B330">
        <v>261.57002879999999</v>
      </c>
      <c r="C330" s="6">
        <v>1.1982900437183513E-3</v>
      </c>
      <c r="D330" s="6">
        <f t="shared" ca="1" si="27"/>
        <v>4.7148759260634748E-2</v>
      </c>
      <c r="E330" s="6">
        <f t="shared" ca="1" si="28"/>
        <v>4.5950469216916395E-2</v>
      </c>
      <c r="F330">
        <f t="shared" ca="1" si="26"/>
        <v>2.3496020118334033E-2</v>
      </c>
      <c r="G330">
        <f t="shared" ca="1" si="25"/>
        <v>1.8134030694240522</v>
      </c>
      <c r="H330">
        <f t="shared" ca="1" si="29"/>
        <v>0.94016196596014456</v>
      </c>
    </row>
    <row r="331" spans="1:8" x14ac:dyDescent="0.25">
      <c r="A331" s="1">
        <v>40658</v>
      </c>
      <c r="B331">
        <v>261.54512620000003</v>
      </c>
      <c r="C331" s="6">
        <v>9.5204332523136893E-5</v>
      </c>
      <c r="D331" s="6">
        <f t="shared" ca="1" si="27"/>
        <v>3.7110484281009698E-3</v>
      </c>
      <c r="E331" s="6">
        <f t="shared" ca="1" si="28"/>
        <v>3.615844095577833E-3</v>
      </c>
      <c r="F331">
        <f t="shared" ca="1" si="26"/>
        <v>3.005573028165626E-2</v>
      </c>
      <c r="G331">
        <f t="shared" ca="1" si="25"/>
        <v>0.24419555678671781</v>
      </c>
      <c r="H331">
        <f t="shared" ca="1" si="29"/>
        <v>2.8062159578786638</v>
      </c>
    </row>
    <row r="332" spans="1:8" x14ac:dyDescent="0.25">
      <c r="A332" s="5">
        <v>40659</v>
      </c>
      <c r="B332">
        <v>265.41561610000002</v>
      </c>
      <c r="C332" s="6">
        <v>-1.4798554865978593E-2</v>
      </c>
      <c r="D332" s="6">
        <f t="shared" ca="1" si="27"/>
        <v>8.232530621733276E-3</v>
      </c>
      <c r="E332" s="6">
        <f t="shared" ca="1" si="28"/>
        <v>2.3031085487711871E-2</v>
      </c>
      <c r="F332">
        <f t="shared" ca="1" si="26"/>
        <v>1.0829429173425463E-2</v>
      </c>
      <c r="G332">
        <f t="shared" ca="1" si="25"/>
        <v>0.71034502830558299</v>
      </c>
      <c r="H332">
        <f t="shared" ca="1" si="29"/>
        <v>2.343110337588084</v>
      </c>
    </row>
    <row r="333" spans="1:8" x14ac:dyDescent="0.25">
      <c r="A333" s="1">
        <v>40660</v>
      </c>
      <c r="B333">
        <v>267.87640549999998</v>
      </c>
      <c r="C333" s="6">
        <v>-9.2714567294819895E-3</v>
      </c>
      <c r="D333" s="6">
        <f t="shared" ca="1" si="27"/>
        <v>-2.1477070404139955E-2</v>
      </c>
      <c r="E333" s="6">
        <f t="shared" ca="1" si="28"/>
        <v>-1.2205613674657965E-2</v>
      </c>
      <c r="F333">
        <f t="shared" ca="1" si="26"/>
        <v>1.3371980868999777E-2</v>
      </c>
      <c r="G333">
        <f t="shared" ca="1" si="25"/>
        <v>-1.6093143418099658</v>
      </c>
      <c r="H333">
        <f t="shared" ca="1" si="29"/>
        <v>2.6916190128943889</v>
      </c>
    </row>
    <row r="334" spans="1:8" x14ac:dyDescent="0.25">
      <c r="A334" s="5">
        <v>40661</v>
      </c>
      <c r="B334">
        <v>267.98098950000002</v>
      </c>
      <c r="C334" s="6">
        <v>-3.9041885680389017E-4</v>
      </c>
      <c r="D334" s="6">
        <f t="shared" ca="1" si="27"/>
        <v>5.1767048078402997E-3</v>
      </c>
      <c r="E334" s="6">
        <f t="shared" ca="1" si="28"/>
        <v>5.5671236646441897E-3</v>
      </c>
      <c r="F334">
        <f t="shared" ca="1" si="26"/>
        <v>2.6547782692768099E-2</v>
      </c>
      <c r="G334">
        <f t="shared" ca="1" si="25"/>
        <v>0.44615588582616567</v>
      </c>
      <c r="H334">
        <f t="shared" ca="1" si="29"/>
        <v>2.7897451688422539</v>
      </c>
    </row>
    <row r="335" spans="1:8" x14ac:dyDescent="0.25">
      <c r="A335" s="1">
        <v>40662</v>
      </c>
      <c r="B335">
        <v>271.03455300000002</v>
      </c>
      <c r="C335" s="6">
        <v>-1.1394701936496863E-2</v>
      </c>
      <c r="D335" s="6">
        <f t="shared" ca="1" si="27"/>
        <v>-3.8503308222428362E-3</v>
      </c>
      <c r="E335" s="6">
        <f t="shared" ca="1" si="28"/>
        <v>7.5443711142540266E-3</v>
      </c>
      <c r="F335">
        <f t="shared" ca="1" si="26"/>
        <v>1.181466207253129E-2</v>
      </c>
      <c r="G335">
        <f t="shared" ca="1" si="25"/>
        <v>2.7677020615694811E-2</v>
      </c>
      <c r="H335">
        <f t="shared" ca="1" si="29"/>
        <v>2.766200340935264</v>
      </c>
    </row>
    <row r="336" spans="1:8" x14ac:dyDescent="0.25">
      <c r="A336" s="5">
        <v>40665</v>
      </c>
      <c r="B336">
        <v>268.2749048</v>
      </c>
      <c r="C336" s="6">
        <v>1.0181905478302668E-2</v>
      </c>
      <c r="D336" s="6">
        <f t="shared" ca="1" si="27"/>
        <v>-2.249637031442508E-3</v>
      </c>
      <c r="E336" s="6">
        <f t="shared" ca="1" si="28"/>
        <v>-1.2431542509745177E-2</v>
      </c>
      <c r="F336">
        <f t="shared" ca="1" si="26"/>
        <v>7.3545169194229876E-3</v>
      </c>
      <c r="G336">
        <f t="shared" ca="1" si="25"/>
        <v>-0.28194137762494298</v>
      </c>
      <c r="H336">
        <f t="shared" ca="1" si="29"/>
        <v>2.6867830752728499</v>
      </c>
    </row>
    <row r="337" spans="1:8" x14ac:dyDescent="0.25">
      <c r="A337" s="1">
        <v>40666</v>
      </c>
      <c r="B337">
        <v>265.94860679999999</v>
      </c>
      <c r="C337" s="6">
        <v>8.671321686738731E-3</v>
      </c>
      <c r="D337" s="6">
        <f t="shared" ca="1" si="27"/>
        <v>-1.498405824934286E-2</v>
      </c>
      <c r="E337" s="6">
        <f t="shared" ca="1" si="28"/>
        <v>-2.3655379936081591E-2</v>
      </c>
      <c r="F337">
        <f t="shared" ca="1" si="26"/>
        <v>8.2688975131944391E-3</v>
      </c>
      <c r="G337">
        <f t="shared" ca="1" si="25"/>
        <v>-1.1912428249986335</v>
      </c>
      <c r="H337">
        <f t="shared" ca="1" si="29"/>
        <v>2.3331319878522012</v>
      </c>
    </row>
    <row r="338" spans="1:8" x14ac:dyDescent="0.25">
      <c r="A338" s="5">
        <v>40667</v>
      </c>
      <c r="B338">
        <v>266.8950802</v>
      </c>
      <c r="C338" s="6">
        <v>-3.5588582748687751E-3</v>
      </c>
      <c r="D338" s="6">
        <f t="shared" ca="1" si="27"/>
        <v>1.9716479224076901E-2</v>
      </c>
      <c r="E338" s="6">
        <f t="shared" ca="1" si="28"/>
        <v>2.3275337498945677E-2</v>
      </c>
      <c r="F338">
        <f t="shared" ca="1" si="26"/>
        <v>2.0115966831824161E-2</v>
      </c>
      <c r="G338">
        <f t="shared" ca="1" si="25"/>
        <v>0.75207957544903548</v>
      </c>
      <c r="H338">
        <f t="shared" ca="1" si="29"/>
        <v>2.3330466980006954</v>
      </c>
    </row>
    <row r="339" spans="1:8" x14ac:dyDescent="0.25">
      <c r="A339" s="1">
        <v>40668</v>
      </c>
      <c r="B339">
        <v>266.13790729999999</v>
      </c>
      <c r="C339" s="6">
        <v>2.8369683676169933E-3</v>
      </c>
      <c r="D339" s="6">
        <f t="shared" ca="1" si="27"/>
        <v>1.6954856231798376E-2</v>
      </c>
      <c r="E339" s="6">
        <f t="shared" ca="1" si="28"/>
        <v>1.4117887864181384E-2</v>
      </c>
      <c r="F339">
        <f t="shared" ca="1" si="26"/>
        <v>1.4571210319754967E-2</v>
      </c>
      <c r="G339">
        <f t="shared" ca="1" si="25"/>
        <v>0.89546378102573365</v>
      </c>
      <c r="H339">
        <f t="shared" ca="1" si="29"/>
        <v>2.6383205084905454</v>
      </c>
    </row>
    <row r="340" spans="1:8" x14ac:dyDescent="0.25">
      <c r="A340" s="5">
        <v>40669</v>
      </c>
      <c r="B340">
        <v>266.65100059999997</v>
      </c>
      <c r="C340" s="6">
        <v>-1.9279226518513321E-3</v>
      </c>
      <c r="D340" s="6">
        <f t="shared" ca="1" si="27"/>
        <v>5.9969372424713806E-3</v>
      </c>
      <c r="E340" s="6">
        <f t="shared" ca="1" si="28"/>
        <v>7.9248598943227125E-3</v>
      </c>
      <c r="F340">
        <f t="shared" ca="1" si="26"/>
        <v>1.6101606780200124E-2</v>
      </c>
      <c r="G340">
        <f t="shared" ca="1" si="25"/>
        <v>0.47202485138144246</v>
      </c>
      <c r="H340">
        <f t="shared" ca="1" si="29"/>
        <v>2.7608778563333609</v>
      </c>
    </row>
    <row r="341" spans="1:8" x14ac:dyDescent="0.25">
      <c r="A341" s="1">
        <v>40672</v>
      </c>
      <c r="B341">
        <v>267.83654940000002</v>
      </c>
      <c r="C341" s="6">
        <v>-4.4460691965618271E-3</v>
      </c>
      <c r="D341" s="6">
        <f t="shared" ca="1" si="27"/>
        <v>-2.7778821692476797E-2</v>
      </c>
      <c r="E341" s="6">
        <f t="shared" ca="1" si="28"/>
        <v>-2.3332752495914971E-2</v>
      </c>
      <c r="F341">
        <f t="shared" ca="1" si="26"/>
        <v>1.0829149097847691E-2</v>
      </c>
      <c r="G341">
        <f t="shared" ca="1" si="25"/>
        <v>-2.683221486433196</v>
      </c>
      <c r="H341">
        <f t="shared" ca="1" si="29"/>
        <v>2.3464013544633135</v>
      </c>
    </row>
    <row r="342" spans="1:8" x14ac:dyDescent="0.25">
      <c r="A342" s="5">
        <v>40673</v>
      </c>
      <c r="B342">
        <v>270.3172361</v>
      </c>
      <c r="C342" s="6">
        <v>-9.261942425547013E-3</v>
      </c>
      <c r="D342" s="6">
        <f t="shared" ca="1" si="27"/>
        <v>-3.9957441017981092E-2</v>
      </c>
      <c r="E342" s="6">
        <f t="shared" ca="1" si="28"/>
        <v>-3.0695498592434079E-2</v>
      </c>
      <c r="F342">
        <f t="shared" ca="1" si="26"/>
        <v>4.3069430136584347E-2</v>
      </c>
      <c r="G342">
        <f t="shared" ca="1" si="25"/>
        <v>-0.90757477994382918</v>
      </c>
      <c r="H342">
        <f t="shared" ca="1" si="29"/>
        <v>1.9978352502670711</v>
      </c>
    </row>
    <row r="343" spans="1:8" x14ac:dyDescent="0.25">
      <c r="A343" s="1">
        <v>40674</v>
      </c>
      <c r="B343">
        <v>266.72570760000002</v>
      </c>
      <c r="C343" s="6">
        <v>1.3286346634113063E-2</v>
      </c>
      <c r="D343" s="6">
        <f t="shared" ca="1" si="27"/>
        <v>9.9533373745589564E-3</v>
      </c>
      <c r="E343" s="6">
        <f t="shared" ca="1" si="28"/>
        <v>-3.333009259554107E-3</v>
      </c>
      <c r="F343">
        <f t="shared" ca="1" si="26"/>
        <v>1.920762354800323E-2</v>
      </c>
      <c r="G343">
        <f t="shared" ca="1" si="25"/>
        <v>0.62249750997320796</v>
      </c>
      <c r="H343">
        <f t="shared" ca="1" si="29"/>
        <v>2.8102935162305585</v>
      </c>
    </row>
    <row r="344" spans="1:8" x14ac:dyDescent="0.25">
      <c r="A344" s="5">
        <v>40675</v>
      </c>
      <c r="B344">
        <v>266.52645790000003</v>
      </c>
      <c r="C344" s="6">
        <v>7.4702098194000905E-4</v>
      </c>
      <c r="D344" s="6">
        <f t="shared" ca="1" si="27"/>
        <v>-1.2235593943935957E-2</v>
      </c>
      <c r="E344" s="6">
        <f t="shared" ca="1" si="28"/>
        <v>-1.2982614925875966E-2</v>
      </c>
      <c r="F344">
        <f t="shared" ca="1" si="26"/>
        <v>1.286314224191867E-2</v>
      </c>
      <c r="G344">
        <f t="shared" ca="1" si="25"/>
        <v>-0.62681274050228852</v>
      </c>
      <c r="H344">
        <f t="shared" ca="1" si="29"/>
        <v>2.6746096733004721</v>
      </c>
    </row>
    <row r="345" spans="1:8" x14ac:dyDescent="0.25">
      <c r="A345" s="1">
        <v>40676</v>
      </c>
      <c r="B345">
        <v>263.78670720000002</v>
      </c>
      <c r="C345" s="6">
        <v>1.0279469894234472E-2</v>
      </c>
      <c r="D345" s="6">
        <f t="shared" ca="1" si="27"/>
        <v>-7.497768300278377E-3</v>
      </c>
      <c r="E345" s="6">
        <f t="shared" ca="1" si="28"/>
        <v>-1.7777238194512851E-2</v>
      </c>
      <c r="F345">
        <f t="shared" ca="1" si="26"/>
        <v>1.2405747625234428E-2</v>
      </c>
      <c r="G345">
        <f t="shared" ca="1" si="25"/>
        <v>-1.0869184601632995</v>
      </c>
      <c r="H345">
        <f t="shared" ca="1" si="29"/>
        <v>2.5460760098971886</v>
      </c>
    </row>
    <row r="346" spans="1:8" x14ac:dyDescent="0.25">
      <c r="A346" s="5">
        <v>40679</v>
      </c>
      <c r="B346">
        <v>258.24247780000002</v>
      </c>
      <c r="C346" s="6">
        <v>2.1017849833488523E-2</v>
      </c>
      <c r="D346" s="6">
        <f t="shared" ca="1" si="27"/>
        <v>3.7136268332263259E-3</v>
      </c>
      <c r="E346" s="6">
        <f t="shared" ca="1" si="28"/>
        <v>-1.7304223000262197E-2</v>
      </c>
      <c r="F346">
        <f t="shared" ca="1" si="26"/>
        <v>1.8723668673602104E-2</v>
      </c>
      <c r="G346">
        <f t="shared" ca="1" si="25"/>
        <v>0.18035361465866093</v>
      </c>
      <c r="H346">
        <f t="shared" ca="1" si="29"/>
        <v>2.5605605037247039</v>
      </c>
    </row>
    <row r="347" spans="1:8" x14ac:dyDescent="0.25">
      <c r="A347" s="1">
        <v>40680</v>
      </c>
      <c r="B347">
        <v>264.24001600000003</v>
      </c>
      <c r="C347" s="6">
        <v>-2.3224444913531601E-2</v>
      </c>
      <c r="D347" s="6">
        <f t="shared" ca="1" si="27"/>
        <v>8.4371328433397157E-3</v>
      </c>
      <c r="E347" s="6">
        <f t="shared" ca="1" si="28"/>
        <v>3.1661577756871319E-2</v>
      </c>
      <c r="F347">
        <f t="shared" ca="1" si="26"/>
        <v>8.6847590212148721E-3</v>
      </c>
      <c r="G347">
        <f t="shared" ca="1" si="25"/>
        <v>0.43815825591880875</v>
      </c>
      <c r="H347">
        <f t="shared" ca="1" si="29"/>
        <v>1.9236460463391665</v>
      </c>
    </row>
    <row r="348" spans="1:8" x14ac:dyDescent="0.25">
      <c r="A348" s="5">
        <v>40681</v>
      </c>
      <c r="B348">
        <v>263.91622419999999</v>
      </c>
      <c r="C348" s="6">
        <v>1.2253700438772214E-3</v>
      </c>
      <c r="D348" s="6">
        <f t="shared" ca="1" si="27"/>
        <v>2.0713935274323393E-2</v>
      </c>
      <c r="E348" s="6">
        <f t="shared" ca="1" si="28"/>
        <v>1.9488565230446172E-2</v>
      </c>
      <c r="F348">
        <f t="shared" ca="1" si="26"/>
        <v>9.8940038959398711E-3</v>
      </c>
      <c r="G348">
        <f t="shared" ca="1" si="25"/>
        <v>1.1365046763958455</v>
      </c>
      <c r="H348">
        <f t="shared" ca="1" si="29"/>
        <v>2.4772305245674313</v>
      </c>
    </row>
    <row r="349" spans="1:8" x14ac:dyDescent="0.25">
      <c r="A349" s="1">
        <v>40682</v>
      </c>
      <c r="B349">
        <v>264.63354099999998</v>
      </c>
      <c r="C349" s="6">
        <v>-2.717971591835133E-3</v>
      </c>
      <c r="D349" s="6">
        <f t="shared" ca="1" si="27"/>
        <v>-3.2217199059486161E-2</v>
      </c>
      <c r="E349" s="6">
        <f t="shared" ca="1" si="28"/>
        <v>-2.9499227467651028E-2</v>
      </c>
      <c r="F349">
        <f t="shared" ca="1" si="26"/>
        <v>1.9355227549943926E-2</v>
      </c>
      <c r="G349">
        <f t="shared" ca="1" si="25"/>
        <v>-1.1238971408648621</v>
      </c>
      <c r="H349">
        <f t="shared" ca="1" si="29"/>
        <v>2.060978837651406</v>
      </c>
    </row>
    <row r="350" spans="1:8" x14ac:dyDescent="0.25">
      <c r="A350" s="5">
        <v>40683</v>
      </c>
      <c r="B350">
        <v>261.0370077</v>
      </c>
      <c r="C350" s="6">
        <v>1.3590617751662766E-2</v>
      </c>
      <c r="D350" s="6">
        <f t="shared" ca="1" si="27"/>
        <v>-1.0274826278881554E-2</v>
      </c>
      <c r="E350" s="6">
        <f t="shared" ca="1" si="28"/>
        <v>-2.386544403054432E-2</v>
      </c>
      <c r="F350">
        <f t="shared" ca="1" si="26"/>
        <v>1.9622565729264352E-2</v>
      </c>
      <c r="G350">
        <f t="shared" ca="1" si="25"/>
        <v>-0.5517566064388767</v>
      </c>
      <c r="H350">
        <f t="shared" ca="1" si="29"/>
        <v>2.3243934975959522</v>
      </c>
    </row>
    <row r="351" spans="1:8" x14ac:dyDescent="0.25">
      <c r="A351" s="1">
        <v>40686</v>
      </c>
      <c r="B351">
        <v>258.22755469999998</v>
      </c>
      <c r="C351" s="6">
        <v>1.0762661680633489E-2</v>
      </c>
      <c r="D351" s="6">
        <f t="shared" ca="1" si="27"/>
        <v>-5.3193792579116885E-3</v>
      </c>
      <c r="E351" s="6">
        <f t="shared" ca="1" si="28"/>
        <v>-1.6082040938545178E-2</v>
      </c>
      <c r="F351">
        <f t="shared" ca="1" si="26"/>
        <v>1.2070040392946298E-2</v>
      </c>
      <c r="G351">
        <f t="shared" ca="1" si="25"/>
        <v>-0.33927004490151241</v>
      </c>
      <c r="H351">
        <f t="shared" ca="1" si="29"/>
        <v>2.596157339229316</v>
      </c>
    </row>
    <row r="352" spans="1:8" x14ac:dyDescent="0.25">
      <c r="A352" s="5">
        <v>40687</v>
      </c>
      <c r="B352">
        <v>258.16279600000001</v>
      </c>
      <c r="C352" s="6">
        <v>2.5078152513663681E-4</v>
      </c>
      <c r="D352" s="6">
        <f t="shared" ca="1" si="27"/>
        <v>1.6163332387566513E-2</v>
      </c>
      <c r="E352" s="6">
        <f t="shared" ca="1" si="28"/>
        <v>1.5912550862429875E-2</v>
      </c>
      <c r="F352">
        <f t="shared" ca="1" si="26"/>
        <v>9.1159907057606349E-3</v>
      </c>
      <c r="G352">
        <f t="shared" ca="1" si="25"/>
        <v>1.1013402468196796</v>
      </c>
      <c r="H352">
        <f t="shared" ca="1" si="29"/>
        <v>2.5901543085625729</v>
      </c>
    </row>
    <row r="353" spans="1:8" x14ac:dyDescent="0.25">
      <c r="A353" s="1">
        <v>40688</v>
      </c>
      <c r="B353">
        <v>258.86515930000002</v>
      </c>
      <c r="C353" s="6">
        <v>-2.720621680902471E-3</v>
      </c>
      <c r="D353" s="6">
        <f t="shared" ca="1" si="27"/>
        <v>-1.9370773552369491E-2</v>
      </c>
      <c r="E353" s="6">
        <f t="shared" ca="1" si="28"/>
        <v>-1.6650151871467019E-2</v>
      </c>
      <c r="F353">
        <f t="shared" ca="1" si="26"/>
        <v>1.8814497842944089E-2</v>
      </c>
      <c r="G353">
        <f t="shared" ca="1" si="25"/>
        <v>-1.2873035265792112</v>
      </c>
      <c r="H353">
        <f t="shared" ca="1" si="29"/>
        <v>2.5799386620950413</v>
      </c>
    </row>
    <row r="354" spans="1:8" x14ac:dyDescent="0.25">
      <c r="A354" s="5">
        <v>40689</v>
      </c>
      <c r="B354">
        <v>258.09803770000002</v>
      </c>
      <c r="C354" s="6">
        <v>2.9634022673208607E-3</v>
      </c>
      <c r="D354" s="6">
        <f t="shared" ca="1" si="27"/>
        <v>-1.315728714938816E-3</v>
      </c>
      <c r="E354" s="6">
        <f t="shared" ca="1" si="28"/>
        <v>-4.2791309822596772E-3</v>
      </c>
      <c r="F354">
        <f t="shared" ca="1" si="26"/>
        <v>2.1963107719696479E-2</v>
      </c>
      <c r="G354">
        <f t="shared" ca="1" si="25"/>
        <v>-6.5048857532600465E-2</v>
      </c>
      <c r="H354">
        <f t="shared" ca="1" si="29"/>
        <v>2.8042568884959818</v>
      </c>
    </row>
    <row r="355" spans="1:8" x14ac:dyDescent="0.25">
      <c r="A355" s="1">
        <v>40690</v>
      </c>
      <c r="B355">
        <v>259.47786180000003</v>
      </c>
      <c r="C355" s="6">
        <v>-5.3461239469160347E-3</v>
      </c>
      <c r="D355" s="6">
        <f t="shared" ca="1" si="27"/>
        <v>1.2241628475879245E-2</v>
      </c>
      <c r="E355" s="6">
        <f t="shared" ca="1" si="28"/>
        <v>1.758775242279528E-2</v>
      </c>
      <c r="F355">
        <f t="shared" ca="1" si="26"/>
        <v>8.7579656334776535E-3</v>
      </c>
      <c r="G355">
        <f t="shared" ca="1" si="25"/>
        <v>1.5377286179331204</v>
      </c>
      <c r="H355">
        <f t="shared" ca="1" si="29"/>
        <v>2.540064649709354</v>
      </c>
    </row>
    <row r="356" spans="1:8" x14ac:dyDescent="0.25">
      <c r="A356" s="5">
        <v>40694</v>
      </c>
      <c r="B356">
        <v>263.52269919999998</v>
      </c>
      <c r="C356" s="6">
        <v>-1.5588371863175066E-2</v>
      </c>
      <c r="D356" s="6">
        <f t="shared" ca="1" si="27"/>
        <v>1.2501836160566597E-2</v>
      </c>
      <c r="E356" s="6">
        <f t="shared" ca="1" si="28"/>
        <v>2.8090208023741663E-2</v>
      </c>
      <c r="F356">
        <f t="shared" ca="1" si="26"/>
        <v>2.5335863969999914E-2</v>
      </c>
      <c r="G356">
        <f t="shared" ca="1" si="25"/>
        <v>0.44074846625285691</v>
      </c>
      <c r="H356">
        <f t="shared" ca="1" si="29"/>
        <v>2.1131685869544041</v>
      </c>
    </row>
    <row r="357" spans="1:8" x14ac:dyDescent="0.25">
      <c r="A357" s="1">
        <v>40695</v>
      </c>
      <c r="B357">
        <v>261.81908279999999</v>
      </c>
      <c r="C357" s="6">
        <v>6.4647804730742801E-3</v>
      </c>
      <c r="D357" s="6">
        <f t="shared" ca="1" si="27"/>
        <v>-1.9790656535178221E-2</v>
      </c>
      <c r="E357" s="6">
        <f t="shared" ca="1" si="28"/>
        <v>-2.6255437008252502E-2</v>
      </c>
      <c r="F357">
        <f t="shared" ca="1" si="26"/>
        <v>1.1592961596102245E-2</v>
      </c>
      <c r="G357">
        <f t="shared" ca="1" si="25"/>
        <v>-1.499329174011738</v>
      </c>
      <c r="H357">
        <f t="shared" ca="1" si="29"/>
        <v>2.2194879339804401</v>
      </c>
    </row>
    <row r="358" spans="1:8" x14ac:dyDescent="0.25">
      <c r="A358" s="5">
        <v>40696</v>
      </c>
      <c r="B358">
        <v>263.04448769999999</v>
      </c>
      <c r="C358" s="6">
        <v>-4.6803498312461469E-3</v>
      </c>
      <c r="D358" s="6">
        <f t="shared" ca="1" si="27"/>
        <v>5.6563940097152758E-3</v>
      </c>
      <c r="E358" s="6">
        <f t="shared" ca="1" si="28"/>
        <v>1.0336743840961423E-2</v>
      </c>
      <c r="F358">
        <f t="shared" ca="1" si="26"/>
        <v>2.4826778079817903E-2</v>
      </c>
      <c r="G358">
        <f t="shared" ca="1" si="25"/>
        <v>0.51072820992003132</v>
      </c>
      <c r="H358">
        <f t="shared" ca="1" si="29"/>
        <v>2.721195686050105</v>
      </c>
    </row>
    <row r="359" spans="1:8" x14ac:dyDescent="0.25">
      <c r="A359" s="1">
        <v>40697</v>
      </c>
      <c r="B359">
        <v>260.56380139999999</v>
      </c>
      <c r="C359" s="6">
        <v>9.4306720573791459E-3</v>
      </c>
      <c r="D359" s="6">
        <f t="shared" ca="1" si="27"/>
        <v>-2.3836046635447856E-3</v>
      </c>
      <c r="E359" s="6">
        <f t="shared" ca="1" si="28"/>
        <v>-1.1814276720923932E-2</v>
      </c>
      <c r="F359">
        <f t="shared" ca="1" si="26"/>
        <v>1.2224835992352709E-2</v>
      </c>
      <c r="G359">
        <f t="shared" ca="1" si="25"/>
        <v>-0.43323925511720468</v>
      </c>
      <c r="H359">
        <f t="shared" ca="1" si="29"/>
        <v>2.6997822888664986</v>
      </c>
    </row>
    <row r="360" spans="1:8" x14ac:dyDescent="0.25">
      <c r="A360" s="5">
        <v>40700</v>
      </c>
      <c r="B360">
        <v>259.55757399999999</v>
      </c>
      <c r="C360" s="6">
        <v>3.8617313479216084E-3</v>
      </c>
      <c r="D360" s="6">
        <f t="shared" ca="1" si="27"/>
        <v>1.0394886049053314E-3</v>
      </c>
      <c r="E360" s="6">
        <f t="shared" ca="1" si="28"/>
        <v>-2.822242743016277E-3</v>
      </c>
      <c r="F360">
        <f t="shared" ca="1" si="26"/>
        <v>1.0075407609363237E-2</v>
      </c>
      <c r="G360">
        <f t="shared" ca="1" si="25"/>
        <v>0.31245352535132243</v>
      </c>
      <c r="H360">
        <f t="shared" ca="1" si="29"/>
        <v>2.8128957244867081</v>
      </c>
    </row>
    <row r="361" spans="1:8" x14ac:dyDescent="0.25">
      <c r="A361" s="1">
        <v>40701</v>
      </c>
      <c r="B361">
        <v>258.54634179999999</v>
      </c>
      <c r="C361" s="6">
        <v>3.8959841718970412E-3</v>
      </c>
      <c r="D361" s="6">
        <f t="shared" ca="1" si="27"/>
        <v>-7.512053756552825E-3</v>
      </c>
      <c r="E361" s="6">
        <f t="shared" ca="1" si="28"/>
        <v>-1.1408037928449867E-2</v>
      </c>
      <c r="F361">
        <f t="shared" ca="1" si="26"/>
        <v>8.7134197159454817E-3</v>
      </c>
      <c r="G361">
        <f t="shared" ca="1" si="25"/>
        <v>-1.3497768494345077</v>
      </c>
      <c r="H361">
        <f t="shared" ca="1" si="29"/>
        <v>2.7079704864528176</v>
      </c>
    </row>
    <row r="362" spans="1:8" x14ac:dyDescent="0.25">
      <c r="A362" s="5">
        <v>40702</v>
      </c>
      <c r="B362">
        <v>258.61607450000002</v>
      </c>
      <c r="C362" s="6">
        <v>-2.6971064264360596E-4</v>
      </c>
      <c r="D362" s="6">
        <f t="shared" ca="1" si="27"/>
        <v>5.0081778528077422E-2</v>
      </c>
      <c r="E362" s="6">
        <f t="shared" ca="1" si="28"/>
        <v>5.0351489170721027E-2</v>
      </c>
      <c r="F362">
        <f t="shared" ca="1" si="26"/>
        <v>2.2494101335884389E-2</v>
      </c>
      <c r="G362">
        <f t="shared" ca="1" si="25"/>
        <v>2.1490871571706518</v>
      </c>
      <c r="H362">
        <f t="shared" ca="1" si="29"/>
        <v>0.56465759884391176</v>
      </c>
    </row>
    <row r="363" spans="1:8" x14ac:dyDescent="0.25">
      <c r="A363" s="1">
        <v>40703</v>
      </c>
      <c r="B363">
        <v>257.40064869999998</v>
      </c>
      <c r="C363" s="6">
        <v>4.6997302946072215E-3</v>
      </c>
      <c r="D363" s="6">
        <f t="shared" ca="1" si="27"/>
        <v>-4.571486638060291E-2</v>
      </c>
      <c r="E363" s="6">
        <f t="shared" ca="1" si="28"/>
        <v>-5.041459667521013E-2</v>
      </c>
      <c r="F363">
        <f t="shared" ca="1" si="26"/>
        <v>3.5120305029482032E-2</v>
      </c>
      <c r="G363">
        <f t="shared" ca="1" si="25"/>
        <v>-1.3516461351228088</v>
      </c>
      <c r="H363">
        <f t="shared" ca="1" si="29"/>
        <v>0.59302398977199322</v>
      </c>
    </row>
    <row r="364" spans="1:8" x14ac:dyDescent="0.25">
      <c r="A364" s="5">
        <v>40704</v>
      </c>
      <c r="B364">
        <v>253.8041154</v>
      </c>
      <c r="C364" s="6">
        <v>1.3972510629496235E-2</v>
      </c>
      <c r="D364" s="6">
        <f t="shared" ca="1" si="27"/>
        <v>2.9843576256519722E-2</v>
      </c>
      <c r="E364" s="6">
        <f t="shared" ca="1" si="28"/>
        <v>1.5871065627023485E-2</v>
      </c>
      <c r="F364">
        <f t="shared" ca="1" si="26"/>
        <v>2.4097244573353473E-2</v>
      </c>
      <c r="G364">
        <f t="shared" ca="1" si="25"/>
        <v>1.2435039377095605</v>
      </c>
      <c r="H364">
        <f t="shared" ca="1" si="29"/>
        <v>2.5913318971482813</v>
      </c>
    </row>
    <row r="365" spans="1:8" x14ac:dyDescent="0.25">
      <c r="A365" s="1">
        <v>40707</v>
      </c>
      <c r="B365">
        <v>251.42303870000001</v>
      </c>
      <c r="C365" s="6">
        <v>9.3815527626389082E-3</v>
      </c>
      <c r="D365" s="6">
        <f t="shared" ca="1" si="27"/>
        <v>-3.2817417438936791E-2</v>
      </c>
      <c r="E365" s="6">
        <f t="shared" ca="1" si="28"/>
        <v>-4.2198970201575703E-2</v>
      </c>
      <c r="F365">
        <f t="shared" ca="1" si="26"/>
        <v>2.1656566737548337E-2</v>
      </c>
      <c r="G365">
        <f t="shared" ca="1" si="25"/>
        <v>-1.6131432558312069</v>
      </c>
      <c r="H365">
        <f t="shared" ca="1" si="29"/>
        <v>1.2617166673986648</v>
      </c>
    </row>
    <row r="366" spans="1:8" x14ac:dyDescent="0.25">
      <c r="A366" s="5">
        <v>40708</v>
      </c>
      <c r="B366">
        <v>253.23624340000001</v>
      </c>
      <c r="C366" s="6">
        <v>-7.2117682984634132E-3</v>
      </c>
      <c r="D366" s="6">
        <f t="shared" ca="1" si="27"/>
        <v>-2.8972446779662295E-2</v>
      </c>
      <c r="E366" s="6">
        <f t="shared" ca="1" si="28"/>
        <v>-2.1760678481198881E-2</v>
      </c>
      <c r="F366">
        <f t="shared" ca="1" si="26"/>
        <v>2.6949635439521925E-2</v>
      </c>
      <c r="G366">
        <f t="shared" ca="1" si="25"/>
        <v>-1.3086638380377289</v>
      </c>
      <c r="H366">
        <f t="shared" ca="1" si="29"/>
        <v>2.4084307207726017</v>
      </c>
    </row>
    <row r="367" spans="1:8" x14ac:dyDescent="0.25">
      <c r="A367" s="1">
        <v>40709</v>
      </c>
      <c r="B367">
        <v>250.53636420000001</v>
      </c>
      <c r="C367" s="6">
        <v>1.0661503913305949E-2</v>
      </c>
      <c r="D367" s="6">
        <f t="shared" ca="1" si="27"/>
        <v>2.4230252359046583E-3</v>
      </c>
      <c r="E367" s="6">
        <f t="shared" ca="1" si="28"/>
        <v>-8.2384786774012918E-3</v>
      </c>
      <c r="F367">
        <f t="shared" ca="1" si="26"/>
        <v>2.2800828963607574E-2</v>
      </c>
      <c r="G367">
        <f t="shared" ca="1" si="25"/>
        <v>-7.9110238330724308E-2</v>
      </c>
      <c r="H367">
        <f t="shared" ca="1" si="29"/>
        <v>2.7618546902817256</v>
      </c>
    </row>
    <row r="368" spans="1:8" x14ac:dyDescent="0.25">
      <c r="A368" s="5">
        <v>40710</v>
      </c>
      <c r="B368">
        <v>249.2511749</v>
      </c>
      <c r="C368" s="6">
        <v>5.1297515396769421E-3</v>
      </c>
      <c r="D368" s="6">
        <f t="shared" ca="1" si="27"/>
        <v>4.5791661255211403E-3</v>
      </c>
      <c r="E368" s="6">
        <f t="shared" ca="1" si="28"/>
        <v>-5.505854141558018E-4</v>
      </c>
      <c r="F368">
        <f t="shared" ca="1" si="26"/>
        <v>8.9212275321469327E-3</v>
      </c>
      <c r="G368">
        <f t="shared" ca="1" si="25"/>
        <v>0.87749156423240182</v>
      </c>
      <c r="H368">
        <f t="shared" ca="1" si="29"/>
        <v>2.8188912364320937</v>
      </c>
    </row>
    <row r="369" spans="1:8" x14ac:dyDescent="0.25">
      <c r="A369" s="1">
        <v>40711</v>
      </c>
      <c r="B369">
        <v>241.60481480000001</v>
      </c>
      <c r="C369" s="6">
        <v>3.067732821346866E-2</v>
      </c>
      <c r="D369" s="6">
        <f t="shared" ca="1" si="27"/>
        <v>8.5785433659275653E-3</v>
      </c>
      <c r="E369" s="6">
        <f t="shared" ca="1" si="28"/>
        <v>-2.2098784847541096E-2</v>
      </c>
      <c r="F369">
        <f t="shared" ca="1" si="26"/>
        <v>1.5584105147697281E-2</v>
      </c>
      <c r="G369">
        <f t="shared" ca="1" si="25"/>
        <v>0.24222398959039237</v>
      </c>
      <c r="H369">
        <f t="shared" ca="1" si="29"/>
        <v>2.3954582320015692</v>
      </c>
    </row>
    <row r="370" spans="1:8" x14ac:dyDescent="0.25">
      <c r="A370" s="5">
        <v>40714</v>
      </c>
      <c r="B370">
        <v>241.38563740000001</v>
      </c>
      <c r="C370" s="6">
        <v>9.071731462861833E-4</v>
      </c>
      <c r="D370" s="6">
        <f t="shared" ca="1" si="27"/>
        <v>-6.7954588327045094E-3</v>
      </c>
      <c r="E370" s="6">
        <f t="shared" ca="1" si="28"/>
        <v>-7.7026319789906929E-3</v>
      </c>
      <c r="F370">
        <f t="shared" ca="1" si="26"/>
        <v>8.6682078120041278E-3</v>
      </c>
      <c r="G370">
        <f t="shared" ca="1" si="25"/>
        <v>-1.0506452467614666</v>
      </c>
      <c r="H370">
        <f t="shared" ca="1" si="29"/>
        <v>2.7692121731859913</v>
      </c>
    </row>
    <row r="371" spans="1:8" x14ac:dyDescent="0.25">
      <c r="A371" s="1">
        <v>40715</v>
      </c>
      <c r="B371">
        <v>245.5799346</v>
      </c>
      <c r="C371" s="6">
        <v>-1.7375918655216534E-2</v>
      </c>
      <c r="D371" s="6">
        <f t="shared" ca="1" si="27"/>
        <v>-9.7493923265352979E-3</v>
      </c>
      <c r="E371" s="6">
        <f t="shared" ca="1" si="28"/>
        <v>7.6265263286812365E-3</v>
      </c>
      <c r="F371">
        <f t="shared" ca="1" si="26"/>
        <v>1.806010556156443E-2</v>
      </c>
      <c r="G371">
        <f t="shared" ca="1" si="25"/>
        <v>-1.3051579260483319</v>
      </c>
      <c r="H371">
        <f t="shared" ca="1" si="29"/>
        <v>2.765072738360232</v>
      </c>
    </row>
    <row r="372" spans="1:8" x14ac:dyDescent="0.25">
      <c r="A372" s="5">
        <v>40716</v>
      </c>
      <c r="B372">
        <v>242.59610369999999</v>
      </c>
      <c r="C372" s="6">
        <v>1.2150141276240959E-2</v>
      </c>
      <c r="D372" s="6">
        <f t="shared" ca="1" si="27"/>
        <v>-2.7577950434598685E-3</v>
      </c>
      <c r="E372" s="6">
        <f t="shared" ca="1" si="28"/>
        <v>-1.4907936319700827E-2</v>
      </c>
      <c r="F372">
        <f t="shared" ca="1" si="26"/>
        <v>2.2185619171177728E-2</v>
      </c>
      <c r="G372">
        <f t="shared" ca="1" si="25"/>
        <v>-0.14271590723517288</v>
      </c>
      <c r="H372">
        <f t="shared" ca="1" si="29"/>
        <v>2.6278710277647148</v>
      </c>
    </row>
    <row r="373" spans="1:8" x14ac:dyDescent="0.25">
      <c r="A373" s="1">
        <v>40717</v>
      </c>
      <c r="B373">
        <v>239.213774</v>
      </c>
      <c r="C373" s="6">
        <v>1.3942225981430656E-2</v>
      </c>
      <c r="D373" s="6">
        <f t="shared" ca="1" si="27"/>
        <v>-9.2301224453762015E-4</v>
      </c>
      <c r="E373" s="6">
        <f t="shared" ca="1" si="28"/>
        <v>-1.4865238225968276E-2</v>
      </c>
      <c r="F373">
        <f t="shared" ca="1" si="26"/>
        <v>9.020256399791449E-3</v>
      </c>
      <c r="G373">
        <f t="shared" ca="1" si="25"/>
        <v>0.76556883813575904</v>
      </c>
      <c r="H373">
        <f t="shared" ca="1" si="29"/>
        <v>2.6289784945208328</v>
      </c>
    </row>
    <row r="374" spans="1:8" x14ac:dyDescent="0.25">
      <c r="A374" s="5">
        <v>40718</v>
      </c>
      <c r="B374">
        <v>236.55375050000001</v>
      </c>
      <c r="C374" s="6">
        <v>1.1119859260278191E-2</v>
      </c>
      <c r="D374" s="6">
        <f t="shared" ca="1" si="27"/>
        <v>1.9014720586240746E-2</v>
      </c>
      <c r="E374" s="6">
        <f t="shared" ca="1" si="28"/>
        <v>7.8948613259625551E-3</v>
      </c>
      <c r="F374">
        <f t="shared" ca="1" si="26"/>
        <v>1.4033435904066707E-2</v>
      </c>
      <c r="G374">
        <f t="shared" ca="1" si="25"/>
        <v>0.96484993405586661</v>
      </c>
      <c r="H374">
        <f t="shared" ca="1" si="29"/>
        <v>2.7613067712868977</v>
      </c>
    </row>
    <row r="375" spans="1:8" x14ac:dyDescent="0.25">
      <c r="A375" s="1">
        <v>40721</v>
      </c>
      <c r="B375">
        <v>240.49896279999999</v>
      </c>
      <c r="C375" s="6">
        <v>-1.6677868313907711E-2</v>
      </c>
      <c r="D375" s="6">
        <f t="shared" ca="1" si="27"/>
        <v>-4.128631862417226E-3</v>
      </c>
      <c r="E375" s="6">
        <f t="shared" ca="1" si="28"/>
        <v>1.2549236451490486E-2</v>
      </c>
      <c r="F375">
        <f t="shared" ca="1" si="26"/>
        <v>1.7047054779379879E-2</v>
      </c>
      <c r="G375">
        <f t="shared" ca="1" si="25"/>
        <v>-0.61069682482723331</v>
      </c>
      <c r="H375">
        <f t="shared" ca="1" si="29"/>
        <v>2.6757650109132745</v>
      </c>
    </row>
    <row r="376" spans="1:8" x14ac:dyDescent="0.25">
      <c r="A376" s="5">
        <v>40722</v>
      </c>
      <c r="B376">
        <v>245.90371149999999</v>
      </c>
      <c r="C376" s="6">
        <v>-2.24730644867463E-2</v>
      </c>
      <c r="D376" s="6">
        <f t="shared" ca="1" si="27"/>
        <v>-1.1449342050168778E-3</v>
      </c>
      <c r="E376" s="6">
        <f t="shared" ca="1" si="28"/>
        <v>2.1328130281729422E-2</v>
      </c>
      <c r="F376">
        <f t="shared" ca="1" si="26"/>
        <v>1.2523900060485524E-2</v>
      </c>
      <c r="G376">
        <f t="shared" ca="1" si="25"/>
        <v>-0.49144338989568875</v>
      </c>
      <c r="H376">
        <f t="shared" ca="1" si="29"/>
        <v>2.4103489540281968</v>
      </c>
    </row>
    <row r="377" spans="1:8" x14ac:dyDescent="0.25">
      <c r="A377" s="1">
        <v>40723</v>
      </c>
      <c r="B377">
        <v>247.85639739999999</v>
      </c>
      <c r="C377" s="6">
        <v>-7.9408557442615345E-3</v>
      </c>
      <c r="D377" s="6">
        <f t="shared" ca="1" si="27"/>
        <v>7.9668480756641558E-3</v>
      </c>
      <c r="E377" s="6">
        <f t="shared" ca="1" si="28"/>
        <v>1.5907703819925692E-2</v>
      </c>
      <c r="F377">
        <f t="shared" ca="1" si="26"/>
        <v>1.0745124330443657E-2</v>
      </c>
      <c r="G377">
        <f t="shared" ca="1" si="25"/>
        <v>1.4407975513432105</v>
      </c>
      <c r="H377">
        <f t="shared" ca="1" si="29"/>
        <v>2.5902920521076211</v>
      </c>
    </row>
    <row r="378" spans="1:8" x14ac:dyDescent="0.25">
      <c r="A378" s="5">
        <v>40724</v>
      </c>
      <c r="B378">
        <v>252.24495450000001</v>
      </c>
      <c r="C378" s="6">
        <v>-1.7706047316251416E-2</v>
      </c>
      <c r="D378" s="6">
        <f t="shared" ca="1" si="27"/>
        <v>-1.6351386700567561E-3</v>
      </c>
      <c r="E378" s="6">
        <f t="shared" ca="1" si="28"/>
        <v>1.6070908646194662E-2</v>
      </c>
      <c r="F378">
        <f t="shared" ca="1" si="26"/>
        <v>2.3918263745612813E-2</v>
      </c>
      <c r="G378">
        <f t="shared" ca="1" si="25"/>
        <v>0.35497507437601311</v>
      </c>
      <c r="H378">
        <f t="shared" ca="1" si="29"/>
        <v>2.5856312799719503</v>
      </c>
    </row>
    <row r="379" spans="1:8" x14ac:dyDescent="0.25">
      <c r="A379" s="1">
        <v>40725</v>
      </c>
      <c r="B379">
        <v>259.5426205</v>
      </c>
      <c r="C379" s="6">
        <v>-2.8930870052348231E-2</v>
      </c>
      <c r="D379" s="6">
        <f t="shared" ca="1" si="27"/>
        <v>5.4069577502773442E-3</v>
      </c>
      <c r="E379" s="6">
        <f t="shared" ca="1" si="28"/>
        <v>3.4337827802625578E-2</v>
      </c>
      <c r="F379">
        <f t="shared" ca="1" si="26"/>
        <v>1.0624503568917627E-2</v>
      </c>
      <c r="G379">
        <f t="shared" ca="1" si="25"/>
        <v>0.84569204524522956</v>
      </c>
      <c r="H379">
        <f t="shared" ca="1" si="29"/>
        <v>1.7668696880191959</v>
      </c>
    </row>
    <row r="380" spans="1:8" x14ac:dyDescent="0.25">
      <c r="A380" s="5">
        <v>40729</v>
      </c>
      <c r="B380">
        <v>265.22631519999999</v>
      </c>
      <c r="C380" s="6">
        <v>-2.1898887701181969E-2</v>
      </c>
      <c r="D380" s="6">
        <f t="shared" ca="1" si="27"/>
        <v>-3.3396204986779676E-3</v>
      </c>
      <c r="E380" s="6">
        <f t="shared" ca="1" si="28"/>
        <v>1.8559267202504E-2</v>
      </c>
      <c r="F380">
        <f t="shared" ca="1" si="26"/>
        <v>1.5207154316673251E-2</v>
      </c>
      <c r="G380">
        <f t="shared" ca="1" si="25"/>
        <v>0.30501697683743911</v>
      </c>
      <c r="H380">
        <f t="shared" ca="1" si="29"/>
        <v>2.5087465492066481</v>
      </c>
    </row>
    <row r="381" spans="1:8" x14ac:dyDescent="0.25">
      <c r="A381" s="1">
        <v>40730</v>
      </c>
      <c r="B381">
        <v>266.68087709999998</v>
      </c>
      <c r="C381" s="6">
        <v>-5.4842291908445877E-3</v>
      </c>
      <c r="D381" s="6">
        <f t="shared" ca="1" si="27"/>
        <v>-1.8069333077982634E-2</v>
      </c>
      <c r="E381" s="6">
        <f t="shared" ca="1" si="28"/>
        <v>-1.2585103887138047E-2</v>
      </c>
      <c r="F381">
        <f t="shared" ca="1" si="26"/>
        <v>9.1106831506866243E-3</v>
      </c>
      <c r="G381">
        <f t="shared" ca="1" si="25"/>
        <v>-0.5525345345131466</v>
      </c>
      <c r="H381">
        <f t="shared" ca="1" si="29"/>
        <v>2.6834447141694566</v>
      </c>
    </row>
    <row r="382" spans="1:8" x14ac:dyDescent="0.25">
      <c r="A382" s="5">
        <v>40731</v>
      </c>
      <c r="B382">
        <v>272.2798856</v>
      </c>
      <c r="C382" s="6">
        <v>-2.0995163061131337E-2</v>
      </c>
      <c r="D382" s="6">
        <f t="shared" ca="1" si="27"/>
        <v>-2.1821346303492712E-2</v>
      </c>
      <c r="E382" s="6">
        <f t="shared" ca="1" si="28"/>
        <v>-8.2618324236137519E-4</v>
      </c>
      <c r="F382">
        <f t="shared" ca="1" si="26"/>
        <v>1.1257912478794499E-2</v>
      </c>
      <c r="G382">
        <f t="shared" ca="1" si="25"/>
        <v>-1.0618807140854316</v>
      </c>
      <c r="H382">
        <f t="shared" ca="1" si="29"/>
        <v>2.8186493228727958</v>
      </c>
    </row>
    <row r="383" spans="1:8" x14ac:dyDescent="0.25">
      <c r="A383" s="1">
        <v>40732</v>
      </c>
      <c r="B383">
        <v>265.00216330000001</v>
      </c>
      <c r="C383" s="6">
        <v>2.6728828256860387E-2</v>
      </c>
      <c r="D383" s="6">
        <f t="shared" ca="1" si="27"/>
        <v>9.8548056884870186E-3</v>
      </c>
      <c r="E383" s="6">
        <f t="shared" ca="1" si="28"/>
        <v>-1.6874022568373368E-2</v>
      </c>
      <c r="F383">
        <f t="shared" ca="1" si="26"/>
        <v>1.8313470388229933E-2</v>
      </c>
      <c r="G383">
        <f t="shared" ca="1" si="25"/>
        <v>0.67306251278688722</v>
      </c>
      <c r="H383">
        <f t="shared" ca="1" si="29"/>
        <v>2.5733910387182983</v>
      </c>
    </row>
    <row r="384" spans="1:8" x14ac:dyDescent="0.25">
      <c r="A384" s="5">
        <v>40735</v>
      </c>
      <c r="B384">
        <v>262.65596799999997</v>
      </c>
      <c r="C384" s="6">
        <v>8.8534948952246287E-3</v>
      </c>
      <c r="D384" s="6">
        <f t="shared" ca="1" si="27"/>
        <v>7.2108853492766981E-4</v>
      </c>
      <c r="E384" s="6">
        <f t="shared" ca="1" si="28"/>
        <v>-8.1324063602969589E-3</v>
      </c>
      <c r="F384">
        <f t="shared" ca="1" si="26"/>
        <v>1.3406457087556065E-2</v>
      </c>
      <c r="G384">
        <f t="shared" ca="1" si="25"/>
        <v>0.75934770820356312</v>
      </c>
      <c r="H384">
        <f t="shared" ca="1" si="29"/>
        <v>2.7633513540497354</v>
      </c>
    </row>
    <row r="385" spans="1:8" x14ac:dyDescent="0.25">
      <c r="A385" s="1">
        <v>40736</v>
      </c>
      <c r="B385">
        <v>266.00839070000001</v>
      </c>
      <c r="C385" s="6">
        <v>-1.2763550455476549E-2</v>
      </c>
      <c r="D385" s="6">
        <f t="shared" ca="1" si="27"/>
        <v>1.9046718344935751E-2</v>
      </c>
      <c r="E385" s="6">
        <f t="shared" ca="1" si="28"/>
        <v>3.1810268800412302E-2</v>
      </c>
      <c r="F385">
        <f t="shared" ca="1" si="26"/>
        <v>1.4170475183723573E-2</v>
      </c>
      <c r="G385">
        <f t="shared" ca="1" si="25"/>
        <v>0.49424689075913814</v>
      </c>
      <c r="H385">
        <f t="shared" ca="1" si="29"/>
        <v>1.9152672942506204</v>
      </c>
    </row>
    <row r="386" spans="1:8" x14ac:dyDescent="0.25">
      <c r="A386" s="5">
        <v>40737</v>
      </c>
      <c r="B386">
        <v>268.12545999999998</v>
      </c>
      <c r="C386" s="6">
        <v>-7.9586560951288386E-3</v>
      </c>
      <c r="D386" s="6">
        <f t="shared" ca="1" si="27"/>
        <v>-1.326226101021878E-2</v>
      </c>
      <c r="E386" s="6">
        <f t="shared" ca="1" si="28"/>
        <v>-5.3036049150899413E-3</v>
      </c>
      <c r="F386">
        <f t="shared" ca="1" si="26"/>
        <v>1.0905862263193481E-2</v>
      </c>
      <c r="G386">
        <f t="shared" ca="1" si="25"/>
        <v>-1.581814705074063</v>
      </c>
      <c r="H386">
        <f t="shared" ca="1" si="29"/>
        <v>2.7959387634197879</v>
      </c>
    </row>
    <row r="387" spans="1:8" x14ac:dyDescent="0.25">
      <c r="A387" s="1">
        <v>40738</v>
      </c>
      <c r="B387">
        <v>263.48284310000003</v>
      </c>
      <c r="C387" s="6">
        <v>1.7315091599283228E-2</v>
      </c>
      <c r="D387" s="6">
        <f t="shared" ca="1" si="27"/>
        <v>-6.9270115492597005E-3</v>
      </c>
      <c r="E387" s="6">
        <f t="shared" ca="1" si="28"/>
        <v>-2.4242103148542929E-2</v>
      </c>
      <c r="F387">
        <f t="shared" ca="1" si="26"/>
        <v>2.605794684853718E-2</v>
      </c>
      <c r="G387">
        <f t="shared" ref="G387:G450" ca="1" si="30">_xlfn.NORM.INV(RAND(),0,1)</f>
        <v>-4.513685975779063E-2</v>
      </c>
      <c r="H387">
        <f t="shared" ca="1" si="29"/>
        <v>2.3085297697874609</v>
      </c>
    </row>
    <row r="388" spans="1:8" x14ac:dyDescent="0.25">
      <c r="A388" s="5">
        <v>40739</v>
      </c>
      <c r="B388">
        <v>297.69469370000002</v>
      </c>
      <c r="C388" s="6">
        <v>-0.12984469955417749</v>
      </c>
      <c r="D388" s="6">
        <f t="shared" ca="1" si="27"/>
        <v>3.9850971055939797E-3</v>
      </c>
      <c r="E388" s="6">
        <f t="shared" ca="1" si="28"/>
        <v>0.13382979665977146</v>
      </c>
      <c r="F388">
        <f t="shared" ref="F388:F451" ca="1" si="31">SQRT($K$6+$K$7*POWER($G387,2)+$K$8*POWER($F387,2))</f>
        <v>9.4141756981162127E-3</v>
      </c>
      <c r="G388">
        <f t="shared" ca="1" si="30"/>
        <v>0.80417431480970758</v>
      </c>
      <c r="H388">
        <f t="shared" ca="1" si="29"/>
        <v>-13.031805951395731</v>
      </c>
    </row>
    <row r="389" spans="1:8" x14ac:dyDescent="0.25">
      <c r="A389" s="1">
        <v>40742</v>
      </c>
      <c r="B389">
        <v>296.35966969999998</v>
      </c>
      <c r="C389" s="6">
        <v>4.4845408005336996E-3</v>
      </c>
      <c r="D389" s="6">
        <f t="shared" ref="D389:D452" ca="1" si="32">($K$10*$C388)+($K$11*$C387)+($F389*$G389)</f>
        <v>9.4667137571537892E-3</v>
      </c>
      <c r="E389" s="6">
        <f t="shared" ca="1" si="28"/>
        <v>4.9821729566200896E-3</v>
      </c>
      <c r="F389">
        <f t="shared" ca="1" si="31"/>
        <v>1.4579774410445627E-2</v>
      </c>
      <c r="G389">
        <f t="shared" ca="1" si="30"/>
        <v>0.11436577151653764</v>
      </c>
      <c r="H389">
        <f t="shared" ca="1" si="29"/>
        <v>2.795388061242245</v>
      </c>
    </row>
    <row r="390" spans="1:8" x14ac:dyDescent="0.25">
      <c r="A390" s="5">
        <v>40743</v>
      </c>
      <c r="B390">
        <v>300.15047779999998</v>
      </c>
      <c r="C390" s="6">
        <v>-1.2791241479778153E-2</v>
      </c>
      <c r="D390" s="6">
        <f t="shared" ca="1" si="32"/>
        <v>-5.8225312041070419E-2</v>
      </c>
      <c r="E390" s="6">
        <f t="shared" ref="E390:E453" ca="1" si="33">$D390-$C390</f>
        <v>-4.543407056129227E-2</v>
      </c>
      <c r="F390">
        <f t="shared" ca="1" si="31"/>
        <v>7.8613939053679381E-3</v>
      </c>
      <c r="G390">
        <f t="shared" ca="1" si="30"/>
        <v>3.5240823934371723E-2</v>
      </c>
      <c r="H390">
        <f t="shared" ref="H390:H453" ca="1" si="34">LN(_xlfn.NORM.DIST($E390,AVERAGE($E$5:$E$1763),_xlfn.STDEV.S($E$5:$E$1763),FALSE))</f>
        <v>1.0126218786529992</v>
      </c>
    </row>
    <row r="391" spans="1:8" x14ac:dyDescent="0.25">
      <c r="A391" s="1">
        <v>40744</v>
      </c>
      <c r="B391">
        <v>296.56392410000001</v>
      </c>
      <c r="C391" s="6">
        <v>1.194918537624253E-2</v>
      </c>
      <c r="D391" s="6">
        <f t="shared" ca="1" si="32"/>
        <v>4.7492467110727939E-3</v>
      </c>
      <c r="E391" s="6">
        <f t="shared" ca="1" si="33"/>
        <v>-7.1999386651697356E-3</v>
      </c>
      <c r="F391">
        <f t="shared" ca="1" si="31"/>
        <v>7.0195216109702066E-3</v>
      </c>
      <c r="G391">
        <f t="shared" ca="1" si="30"/>
        <v>0.3887611638047308</v>
      </c>
      <c r="H391">
        <f t="shared" ca="1" si="34"/>
        <v>2.7756537252689224</v>
      </c>
    </row>
    <row r="392" spans="1:8" x14ac:dyDescent="0.25">
      <c r="A392" s="5">
        <v>40745</v>
      </c>
      <c r="B392">
        <v>302.36218229999997</v>
      </c>
      <c r="C392" s="6">
        <v>-1.9551461687716331E-2</v>
      </c>
      <c r="D392" s="6">
        <f t="shared" ca="1" si="32"/>
        <v>-1.3191073351583267E-2</v>
      </c>
      <c r="E392" s="6">
        <f t="shared" ca="1" si="33"/>
        <v>6.3603883361330639E-3</v>
      </c>
      <c r="F392">
        <f t="shared" ca="1" si="31"/>
        <v>9.2739367947115344E-3</v>
      </c>
      <c r="G392">
        <f t="shared" ca="1" si="30"/>
        <v>-0.80096390282255736</v>
      </c>
      <c r="H392">
        <f t="shared" ca="1" si="34"/>
        <v>2.7811279064853518</v>
      </c>
    </row>
    <row r="393" spans="1:8" x14ac:dyDescent="0.25">
      <c r="A393" s="1">
        <v>40746</v>
      </c>
      <c r="B393">
        <v>307.96122120000001</v>
      </c>
      <c r="C393" s="6">
        <v>-1.8517656068657233E-2</v>
      </c>
      <c r="D393" s="6">
        <f t="shared" ca="1" si="32"/>
        <v>-1.9090754352110238E-2</v>
      </c>
      <c r="E393" s="6">
        <f t="shared" ca="1" si="33"/>
        <v>-5.7309828345300518E-4</v>
      </c>
      <c r="F393">
        <f t="shared" ca="1" si="31"/>
        <v>1.4529743152391588E-2</v>
      </c>
      <c r="G393">
        <f t="shared" ca="1" si="30"/>
        <v>-1.6844220080781336</v>
      </c>
      <c r="H393">
        <f t="shared" ca="1" si="34"/>
        <v>2.8188765032436733</v>
      </c>
    </row>
    <row r="394" spans="1:8" x14ac:dyDescent="0.25">
      <c r="A394" s="5">
        <v>40749</v>
      </c>
      <c r="B394">
        <v>308.33481840000002</v>
      </c>
      <c r="C394" s="6">
        <v>-1.2131306615302058E-3</v>
      </c>
      <c r="D394" s="6">
        <f t="shared" ca="1" si="32"/>
        <v>7.2596404069244242E-3</v>
      </c>
      <c r="E394" s="6">
        <f t="shared" ca="1" si="33"/>
        <v>8.4727710684546296E-3</v>
      </c>
      <c r="F394">
        <f t="shared" ca="1" si="31"/>
        <v>2.7726678032537075E-2</v>
      </c>
      <c r="G394">
        <f t="shared" ca="1" si="30"/>
        <v>0.5795498868085831</v>
      </c>
      <c r="H394">
        <f t="shared" ca="1" si="34"/>
        <v>2.7527644734399153</v>
      </c>
    </row>
    <row r="395" spans="1:8" x14ac:dyDescent="0.25">
      <c r="A395" s="1">
        <v>40750</v>
      </c>
      <c r="B395">
        <v>310.09821820000002</v>
      </c>
      <c r="C395" s="6">
        <v>-5.7191069407943381E-3</v>
      </c>
      <c r="D395" s="6">
        <f t="shared" ca="1" si="32"/>
        <v>-6.9165650437084097E-3</v>
      </c>
      <c r="E395" s="6">
        <f t="shared" ca="1" si="33"/>
        <v>-1.1974581029140716E-3</v>
      </c>
      <c r="F395">
        <f t="shared" ca="1" si="31"/>
        <v>1.3337909487483679E-2</v>
      </c>
      <c r="G395">
        <f t="shared" ca="1" si="30"/>
        <v>0.10696677407871466</v>
      </c>
      <c r="H395">
        <f t="shared" ca="1" si="34"/>
        <v>2.8181114821683901</v>
      </c>
    </row>
    <row r="396" spans="1:8" x14ac:dyDescent="0.25">
      <c r="A396" s="5">
        <v>40751</v>
      </c>
      <c r="B396">
        <v>302.47677579999998</v>
      </c>
      <c r="C396" s="6">
        <v>2.4577511100320262E-2</v>
      </c>
      <c r="D396" s="6">
        <f t="shared" ca="1" si="32"/>
        <v>7.255254550141481E-3</v>
      </c>
      <c r="E396" s="6">
        <f t="shared" ca="1" si="33"/>
        <v>-1.7322256550178782E-2</v>
      </c>
      <c r="F396">
        <f t="shared" ca="1" si="31"/>
        <v>7.6936454580381073E-3</v>
      </c>
      <c r="G396">
        <f t="shared" ca="1" si="30"/>
        <v>1.0140750064835586</v>
      </c>
      <c r="H396">
        <f t="shared" ca="1" si="34"/>
        <v>2.5600155278464678</v>
      </c>
    </row>
    <row r="397" spans="1:8" x14ac:dyDescent="0.25">
      <c r="A397" s="1">
        <v>40752</v>
      </c>
      <c r="B397">
        <v>304.32980670000001</v>
      </c>
      <c r="C397" s="6">
        <v>-6.1261923170764692E-3</v>
      </c>
      <c r="D397" s="6">
        <f t="shared" ca="1" si="32"/>
        <v>-2.1155492246713078E-2</v>
      </c>
      <c r="E397" s="6">
        <f t="shared" ca="1" si="33"/>
        <v>-1.502929992963661E-2</v>
      </c>
      <c r="F397">
        <f t="shared" ca="1" si="31"/>
        <v>1.7500058440992752E-2</v>
      </c>
      <c r="G397">
        <f t="shared" ca="1" si="30"/>
        <v>-1.0616602010957417</v>
      </c>
      <c r="H397">
        <f t="shared" ca="1" si="34"/>
        <v>2.624705630667107</v>
      </c>
    </row>
    <row r="398" spans="1:8" x14ac:dyDescent="0.25">
      <c r="A398" s="5">
        <v>40753</v>
      </c>
      <c r="B398">
        <v>300.7183503</v>
      </c>
      <c r="C398" s="6">
        <v>1.1866916484983291E-2</v>
      </c>
      <c r="D398" s="6">
        <f t="shared" ca="1" si="32"/>
        <v>1.9512434744049033E-2</v>
      </c>
      <c r="E398" s="6">
        <f t="shared" ca="1" si="33"/>
        <v>7.6455182590657415E-3</v>
      </c>
      <c r="F398">
        <f t="shared" ca="1" si="31"/>
        <v>1.8618633597061549E-2</v>
      </c>
      <c r="G398">
        <f t="shared" ca="1" si="30"/>
        <v>0.45325390141066429</v>
      </c>
      <c r="H398">
        <f t="shared" ca="1" si="34"/>
        <v>2.7648103737370735</v>
      </c>
    </row>
    <row r="399" spans="1:8" x14ac:dyDescent="0.25">
      <c r="A399" s="1">
        <v>40756</v>
      </c>
      <c r="B399">
        <v>302.25259360000001</v>
      </c>
      <c r="C399" s="6">
        <v>-5.1019277622048531E-3</v>
      </c>
      <c r="D399" s="6">
        <f t="shared" ca="1" si="32"/>
        <v>-7.6969350086512917E-3</v>
      </c>
      <c r="E399" s="6">
        <f t="shared" ca="1" si="33"/>
        <v>-2.5950072464464386E-3</v>
      </c>
      <c r="F399">
        <f t="shared" ca="1" si="31"/>
        <v>1.0884208045783961E-2</v>
      </c>
      <c r="G399">
        <f t="shared" ca="1" si="30"/>
        <v>-0.45358678586250534</v>
      </c>
      <c r="H399">
        <f t="shared" ca="1" si="34"/>
        <v>2.813905431109414</v>
      </c>
    </row>
    <row r="400" spans="1:8" x14ac:dyDescent="0.25">
      <c r="A400" s="5">
        <v>40757</v>
      </c>
      <c r="B400">
        <v>295.09440869999997</v>
      </c>
      <c r="C400" s="6">
        <v>2.3682790657780603E-2</v>
      </c>
      <c r="D400" s="6">
        <f t="shared" ca="1" si="32"/>
        <v>-1.0538645798443522E-2</v>
      </c>
      <c r="E400" s="6">
        <f t="shared" ca="1" si="33"/>
        <v>-3.4221436456224122E-2</v>
      </c>
      <c r="F400">
        <f t="shared" ca="1" si="31"/>
        <v>1.0201282936244347E-2</v>
      </c>
      <c r="G400">
        <f t="shared" ca="1" si="30"/>
        <v>-1.5571848046849113</v>
      </c>
      <c r="H400">
        <f t="shared" ca="1" si="34"/>
        <v>1.7970297421538441</v>
      </c>
    </row>
    <row r="401" spans="1:8" x14ac:dyDescent="0.25">
      <c r="A401" s="1">
        <v>40758</v>
      </c>
      <c r="B401">
        <v>299.4630684</v>
      </c>
      <c r="C401" s="6">
        <v>-1.4804278126602214E-2</v>
      </c>
      <c r="D401" s="6">
        <f t="shared" ca="1" si="32"/>
        <v>8.1501816670301822E-3</v>
      </c>
      <c r="E401" s="6">
        <f t="shared" ca="1" si="33"/>
        <v>2.2954459793632396E-2</v>
      </c>
      <c r="F401">
        <f t="shared" ca="1" si="31"/>
        <v>2.5665487101466173E-2</v>
      </c>
      <c r="G401">
        <f t="shared" ca="1" si="30"/>
        <v>0.40710307804317275</v>
      </c>
      <c r="H401">
        <f t="shared" ca="1" si="34"/>
        <v>2.3462457614141523</v>
      </c>
    </row>
    <row r="402" spans="1:8" x14ac:dyDescent="0.25">
      <c r="A402" s="5">
        <v>40759</v>
      </c>
      <c r="B402">
        <v>287.68219499999998</v>
      </c>
      <c r="C402" s="6">
        <v>3.9339987608301749E-2</v>
      </c>
      <c r="D402" s="6">
        <f t="shared" ca="1" si="32"/>
        <v>6.3226290279919046E-3</v>
      </c>
      <c r="E402" s="6">
        <f t="shared" ca="1" si="33"/>
        <v>-3.3017358580309845E-2</v>
      </c>
      <c r="F402">
        <f t="shared" ca="1" si="31"/>
        <v>1.1327904737596936E-2</v>
      </c>
      <c r="G402">
        <f t="shared" ca="1" si="30"/>
        <v>-0.38379307258778239</v>
      </c>
      <c r="H402">
        <f t="shared" ca="1" si="34"/>
        <v>1.8680702804411413</v>
      </c>
    </row>
    <row r="403" spans="1:8" x14ac:dyDescent="0.25">
      <c r="A403" s="1">
        <v>40760</v>
      </c>
      <c r="B403">
        <v>288.43936789999998</v>
      </c>
      <c r="C403" s="6">
        <v>-2.6319769285686957E-3</v>
      </c>
      <c r="D403" s="6">
        <f t="shared" ca="1" si="32"/>
        <v>-7.3291483553499454E-3</v>
      </c>
      <c r="E403" s="6">
        <f t="shared" ca="1" si="33"/>
        <v>-4.6971714267812492E-3</v>
      </c>
      <c r="F403">
        <f t="shared" ca="1" si="31"/>
        <v>9.4899685143829387E-3</v>
      </c>
      <c r="G403">
        <f t="shared" ca="1" si="30"/>
        <v>-6.9508037885304283E-2</v>
      </c>
      <c r="H403">
        <f t="shared" ca="1" si="34"/>
        <v>2.8010863680206675</v>
      </c>
    </row>
    <row r="404" spans="1:8" x14ac:dyDescent="0.25">
      <c r="A404" s="5">
        <v>40763</v>
      </c>
      <c r="B404">
        <v>271.99097560000001</v>
      </c>
      <c r="C404" s="6">
        <v>5.7025476167672493E-2</v>
      </c>
      <c r="D404" s="6">
        <f t="shared" ca="1" si="32"/>
        <v>-1.2092451296224355E-3</v>
      </c>
      <c r="E404" s="6">
        <f t="shared" ca="1" si="33"/>
        <v>-5.8234721297294928E-2</v>
      </c>
      <c r="F404">
        <f t="shared" ca="1" si="31"/>
        <v>7.2086693884347922E-3</v>
      </c>
      <c r="G404">
        <f t="shared" ca="1" si="30"/>
        <v>-2.6265742423382927</v>
      </c>
      <c r="H404">
        <f t="shared" ca="1" si="34"/>
        <v>-0.15414255682638073</v>
      </c>
    </row>
    <row r="405" spans="1:8" x14ac:dyDescent="0.25">
      <c r="A405" s="1">
        <v>40764</v>
      </c>
      <c r="B405">
        <v>285.63485839999998</v>
      </c>
      <c r="C405" s="6">
        <v>-5.016299812853045E-2</v>
      </c>
      <c r="D405" s="6">
        <f t="shared" ca="1" si="32"/>
        <v>3.7822749045748762E-2</v>
      </c>
      <c r="E405" s="6">
        <f t="shared" ca="1" si="33"/>
        <v>8.7985747174279205E-2</v>
      </c>
      <c r="F405">
        <f t="shared" ca="1" si="31"/>
        <v>4.2137028463178579E-2</v>
      </c>
      <c r="G405">
        <f t="shared" ca="1" si="30"/>
        <v>0.92573355619288267</v>
      </c>
      <c r="H405">
        <f t="shared" ca="1" si="34"/>
        <v>-4.0424371130349659</v>
      </c>
    </row>
    <row r="406" spans="1:8" x14ac:dyDescent="0.25">
      <c r="A406" s="5">
        <v>40765</v>
      </c>
      <c r="B406">
        <v>273.48038839999998</v>
      </c>
      <c r="C406" s="6">
        <v>4.2552474400652511E-2</v>
      </c>
      <c r="D406" s="6">
        <f t="shared" ca="1" si="32"/>
        <v>-4.7038955578309477E-4</v>
      </c>
      <c r="E406" s="6">
        <f t="shared" ca="1" si="33"/>
        <v>-4.3022863956435606E-2</v>
      </c>
      <c r="F406">
        <f t="shared" ca="1" si="31"/>
        <v>1.9293199869138977E-2</v>
      </c>
      <c r="G406">
        <f t="shared" ca="1" si="30"/>
        <v>-1.3560623961700888</v>
      </c>
      <c r="H406">
        <f t="shared" ca="1" si="34"/>
        <v>1.2000319932049479</v>
      </c>
    </row>
    <row r="407" spans="1:8" x14ac:dyDescent="0.25">
      <c r="A407" s="1">
        <v>40766</v>
      </c>
      <c r="B407">
        <v>280.01592210000001</v>
      </c>
      <c r="C407" s="6">
        <v>-2.3897632068742632E-2</v>
      </c>
      <c r="D407" s="6">
        <f t="shared" ca="1" si="32"/>
        <v>-2.6308404566903851E-2</v>
      </c>
      <c r="E407" s="6">
        <f t="shared" ca="1" si="33"/>
        <v>-2.4107724981612191E-3</v>
      </c>
      <c r="F407">
        <f t="shared" ca="1" si="31"/>
        <v>2.3000848640684787E-2</v>
      </c>
      <c r="G407">
        <f t="shared" ca="1" si="30"/>
        <v>-0.16120372057175519</v>
      </c>
      <c r="H407">
        <f t="shared" ca="1" si="34"/>
        <v>2.8146571680566304</v>
      </c>
    </row>
    <row r="408" spans="1:8" x14ac:dyDescent="0.25">
      <c r="A408" s="5">
        <v>40767</v>
      </c>
      <c r="B408">
        <v>280.83284850000001</v>
      </c>
      <c r="C408" s="6">
        <v>-2.917428387190986E-3</v>
      </c>
      <c r="D408" s="6">
        <f t="shared" ca="1" si="32"/>
        <v>2.8908551872793196E-2</v>
      </c>
      <c r="E408" s="6">
        <f t="shared" ca="1" si="33"/>
        <v>3.1825980259984184E-2</v>
      </c>
      <c r="F408">
        <f t="shared" ca="1" si="31"/>
        <v>9.2254303058144395E-3</v>
      </c>
      <c r="G408">
        <f t="shared" ca="1" si="30"/>
        <v>1.0554125864417065</v>
      </c>
      <c r="H408">
        <f t="shared" ca="1" si="34"/>
        <v>1.9143796727997566</v>
      </c>
    </row>
    <row r="409" spans="1:8" x14ac:dyDescent="0.25">
      <c r="A409" s="1">
        <v>40770</v>
      </c>
      <c r="B409">
        <v>277.57506100000001</v>
      </c>
      <c r="C409" s="6">
        <v>1.1600450294189877E-2</v>
      </c>
      <c r="D409" s="6">
        <f t="shared" ca="1" si="32"/>
        <v>1.7895331166102764E-2</v>
      </c>
      <c r="E409" s="6">
        <f t="shared" ca="1" si="33"/>
        <v>6.2948808719128866E-3</v>
      </c>
      <c r="F409">
        <f t="shared" ca="1" si="31"/>
        <v>1.8146999321017588E-2</v>
      </c>
      <c r="G409">
        <f t="shared" ca="1" si="30"/>
        <v>1.57946900606786</v>
      </c>
      <c r="H409">
        <f t="shared" ca="1" si="34"/>
        <v>2.781881587520846</v>
      </c>
    </row>
    <row r="410" spans="1:8" x14ac:dyDescent="0.25">
      <c r="A410" s="5">
        <v>40771</v>
      </c>
      <c r="B410">
        <v>268.4940823</v>
      </c>
      <c r="C410" s="6">
        <v>3.2715398376513383E-2</v>
      </c>
      <c r="D410" s="6">
        <f t="shared" ca="1" si="32"/>
        <v>-3.259787474691881E-2</v>
      </c>
      <c r="E410" s="6">
        <f t="shared" ca="1" si="33"/>
        <v>-6.5313273123432186E-2</v>
      </c>
      <c r="F410">
        <f t="shared" ca="1" si="31"/>
        <v>2.6277472477766822E-2</v>
      </c>
      <c r="G410">
        <f t="shared" ca="1" si="30"/>
        <v>-1.1905102023088472</v>
      </c>
      <c r="H410">
        <f t="shared" ca="1" si="34"/>
        <v>-0.92352389731483697</v>
      </c>
    </row>
    <row r="411" spans="1:8" x14ac:dyDescent="0.25">
      <c r="A411" s="1">
        <v>40772</v>
      </c>
      <c r="B411">
        <v>265.57998400000002</v>
      </c>
      <c r="C411" s="6">
        <v>1.0853491723307072E-2</v>
      </c>
      <c r="D411" s="6">
        <f t="shared" ca="1" si="32"/>
        <v>-6.609964116854699E-3</v>
      </c>
      <c r="E411" s="6">
        <f t="shared" ca="1" si="33"/>
        <v>-1.7463455840161769E-2</v>
      </c>
      <c r="F411">
        <f t="shared" ca="1" si="31"/>
        <v>2.106373632920016E-2</v>
      </c>
      <c r="G411">
        <f t="shared" ca="1" si="30"/>
        <v>-0.56196907629217407</v>
      </c>
      <c r="H411">
        <f t="shared" ca="1" si="34"/>
        <v>2.5557286282630205</v>
      </c>
    </row>
    <row r="412" spans="1:8" x14ac:dyDescent="0.25">
      <c r="A412" s="5">
        <v>40773</v>
      </c>
      <c r="B412">
        <v>251.49776109999999</v>
      </c>
      <c r="C412" s="6">
        <v>5.3024413541647143E-2</v>
      </c>
      <c r="D412" s="6">
        <f t="shared" ca="1" si="32"/>
        <v>1.3901713536155103E-2</v>
      </c>
      <c r="E412" s="6">
        <f t="shared" ca="1" si="33"/>
        <v>-3.9122700005492041E-2</v>
      </c>
      <c r="F412">
        <f t="shared" ca="1" si="31"/>
        <v>1.2339086832216607E-2</v>
      </c>
      <c r="G412">
        <f t="shared" ca="1" si="30"/>
        <v>-6.7964121731556554E-2</v>
      </c>
      <c r="H412">
        <f t="shared" ca="1" si="34"/>
        <v>1.4814480744450005</v>
      </c>
    </row>
    <row r="413" spans="1:8" x14ac:dyDescent="0.25">
      <c r="A413" s="1">
        <v>40774</v>
      </c>
      <c r="B413">
        <v>244.54381520000001</v>
      </c>
      <c r="C413" s="6">
        <v>2.7650130440862918E-2</v>
      </c>
      <c r="D413" s="6">
        <f t="shared" ca="1" si="32"/>
        <v>5.4194156066968494E-4</v>
      </c>
      <c r="E413" s="6">
        <f t="shared" ca="1" si="33"/>
        <v>-2.7108188880193233E-2</v>
      </c>
      <c r="F413">
        <f t="shared" ca="1" si="31"/>
        <v>7.4737614700770109E-3</v>
      </c>
      <c r="G413">
        <f t="shared" ca="1" si="30"/>
        <v>-0.58190930585432765</v>
      </c>
      <c r="H413">
        <f t="shared" ca="1" si="34"/>
        <v>2.1796172300642076</v>
      </c>
    </row>
    <row r="414" spans="1:8" x14ac:dyDescent="0.25">
      <c r="A414" s="5">
        <v>40777</v>
      </c>
      <c r="B414">
        <v>248.15528710000001</v>
      </c>
      <c r="C414" s="6">
        <v>-1.4768199707060094E-2</v>
      </c>
      <c r="D414" s="6">
        <f t="shared" ca="1" si="32"/>
        <v>4.1888288613287028E-2</v>
      </c>
      <c r="E414" s="6">
        <f t="shared" ca="1" si="33"/>
        <v>5.6656488320347122E-2</v>
      </c>
      <c r="F414">
        <f t="shared" ca="1" si="31"/>
        <v>1.1548219944624755E-2</v>
      </c>
      <c r="G414">
        <f t="shared" ca="1" si="30"/>
        <v>1.5584492466966411</v>
      </c>
      <c r="H414">
        <f t="shared" ca="1" si="34"/>
        <v>-3.2867248937075502E-2</v>
      </c>
    </row>
    <row r="415" spans="1:8" x14ac:dyDescent="0.25">
      <c r="A415" s="1">
        <v>40778</v>
      </c>
      <c r="B415">
        <v>258.44172750000001</v>
      </c>
      <c r="C415" s="6">
        <v>-4.1451627004242875E-2</v>
      </c>
      <c r="D415" s="6">
        <f t="shared" ca="1" si="32"/>
        <v>5.4173949295741953E-3</v>
      </c>
      <c r="E415" s="6">
        <f t="shared" ca="1" si="33"/>
        <v>4.6869021933817069E-2</v>
      </c>
      <c r="F415">
        <f t="shared" ca="1" si="31"/>
        <v>2.5720845697538224E-2</v>
      </c>
      <c r="G415">
        <f t="shared" ca="1" si="30"/>
        <v>-0.27372033353485825</v>
      </c>
      <c r="H415">
        <f t="shared" ca="1" si="34"/>
        <v>0.86461201343695449</v>
      </c>
    </row>
    <row r="416" spans="1:8" x14ac:dyDescent="0.25">
      <c r="A416" s="5">
        <v>40779</v>
      </c>
      <c r="B416">
        <v>260.66838539999998</v>
      </c>
      <c r="C416" s="6">
        <v>-8.6157058364344959E-3</v>
      </c>
      <c r="D416" s="6">
        <f t="shared" ca="1" si="32"/>
        <v>-2.9232066061789849E-4</v>
      </c>
      <c r="E416" s="6">
        <f t="shared" ca="1" si="33"/>
        <v>8.3233851758165965E-3</v>
      </c>
      <c r="F416">
        <f t="shared" ca="1" si="31"/>
        <v>1.0284302610610375E-2</v>
      </c>
      <c r="G416">
        <f t="shared" ca="1" si="30"/>
        <v>0.61863986744994137</v>
      </c>
      <c r="H416">
        <f t="shared" ca="1" si="34"/>
        <v>2.7550290941953777</v>
      </c>
    </row>
    <row r="417" spans="1:8" x14ac:dyDescent="0.25">
      <c r="A417" s="1">
        <v>40780</v>
      </c>
      <c r="B417">
        <v>259.04945550000002</v>
      </c>
      <c r="C417" s="6">
        <v>6.2106875657962132E-3</v>
      </c>
      <c r="D417" s="6">
        <f t="shared" ca="1" si="32"/>
        <v>-1.5558145340407946E-2</v>
      </c>
      <c r="E417" s="6">
        <f t="shared" ca="1" si="33"/>
        <v>-2.1768832906204159E-2</v>
      </c>
      <c r="F417">
        <f t="shared" ca="1" si="31"/>
        <v>1.2147734789541512E-2</v>
      </c>
      <c r="G417">
        <f t="shared" ca="1" si="30"/>
        <v>0.25669927090117578</v>
      </c>
      <c r="H417">
        <f t="shared" ca="1" si="34"/>
        <v>2.4081202256054008</v>
      </c>
    </row>
    <row r="418" spans="1:8" x14ac:dyDescent="0.25">
      <c r="A418" s="5">
        <v>40781</v>
      </c>
      <c r="B418">
        <v>262.44673920000002</v>
      </c>
      <c r="C418" s="6">
        <v>-1.3114421311725175E-2</v>
      </c>
      <c r="D418" s="6">
        <f t="shared" ca="1" si="32"/>
        <v>1.3036536680920297E-3</v>
      </c>
      <c r="E418" s="6">
        <f t="shared" ca="1" si="33"/>
        <v>1.4418074979817204E-2</v>
      </c>
      <c r="F418">
        <f t="shared" ca="1" si="31"/>
        <v>8.4202515439941693E-3</v>
      </c>
      <c r="G418">
        <f t="shared" ca="1" si="30"/>
        <v>0.6158268331104314</v>
      </c>
      <c r="H418">
        <f t="shared" ca="1" si="34"/>
        <v>2.6306598156980883</v>
      </c>
    </row>
    <row r="419" spans="1:8" x14ac:dyDescent="0.25">
      <c r="A419" s="1">
        <v>40784</v>
      </c>
      <c r="B419">
        <v>268.53393840000001</v>
      </c>
      <c r="C419" s="6">
        <v>-2.3194036315921526E-2</v>
      </c>
      <c r="D419" s="6">
        <f t="shared" ca="1" si="32"/>
        <v>2.4440890457076096E-3</v>
      </c>
      <c r="E419" s="6">
        <f t="shared" ca="1" si="33"/>
        <v>2.5638125361629134E-2</v>
      </c>
      <c r="F419">
        <f t="shared" ca="1" si="31"/>
        <v>1.2020244651690458E-2</v>
      </c>
      <c r="G419">
        <f t="shared" ca="1" si="30"/>
        <v>-2.9447179585530624E-2</v>
      </c>
      <c r="H419">
        <f t="shared" ca="1" si="34"/>
        <v>2.2302594232653772</v>
      </c>
    </row>
    <row r="420" spans="1:8" x14ac:dyDescent="0.25">
      <c r="A420" s="5">
        <v>40785</v>
      </c>
      <c r="B420">
        <v>269.34091610000002</v>
      </c>
      <c r="C420" s="6">
        <v>-3.0051236905405789E-3</v>
      </c>
      <c r="D420" s="6">
        <f t="shared" ca="1" si="32"/>
        <v>3.4956279550304604E-3</v>
      </c>
      <c r="E420" s="6">
        <f t="shared" ca="1" si="33"/>
        <v>6.5007516455710393E-3</v>
      </c>
      <c r="F420">
        <f t="shared" ca="1" si="31"/>
        <v>7.3773352802234959E-3</v>
      </c>
      <c r="G420">
        <f t="shared" ca="1" si="30"/>
        <v>1.2748241143448487</v>
      </c>
      <c r="H420">
        <f t="shared" ca="1" si="34"/>
        <v>2.7794874878965334</v>
      </c>
    </row>
    <row r="421" spans="1:8" x14ac:dyDescent="0.25">
      <c r="A421" s="1">
        <v>40786</v>
      </c>
      <c r="B421">
        <v>269.4704327</v>
      </c>
      <c r="C421" s="6">
        <v>-4.808649271538885E-4</v>
      </c>
      <c r="D421" s="6">
        <f t="shared" ca="1" si="32"/>
        <v>2.4285909617585547E-2</v>
      </c>
      <c r="E421" s="6">
        <f t="shared" ca="1" si="33"/>
        <v>2.4766774544739436E-2</v>
      </c>
      <c r="F421">
        <f t="shared" ca="1" si="31"/>
        <v>2.1339404637249135E-2</v>
      </c>
      <c r="G421">
        <f t="shared" ca="1" si="30"/>
        <v>1.6277957860696182</v>
      </c>
      <c r="H421">
        <f t="shared" ca="1" si="34"/>
        <v>2.2693122425314796</v>
      </c>
    </row>
    <row r="422" spans="1:8" x14ac:dyDescent="0.25">
      <c r="A422" s="5">
        <v>40787</v>
      </c>
      <c r="B422">
        <v>265.2562226</v>
      </c>
      <c r="C422" s="6">
        <v>1.5638858993823862E-2</v>
      </c>
      <c r="D422" s="6">
        <f t="shared" ca="1" si="32"/>
        <v>8.6519541217956013E-3</v>
      </c>
      <c r="E422" s="6">
        <f t="shared" ca="1" si="33"/>
        <v>-6.9869048720282607E-3</v>
      </c>
      <c r="F422">
        <f t="shared" ca="1" si="31"/>
        <v>2.7153393180199277E-2</v>
      </c>
      <c r="G422">
        <f t="shared" ca="1" si="30"/>
        <v>0.3684969053706672</v>
      </c>
      <c r="H422">
        <f t="shared" ca="1" si="34"/>
        <v>2.77824900133007</v>
      </c>
    </row>
    <row r="423" spans="1:8" x14ac:dyDescent="0.25">
      <c r="A423" s="1">
        <v>40788</v>
      </c>
      <c r="B423">
        <v>261.44051180000002</v>
      </c>
      <c r="C423" s="6">
        <v>1.4385000142876862E-2</v>
      </c>
      <c r="D423" s="6">
        <f t="shared" ca="1" si="32"/>
        <v>3.1512953237982115E-3</v>
      </c>
      <c r="E423" s="6">
        <f t="shared" ca="1" si="33"/>
        <v>-1.1233704819078649E-2</v>
      </c>
      <c r="F423">
        <f t="shared" ca="1" si="31"/>
        <v>1.1216524167515255E-2</v>
      </c>
      <c r="G423">
        <f t="shared" ca="1" si="30"/>
        <v>0.30024396250592261</v>
      </c>
      <c r="H423">
        <f t="shared" ca="1" si="34"/>
        <v>2.7113950466565711</v>
      </c>
    </row>
    <row r="424" spans="1:8" x14ac:dyDescent="0.25">
      <c r="A424" s="5">
        <v>40792</v>
      </c>
      <c r="B424">
        <v>260.1154669</v>
      </c>
      <c r="C424" s="6">
        <v>5.0682462747535934E-3</v>
      </c>
      <c r="D424" s="6">
        <f t="shared" ca="1" si="32"/>
        <v>2.5160181792997956E-4</v>
      </c>
      <c r="E424" s="6">
        <f t="shared" ca="1" si="33"/>
        <v>-4.8166444568236138E-3</v>
      </c>
      <c r="F424">
        <f t="shared" ca="1" si="31"/>
        <v>8.6943718592193686E-3</v>
      </c>
      <c r="G424">
        <f t="shared" ca="1" si="30"/>
        <v>-0.7815207830516383</v>
      </c>
      <c r="H424">
        <f t="shared" ca="1" si="34"/>
        <v>2.8001235838133502</v>
      </c>
    </row>
    <row r="425" spans="1:8" x14ac:dyDescent="0.25">
      <c r="A425" s="1">
        <v>40793</v>
      </c>
      <c r="B425">
        <v>266.01836980000002</v>
      </c>
      <c r="C425" s="6">
        <v>-2.269339447726634E-2</v>
      </c>
      <c r="D425" s="6">
        <f t="shared" ca="1" si="32"/>
        <v>1.455505062446813E-2</v>
      </c>
      <c r="E425" s="6">
        <f t="shared" ca="1" si="33"/>
        <v>3.7248445101734473E-2</v>
      </c>
      <c r="F425">
        <f t="shared" ca="1" si="31"/>
        <v>1.4239020626756492E-2</v>
      </c>
      <c r="G425">
        <f t="shared" ca="1" si="30"/>
        <v>0.56701269061353543</v>
      </c>
      <c r="H425">
        <f t="shared" ca="1" si="34"/>
        <v>1.5820136776489311</v>
      </c>
    </row>
    <row r="426" spans="1:8" x14ac:dyDescent="0.25">
      <c r="A426" s="5">
        <v>40794</v>
      </c>
      <c r="B426">
        <v>266.48162739999998</v>
      </c>
      <c r="C426" s="6">
        <v>-1.7414496613457672E-3</v>
      </c>
      <c r="D426" s="6">
        <f t="shared" ca="1" si="32"/>
        <v>-1.1975642788777234E-3</v>
      </c>
      <c r="E426" s="6">
        <f t="shared" ca="1" si="33"/>
        <v>5.4388538246804381E-4</v>
      </c>
      <c r="F426">
        <f t="shared" ca="1" si="31"/>
        <v>1.1764133328622476E-2</v>
      </c>
      <c r="G426">
        <f t="shared" ca="1" si="30"/>
        <v>-0.29587579904696221</v>
      </c>
      <c r="H426">
        <f t="shared" ca="1" si="34"/>
        <v>2.8185286535729239</v>
      </c>
    </row>
    <row r="427" spans="1:8" x14ac:dyDescent="0.25">
      <c r="A427" s="1">
        <v>40795</v>
      </c>
      <c r="B427">
        <v>261.44548609999998</v>
      </c>
      <c r="C427" s="6">
        <v>1.8898643591817081E-2</v>
      </c>
      <c r="D427" s="6">
        <f t="shared" ca="1" si="32"/>
        <v>-3.2611203972089673E-3</v>
      </c>
      <c r="E427" s="6">
        <f t="shared" ca="1" si="33"/>
        <v>-2.2159763989026048E-2</v>
      </c>
      <c r="F427">
        <f t="shared" ca="1" si="31"/>
        <v>8.7027865288442589E-3</v>
      </c>
      <c r="G427">
        <f t="shared" ca="1" si="30"/>
        <v>0.80015456650362937</v>
      </c>
      <c r="H427">
        <f t="shared" ca="1" si="34"/>
        <v>2.3930971039936004</v>
      </c>
    </row>
    <row r="428" spans="1:8" x14ac:dyDescent="0.25">
      <c r="A428" s="5">
        <v>40798</v>
      </c>
      <c r="B428">
        <v>264.07064339999999</v>
      </c>
      <c r="C428" s="6">
        <v>-1.0040935642682769E-2</v>
      </c>
      <c r="D428" s="6">
        <f t="shared" ca="1" si="32"/>
        <v>-3.4560692258640531E-3</v>
      </c>
      <c r="E428" s="6">
        <f t="shared" ca="1" si="33"/>
        <v>6.5848664168187158E-3</v>
      </c>
      <c r="F428">
        <f t="shared" ca="1" si="31"/>
        <v>1.4496126538115928E-2</v>
      </c>
      <c r="G428">
        <f t="shared" ca="1" si="30"/>
        <v>-0.18430852015589547</v>
      </c>
      <c r="H428">
        <f t="shared" ca="1" si="34"/>
        <v>2.7784877800127656</v>
      </c>
    </row>
    <row r="429" spans="1:8" x14ac:dyDescent="0.25">
      <c r="A429" s="1">
        <v>40799</v>
      </c>
      <c r="B429">
        <v>263.77178409999999</v>
      </c>
      <c r="C429" s="6">
        <v>1.1317399622770932E-3</v>
      </c>
      <c r="D429" s="6">
        <f t="shared" ca="1" si="32"/>
        <v>1.7526387642140623E-2</v>
      </c>
      <c r="E429" s="6">
        <f t="shared" ca="1" si="33"/>
        <v>1.6394647679863528E-2</v>
      </c>
      <c r="F429">
        <f t="shared" ca="1" si="31"/>
        <v>8.1778496331020561E-3</v>
      </c>
      <c r="G429">
        <f t="shared" ca="1" si="30"/>
        <v>1.1019570474626519</v>
      </c>
      <c r="H429">
        <f t="shared" ca="1" si="34"/>
        <v>2.5762468855521465</v>
      </c>
    </row>
    <row r="430" spans="1:8" x14ac:dyDescent="0.25">
      <c r="A430" s="5">
        <v>40800</v>
      </c>
      <c r="B430">
        <v>265.04201940000002</v>
      </c>
      <c r="C430" s="6">
        <v>-4.8156602660671937E-3</v>
      </c>
      <c r="D430" s="6">
        <f t="shared" ca="1" si="32"/>
        <v>-7.1873564271660931E-3</v>
      </c>
      <c r="E430" s="6">
        <f t="shared" ca="1" si="33"/>
        <v>-2.3716961610988994E-3</v>
      </c>
      <c r="F430">
        <f t="shared" ca="1" si="31"/>
        <v>1.8796179622650976E-2</v>
      </c>
      <c r="G430">
        <f t="shared" ca="1" si="30"/>
        <v>-0.14169699055063947</v>
      </c>
      <c r="H430">
        <f t="shared" ca="1" si="34"/>
        <v>2.8148089113503438</v>
      </c>
    </row>
    <row r="431" spans="1:8" x14ac:dyDescent="0.25">
      <c r="A431" s="1">
        <v>40801</v>
      </c>
      <c r="B431">
        <v>270.2674313</v>
      </c>
      <c r="C431" s="6">
        <v>-1.9715409321998181E-2</v>
      </c>
      <c r="D431" s="6">
        <f t="shared" ca="1" si="32"/>
        <v>1.0217030901246564E-2</v>
      </c>
      <c r="E431" s="6">
        <f t="shared" ca="1" si="33"/>
        <v>2.9932440223244747E-2</v>
      </c>
      <c r="F431">
        <f t="shared" ca="1" si="31"/>
        <v>8.5135670831843376E-3</v>
      </c>
      <c r="G431">
        <f t="shared" ca="1" si="30"/>
        <v>1.1402033000216241</v>
      </c>
      <c r="H431">
        <f t="shared" ca="1" si="34"/>
        <v>2.018217637223338</v>
      </c>
    </row>
    <row r="432" spans="1:8" x14ac:dyDescent="0.25">
      <c r="A432" s="5">
        <v>40802</v>
      </c>
      <c r="B432">
        <v>272.31974179999997</v>
      </c>
      <c r="C432" s="6">
        <v>-7.5936286149176713E-3</v>
      </c>
      <c r="D432" s="6">
        <f t="shared" ca="1" si="32"/>
        <v>-1.1662818070162181E-3</v>
      </c>
      <c r="E432" s="6">
        <f t="shared" ca="1" si="33"/>
        <v>6.4273468079014528E-3</v>
      </c>
      <c r="F432">
        <f t="shared" ca="1" si="31"/>
        <v>1.9368042429975457E-2</v>
      </c>
      <c r="G432">
        <f t="shared" ca="1" si="30"/>
        <v>5.1826268958218298E-2</v>
      </c>
      <c r="H432">
        <f t="shared" ca="1" si="34"/>
        <v>2.7803497038350162</v>
      </c>
    </row>
    <row r="433" spans="1:8" x14ac:dyDescent="0.25">
      <c r="A433" s="1">
        <v>40805</v>
      </c>
      <c r="B433">
        <v>272.31476739999999</v>
      </c>
      <c r="C433" s="6">
        <v>1.8266762325420601E-5</v>
      </c>
      <c r="D433" s="6">
        <f t="shared" ca="1" si="32"/>
        <v>-1.758095498022948E-2</v>
      </c>
      <c r="E433" s="6">
        <f t="shared" ca="1" si="33"/>
        <v>-1.7599221742554901E-2</v>
      </c>
      <c r="F433">
        <f t="shared" ca="1" si="31"/>
        <v>8.3373296174388059E-3</v>
      </c>
      <c r="G433">
        <f t="shared" ca="1" si="30"/>
        <v>-1.0432495324969986</v>
      </c>
      <c r="H433">
        <f t="shared" ca="1" si="34"/>
        <v>2.5515735062197296</v>
      </c>
    </row>
    <row r="434" spans="1:8" x14ac:dyDescent="0.25">
      <c r="A434" s="5">
        <v>40806</v>
      </c>
      <c r="B434">
        <v>272.29483959999999</v>
      </c>
      <c r="C434" s="6">
        <v>7.3179285098164449E-5</v>
      </c>
      <c r="D434" s="6">
        <f t="shared" ca="1" si="32"/>
        <v>-8.289397670054606E-3</v>
      </c>
      <c r="E434" s="6">
        <f t="shared" ca="1" si="33"/>
        <v>-8.3625769551527711E-3</v>
      </c>
      <c r="F434">
        <f t="shared" ca="1" si="31"/>
        <v>1.7942504599912028E-2</v>
      </c>
      <c r="G434">
        <f t="shared" ca="1" si="30"/>
        <v>-0.27131307151952394</v>
      </c>
      <c r="H434">
        <f t="shared" ca="1" si="34"/>
        <v>2.7600784759643764</v>
      </c>
    </row>
    <row r="435" spans="1:8" x14ac:dyDescent="0.25">
      <c r="A435" s="1">
        <v>40807</v>
      </c>
      <c r="B435">
        <v>268.59372230000002</v>
      </c>
      <c r="C435" s="6">
        <v>1.359231524709352E-2</v>
      </c>
      <c r="D435" s="6">
        <f t="shared" ca="1" si="32"/>
        <v>-1.3069612062506729E-2</v>
      </c>
      <c r="E435" s="6">
        <f t="shared" ca="1" si="33"/>
        <v>-2.666192730960025E-2</v>
      </c>
      <c r="F435">
        <f t="shared" ca="1" si="31"/>
        <v>9.1593454102853657E-3</v>
      </c>
      <c r="G435">
        <f t="shared" ca="1" si="30"/>
        <v>-1.427814205423666</v>
      </c>
      <c r="H435">
        <f t="shared" ca="1" si="34"/>
        <v>2.2006424250912642</v>
      </c>
    </row>
    <row r="436" spans="1:8" x14ac:dyDescent="0.25">
      <c r="A436" s="5">
        <v>40808</v>
      </c>
      <c r="B436">
        <v>259.35829389999998</v>
      </c>
      <c r="C436" s="6">
        <v>3.4384379206319392E-2</v>
      </c>
      <c r="D436" s="6">
        <f t="shared" ca="1" si="32"/>
        <v>-8.5441583511800361E-3</v>
      </c>
      <c r="E436" s="6">
        <f t="shared" ca="1" si="33"/>
        <v>-4.2928537557499424E-2</v>
      </c>
      <c r="F436">
        <f t="shared" ca="1" si="31"/>
        <v>2.36803011965269E-2</v>
      </c>
      <c r="G436">
        <f t="shared" ca="1" si="30"/>
        <v>-0.36221476007655257</v>
      </c>
      <c r="H436">
        <f t="shared" ca="1" si="34"/>
        <v>1.2071549122295362</v>
      </c>
    </row>
    <row r="437" spans="1:8" x14ac:dyDescent="0.25">
      <c r="A437" s="1">
        <v>40809</v>
      </c>
      <c r="B437">
        <v>261.7742523</v>
      </c>
      <c r="C437" s="6">
        <v>-9.3151383889482874E-3</v>
      </c>
      <c r="D437" s="6">
        <f t="shared" ca="1" si="32"/>
        <v>-2.845888008340092E-3</v>
      </c>
      <c r="E437" s="6">
        <f t="shared" ca="1" si="33"/>
        <v>6.4692503806081953E-3</v>
      </c>
      <c r="F437">
        <f t="shared" ca="1" si="31"/>
        <v>1.0651829287048564E-2</v>
      </c>
      <c r="G437">
        <f t="shared" ca="1" si="30"/>
        <v>-0.84216224722338173</v>
      </c>
      <c r="H437">
        <f t="shared" ca="1" si="34"/>
        <v>2.7798586678124302</v>
      </c>
    </row>
    <row r="438" spans="1:8" x14ac:dyDescent="0.25">
      <c r="A438" s="5">
        <v>40812</v>
      </c>
      <c r="B438">
        <v>264.9523585</v>
      </c>
      <c r="C438" s="6">
        <v>-1.2140637102681172E-2</v>
      </c>
      <c r="D438" s="6">
        <f t="shared" ca="1" si="32"/>
        <v>1.56063975418382E-2</v>
      </c>
      <c r="E438" s="6">
        <f t="shared" ca="1" si="33"/>
        <v>2.7747034644519372E-2</v>
      </c>
      <c r="F438">
        <f t="shared" ca="1" si="31"/>
        <v>1.5159249546061645E-2</v>
      </c>
      <c r="G438">
        <f t="shared" ca="1" si="30"/>
        <v>7.5486290306510297E-3</v>
      </c>
      <c r="H438">
        <f t="shared" ca="1" si="34"/>
        <v>2.1301943326820534</v>
      </c>
    </row>
    <row r="439" spans="1:8" x14ac:dyDescent="0.25">
      <c r="A439" s="1">
        <v>40813</v>
      </c>
      <c r="B439">
        <v>268.66345489999998</v>
      </c>
      <c r="C439" s="6">
        <v>-1.4006655464438803E-2</v>
      </c>
      <c r="D439" s="6">
        <f t="shared" ca="1" si="32"/>
        <v>-6.9592830526667669E-5</v>
      </c>
      <c r="E439" s="6">
        <f t="shared" ca="1" si="33"/>
        <v>1.3937062633912135E-2</v>
      </c>
      <c r="F439">
        <f t="shared" ca="1" si="31"/>
        <v>7.722332561343759E-3</v>
      </c>
      <c r="G439">
        <f t="shared" ca="1" si="30"/>
        <v>0.53450276068952551</v>
      </c>
      <c r="H439">
        <f t="shared" ca="1" si="34"/>
        <v>2.6428583610194814</v>
      </c>
    </row>
    <row r="440" spans="1:8" x14ac:dyDescent="0.25">
      <c r="A440" s="5">
        <v>40814</v>
      </c>
      <c r="B440">
        <v>263.43303830000002</v>
      </c>
      <c r="C440" s="6">
        <v>1.9468284593998034E-2</v>
      </c>
      <c r="D440" s="6">
        <f t="shared" ca="1" si="32"/>
        <v>-5.1550081728285648E-3</v>
      </c>
      <c r="E440" s="6">
        <f t="shared" ca="1" si="33"/>
        <v>-2.46232927668266E-2</v>
      </c>
      <c r="F440">
        <f t="shared" ca="1" si="31"/>
        <v>1.0970449606189744E-2</v>
      </c>
      <c r="G440">
        <f t="shared" ca="1" si="30"/>
        <v>2.8738257105128357E-2</v>
      </c>
      <c r="H440">
        <f t="shared" ca="1" si="34"/>
        <v>2.2922202956587272</v>
      </c>
    </row>
    <row r="441" spans="1:8" x14ac:dyDescent="0.25">
      <c r="A441" s="1">
        <v>40815</v>
      </c>
      <c r="B441">
        <v>262.76555669999999</v>
      </c>
      <c r="C441" s="6">
        <v>2.5337808966842505E-3</v>
      </c>
      <c r="D441" s="6">
        <f t="shared" ca="1" si="32"/>
        <v>-1.2970960004759079E-2</v>
      </c>
      <c r="E441" s="6">
        <f t="shared" ca="1" si="33"/>
        <v>-1.5504740901443329E-2</v>
      </c>
      <c r="F441">
        <f t="shared" ca="1" si="31"/>
        <v>7.2721165689153006E-3</v>
      </c>
      <c r="G441">
        <f t="shared" ca="1" si="30"/>
        <v>-0.91589379645769586</v>
      </c>
      <c r="H441">
        <f t="shared" ca="1" si="34"/>
        <v>2.6120548121458058</v>
      </c>
    </row>
    <row r="442" spans="1:8" x14ac:dyDescent="0.25">
      <c r="A442" s="5">
        <v>40816</v>
      </c>
      <c r="B442">
        <v>256.55878969999998</v>
      </c>
      <c r="C442" s="6">
        <v>2.362093068037183E-2</v>
      </c>
      <c r="D442" s="6">
        <f t="shared" ca="1" si="32"/>
        <v>3.1145025515091601E-2</v>
      </c>
      <c r="E442" s="6">
        <f t="shared" ca="1" si="33"/>
        <v>7.524094834719771E-3</v>
      </c>
      <c r="F442">
        <f t="shared" ca="1" si="31"/>
        <v>1.6075211361891873E-2</v>
      </c>
      <c r="G442">
        <f t="shared" ca="1" si="30"/>
        <v>1.3917958967484483</v>
      </c>
      <c r="H442">
        <f t="shared" ca="1" si="34"/>
        <v>2.7664768055081366</v>
      </c>
    </row>
    <row r="443" spans="1:8" x14ac:dyDescent="0.25">
      <c r="A443" s="1">
        <v>40819</v>
      </c>
      <c r="B443">
        <v>246.83523149999999</v>
      </c>
      <c r="C443" s="6">
        <v>3.7899922319441726E-2</v>
      </c>
      <c r="D443" s="6">
        <f t="shared" ca="1" si="32"/>
        <v>2.0608383170507606E-2</v>
      </c>
      <c r="E443" s="6">
        <f t="shared" ca="1" si="33"/>
        <v>-1.729153914893412E-2</v>
      </c>
      <c r="F443">
        <f t="shared" ca="1" si="31"/>
        <v>2.3375238728257513E-2</v>
      </c>
      <c r="G443">
        <f t="shared" ca="1" si="30"/>
        <v>0.83277780209808883</v>
      </c>
      <c r="H443">
        <f t="shared" ca="1" si="34"/>
        <v>2.5609434672894542</v>
      </c>
    </row>
    <row r="444" spans="1:8" x14ac:dyDescent="0.25">
      <c r="A444" s="5">
        <v>40820</v>
      </c>
      <c r="B444">
        <v>250.0133222</v>
      </c>
      <c r="C444" s="6">
        <v>-1.2875352844433851E-2</v>
      </c>
      <c r="D444" s="6">
        <f t="shared" ca="1" si="32"/>
        <v>-2.717664537991913E-3</v>
      </c>
      <c r="E444" s="6">
        <f t="shared" ca="1" si="33"/>
        <v>1.0157688306441938E-2</v>
      </c>
      <c r="F444">
        <f t="shared" ca="1" si="31"/>
        <v>1.5916400012939761E-2</v>
      </c>
      <c r="G444">
        <f t="shared" ca="1" si="30"/>
        <v>-0.83944015383618598</v>
      </c>
      <c r="H444">
        <f t="shared" ca="1" si="34"/>
        <v>2.7244944627624497</v>
      </c>
    </row>
    <row r="445" spans="1:8" x14ac:dyDescent="0.25">
      <c r="A445" s="1">
        <v>40821</v>
      </c>
      <c r="B445">
        <v>251.40810020000001</v>
      </c>
      <c r="C445" s="6">
        <v>-5.5788147116586024E-3</v>
      </c>
      <c r="D445" s="6">
        <f t="shared" ca="1" si="32"/>
        <v>3.0904286605881598E-3</v>
      </c>
      <c r="E445" s="6">
        <f t="shared" ca="1" si="33"/>
        <v>8.6692433722467613E-3</v>
      </c>
      <c r="F445">
        <f t="shared" ca="1" si="31"/>
        <v>1.5411998726902704E-2</v>
      </c>
      <c r="G445">
        <f t="shared" ca="1" si="30"/>
        <v>-0.90743783292264746</v>
      </c>
      <c r="H445">
        <f t="shared" ca="1" si="34"/>
        <v>2.7497260784064981</v>
      </c>
    </row>
    <row r="446" spans="1:8" x14ac:dyDescent="0.25">
      <c r="A446" s="5">
        <v>40822</v>
      </c>
      <c r="B446">
        <v>256.39442179999998</v>
      </c>
      <c r="C446" s="6">
        <v>-1.9833575752067067E-2</v>
      </c>
      <c r="D446" s="6">
        <f t="shared" ca="1" si="32"/>
        <v>-1.249733058273976E-2</v>
      </c>
      <c r="E446" s="6">
        <f t="shared" ca="1" si="33"/>
        <v>7.3362451693273073E-3</v>
      </c>
      <c r="F446">
        <f t="shared" ca="1" si="31"/>
        <v>1.6317649105208776E-2</v>
      </c>
      <c r="G446">
        <f t="shared" ca="1" si="30"/>
        <v>-0.41036297003843214</v>
      </c>
      <c r="H446">
        <f t="shared" ca="1" si="34"/>
        <v>2.7690036106150413</v>
      </c>
    </row>
    <row r="447" spans="1:8" x14ac:dyDescent="0.25">
      <c r="A447" s="1">
        <v>40823</v>
      </c>
      <c r="B447">
        <v>256.59864579999999</v>
      </c>
      <c r="C447" s="6">
        <v>-7.9652278924896114E-4</v>
      </c>
      <c r="D447" s="6">
        <f t="shared" ca="1" si="32"/>
        <v>2.3355707165241286E-2</v>
      </c>
      <c r="E447" s="6">
        <f t="shared" ca="1" si="33"/>
        <v>2.4152229954490248E-2</v>
      </c>
      <c r="F447">
        <f t="shared" ca="1" si="31"/>
        <v>1.0202592395174187E-2</v>
      </c>
      <c r="G447">
        <f t="shared" ca="1" si="30"/>
        <v>2.5355917221170312</v>
      </c>
      <c r="H447">
        <f t="shared" ca="1" si="34"/>
        <v>2.2960494988428075</v>
      </c>
    </row>
    <row r="448" spans="1:8" x14ac:dyDescent="0.25">
      <c r="A448" s="5">
        <v>40826</v>
      </c>
      <c r="B448">
        <v>267.58249009999997</v>
      </c>
      <c r="C448" s="6">
        <v>-4.2805542740709149E-2</v>
      </c>
      <c r="D448" s="6">
        <f t="shared" ca="1" si="32"/>
        <v>6.880325175051058E-2</v>
      </c>
      <c r="E448" s="6">
        <f t="shared" ca="1" si="33"/>
        <v>0.11160879449121973</v>
      </c>
      <c r="F448">
        <f t="shared" ca="1" si="31"/>
        <v>4.0758450492531531E-2</v>
      </c>
      <c r="G448">
        <f t="shared" ca="1" si="30"/>
        <v>1.9073202940038803</v>
      </c>
      <c r="H448">
        <f t="shared" ca="1" si="34"/>
        <v>-8.2113418287186253</v>
      </c>
    </row>
    <row r="449" spans="1:8" x14ac:dyDescent="0.25">
      <c r="A449" s="1">
        <v>40827</v>
      </c>
      <c r="B449">
        <v>270.57626970000001</v>
      </c>
      <c r="C449" s="6">
        <v>-1.1188249271771162E-2</v>
      </c>
      <c r="D449" s="6">
        <f t="shared" ca="1" si="32"/>
        <v>-1.635942433187729E-2</v>
      </c>
      <c r="E449" s="6">
        <f t="shared" ca="1" si="33"/>
        <v>-5.1711750601061285E-3</v>
      </c>
      <c r="F449">
        <f t="shared" ca="1" si="31"/>
        <v>3.2575984644872984E-2</v>
      </c>
      <c r="G449">
        <f t="shared" ca="1" si="30"/>
        <v>-0.49115437642784832</v>
      </c>
      <c r="H449">
        <f t="shared" ca="1" si="34"/>
        <v>2.7971182665643606</v>
      </c>
    </row>
    <row r="450" spans="1:8" x14ac:dyDescent="0.25">
      <c r="A450" s="5">
        <v>40828</v>
      </c>
      <c r="B450">
        <v>273.2263595</v>
      </c>
      <c r="C450" s="6">
        <v>-9.7942432384712161E-3</v>
      </c>
      <c r="D450" s="6">
        <f t="shared" ca="1" si="32"/>
        <v>-2.5890002111379418E-2</v>
      </c>
      <c r="E450" s="6">
        <f t="shared" ca="1" si="33"/>
        <v>-1.6095758872908202E-2</v>
      </c>
      <c r="F450">
        <f t="shared" ca="1" si="31"/>
        <v>1.3143632164829722E-2</v>
      </c>
      <c r="G450">
        <f t="shared" ca="1" si="30"/>
        <v>-0.50240933134079546</v>
      </c>
      <c r="H450">
        <f t="shared" ca="1" si="34"/>
        <v>2.595772425095396</v>
      </c>
    </row>
    <row r="451" spans="1:8" x14ac:dyDescent="0.25">
      <c r="A451" s="1">
        <v>40829</v>
      </c>
      <c r="B451">
        <v>278.45177139999998</v>
      </c>
      <c r="C451" s="6">
        <v>-1.9124845456208565E-2</v>
      </c>
      <c r="D451" s="6">
        <f t="shared" ca="1" si="32"/>
        <v>1.1597772380734225E-2</v>
      </c>
      <c r="E451" s="6">
        <f t="shared" ca="1" si="33"/>
        <v>3.072261783694279E-2</v>
      </c>
      <c r="F451">
        <f t="shared" ca="1" si="31"/>
        <v>1.0917660427291913E-2</v>
      </c>
      <c r="G451">
        <f t="shared" ref="G451:G514" ca="1" si="35">_xlfn.NORM.INV(RAND(),0,1)</f>
        <v>1.5240332539917139</v>
      </c>
      <c r="H451">
        <f t="shared" ca="1" si="34"/>
        <v>1.9756552661899598</v>
      </c>
    </row>
    <row r="452" spans="1:8" x14ac:dyDescent="0.25">
      <c r="A452" s="5">
        <v>40830</v>
      </c>
      <c r="B452">
        <v>294.73576550000001</v>
      </c>
      <c r="C452" s="6">
        <v>-5.8480483058618568E-2</v>
      </c>
      <c r="D452" s="6">
        <f t="shared" ca="1" si="32"/>
        <v>-4.5176729909081656E-2</v>
      </c>
      <c r="E452" s="6">
        <f t="shared" ca="1" si="33"/>
        <v>1.3303753149536912E-2</v>
      </c>
      <c r="F452">
        <f t="shared" ref="F452:F515" ca="1" si="36">SQRT($K$6+$K$7*POWER($G451,2)+$K$8*POWER($F451,2))</f>
        <v>2.5181414656591232E-2</v>
      </c>
      <c r="G452">
        <f t="shared" ca="1" si="35"/>
        <v>-1.6187950529589274</v>
      </c>
      <c r="H452">
        <f t="shared" ca="1" si="34"/>
        <v>2.6582964064367558</v>
      </c>
    </row>
    <row r="453" spans="1:8" x14ac:dyDescent="0.25">
      <c r="A453" s="1">
        <v>40833</v>
      </c>
      <c r="B453">
        <v>290.11805129999999</v>
      </c>
      <c r="C453" s="6">
        <v>1.566730183615949E-2</v>
      </c>
      <c r="D453" s="6">
        <f t="shared" ref="D453:D516" ca="1" si="37">($K$10*$C452)+($K$11*$C451)+($F453*$G453)</f>
        <v>-5.5381744006727851E-2</v>
      </c>
      <c r="E453" s="6">
        <f t="shared" ca="1" si="33"/>
        <v>-7.1049045842887348E-2</v>
      </c>
      <c r="F453">
        <f t="shared" ca="1" si="36"/>
        <v>2.7227359151827602E-2</v>
      </c>
      <c r="G453">
        <f t="shared" ca="1" si="35"/>
        <v>-1.7175351052196126</v>
      </c>
      <c r="H453">
        <f t="shared" ca="1" si="34"/>
        <v>-1.6118186188375367</v>
      </c>
    </row>
    <row r="454" spans="1:8" x14ac:dyDescent="0.25">
      <c r="A454" s="5">
        <v>40834</v>
      </c>
      <c r="B454">
        <v>294.15293960000002</v>
      </c>
      <c r="C454" s="6">
        <v>-1.3907746456726714E-2</v>
      </c>
      <c r="D454" s="6">
        <f t="shared" ca="1" si="37"/>
        <v>-1.2538455431674356E-2</v>
      </c>
      <c r="E454" s="6">
        <f t="shared" ref="E454:E517" ca="1" si="38">$D454-$C454</f>
        <v>1.3692910250523577E-3</v>
      </c>
      <c r="F454">
        <f t="shared" ca="1" si="36"/>
        <v>2.8820240290515973E-2</v>
      </c>
      <c r="G454">
        <f t="shared" ca="1" si="35"/>
        <v>0.47917962310870699</v>
      </c>
      <c r="H454">
        <f t="shared" ref="H454:H517" ca="1" si="39">LN(_xlfn.NORM.DIST($E454,AVERAGE($E$5:$E$1763),_xlfn.STDEV.S($E$5:$E$1763),FALSE))</f>
        <v>2.8168567564833951</v>
      </c>
    </row>
    <row r="455" spans="1:8" x14ac:dyDescent="0.25">
      <c r="A455" s="1">
        <v>40835</v>
      </c>
      <c r="B455">
        <v>289.2662431</v>
      </c>
      <c r="C455" s="6">
        <v>1.6612774656085835E-2</v>
      </c>
      <c r="D455" s="6">
        <f t="shared" ca="1" si="37"/>
        <v>-1.3396505557511471E-2</v>
      </c>
      <c r="E455" s="6">
        <f t="shared" ca="1" si="38"/>
        <v>-3.0009280213597306E-2</v>
      </c>
      <c r="F455">
        <f t="shared" ca="1" si="36"/>
        <v>1.2458665077662795E-2</v>
      </c>
      <c r="G455">
        <f t="shared" ca="1" si="35"/>
        <v>-1.6418522111296128</v>
      </c>
      <c r="H455">
        <f t="shared" ca="1" si="39"/>
        <v>2.0343652548305835</v>
      </c>
    </row>
    <row r="456" spans="1:8" x14ac:dyDescent="0.25">
      <c r="A456" s="5">
        <v>40836</v>
      </c>
      <c r="B456">
        <v>290.74570720000003</v>
      </c>
      <c r="C456" s="6">
        <v>-5.1145411374135885E-3</v>
      </c>
      <c r="D456" s="6">
        <f t="shared" ca="1" si="37"/>
        <v>2.1164008110740595E-2</v>
      </c>
      <c r="E456" s="6">
        <f t="shared" ca="1" si="38"/>
        <v>2.6278549248154183E-2</v>
      </c>
      <c r="F456">
        <f t="shared" ca="1" si="36"/>
        <v>2.7014302625557585E-2</v>
      </c>
      <c r="G456">
        <f t="shared" ca="1" si="35"/>
        <v>1.0153867430253043</v>
      </c>
      <c r="H456">
        <f t="shared" ca="1" si="39"/>
        <v>2.2007020507846615</v>
      </c>
    </row>
    <row r="457" spans="1:8" x14ac:dyDescent="0.25">
      <c r="A457" s="1">
        <v>40837</v>
      </c>
      <c r="B457">
        <v>294.14299089999997</v>
      </c>
      <c r="C457" s="6">
        <v>-1.1684725228506988E-2</v>
      </c>
      <c r="D457" s="6">
        <f t="shared" ca="1" si="37"/>
        <v>-1.509764379101862E-2</v>
      </c>
      <c r="E457" s="6">
        <f t="shared" ca="1" si="38"/>
        <v>-3.4129185625116319E-3</v>
      </c>
      <c r="F457">
        <f t="shared" ca="1" si="36"/>
        <v>1.8693787949442875E-2</v>
      </c>
      <c r="G457">
        <f t="shared" ca="1" si="35"/>
        <v>-1.2080248194350114</v>
      </c>
      <c r="H457">
        <f t="shared" ca="1" si="39"/>
        <v>2.8098447476793007</v>
      </c>
    </row>
    <row r="458" spans="1:8" x14ac:dyDescent="0.25">
      <c r="A458" s="5">
        <v>40840</v>
      </c>
      <c r="B458">
        <v>297.09691429999998</v>
      </c>
      <c r="C458" s="6">
        <v>-1.0042474209437326E-2</v>
      </c>
      <c r="D458" s="6">
        <f t="shared" ca="1" si="37"/>
        <v>-1.3512297978288441E-2</v>
      </c>
      <c r="E458" s="6">
        <f t="shared" ca="1" si="38"/>
        <v>-3.4698237688511151E-3</v>
      </c>
      <c r="F458">
        <f t="shared" ca="1" si="36"/>
        <v>2.0798161752806486E-2</v>
      </c>
      <c r="G458">
        <f t="shared" ca="1" si="35"/>
        <v>-0.53887997021416911</v>
      </c>
      <c r="H458">
        <f t="shared" ca="1" si="39"/>
        <v>2.8095182989908145</v>
      </c>
    </row>
    <row r="459" spans="1:8" x14ac:dyDescent="0.25">
      <c r="A459" s="1">
        <v>40841</v>
      </c>
      <c r="B459">
        <v>290.49167840000001</v>
      </c>
      <c r="C459" s="6">
        <v>2.22325967792792E-2</v>
      </c>
      <c r="D459" s="6">
        <f t="shared" ca="1" si="37"/>
        <v>-3.6828427230327335E-3</v>
      </c>
      <c r="E459" s="6">
        <f t="shared" ca="1" si="38"/>
        <v>-2.5915439502311934E-2</v>
      </c>
      <c r="F459">
        <f t="shared" ca="1" si="36"/>
        <v>1.2049245508567029E-2</v>
      </c>
      <c r="G459">
        <f t="shared" ca="1" si="35"/>
        <v>0.1312909781119844</v>
      </c>
      <c r="H459">
        <f t="shared" ca="1" si="39"/>
        <v>2.2350267577697238</v>
      </c>
    </row>
    <row r="460" spans="1:8" x14ac:dyDescent="0.25">
      <c r="A460" s="5">
        <v>40842</v>
      </c>
      <c r="B460">
        <v>292.06077299999998</v>
      </c>
      <c r="C460" s="6">
        <v>-5.4015130782485475E-3</v>
      </c>
      <c r="D460" s="6">
        <f t="shared" ca="1" si="37"/>
        <v>-8.5609179291555454E-3</v>
      </c>
      <c r="E460" s="6">
        <f t="shared" ca="1" si="38"/>
        <v>-3.1594048509069978E-3</v>
      </c>
      <c r="F460">
        <f t="shared" ca="1" si="36"/>
        <v>7.6529574359716149E-3</v>
      </c>
      <c r="G460">
        <f t="shared" ca="1" si="35"/>
        <v>-0.52745352911291521</v>
      </c>
      <c r="H460">
        <f t="shared" ca="1" si="39"/>
        <v>2.8112296349560046</v>
      </c>
    </row>
    <row r="461" spans="1:8" x14ac:dyDescent="0.25">
      <c r="A461" s="1">
        <v>40843</v>
      </c>
      <c r="B461">
        <v>298.21770479999998</v>
      </c>
      <c r="C461" s="6">
        <v>-2.1080995358455739E-2</v>
      </c>
      <c r="D461" s="6">
        <f t="shared" ca="1" si="37"/>
        <v>-1.0130412537148132E-2</v>
      </c>
      <c r="E461" s="6">
        <f t="shared" ca="1" si="38"/>
        <v>1.0950582821307607E-2</v>
      </c>
      <c r="F461">
        <f t="shared" ca="1" si="36"/>
        <v>1.0881586653513286E-2</v>
      </c>
      <c r="G461">
        <f t="shared" ca="1" si="35"/>
        <v>-1.8515106494270754</v>
      </c>
      <c r="H461">
        <f t="shared" ca="1" si="39"/>
        <v>2.7094572917082957</v>
      </c>
    </row>
    <row r="462" spans="1:8" x14ac:dyDescent="0.25">
      <c r="A462" s="5">
        <v>40844</v>
      </c>
      <c r="B462">
        <v>298.94997560000002</v>
      </c>
      <c r="C462" s="6">
        <v>-2.4554906976134625E-3</v>
      </c>
      <c r="D462" s="6">
        <f t="shared" ca="1" si="37"/>
        <v>2.4694765326772512E-2</v>
      </c>
      <c r="E462" s="6">
        <f t="shared" ca="1" si="38"/>
        <v>2.7150256024385973E-2</v>
      </c>
      <c r="F462">
        <f t="shared" ca="1" si="36"/>
        <v>3.0179507689844259E-2</v>
      </c>
      <c r="G462">
        <f t="shared" ca="1" si="35"/>
        <v>0.89891470122961792</v>
      </c>
      <c r="H462">
        <f t="shared" ca="1" si="39"/>
        <v>2.1593070867670652</v>
      </c>
    </row>
    <row r="463" spans="1:8" x14ac:dyDescent="0.25">
      <c r="A463" s="1">
        <v>40847</v>
      </c>
      <c r="B463">
        <v>295.2139765</v>
      </c>
      <c r="C463" s="6">
        <v>1.2497071098606956E-2</v>
      </c>
      <c r="D463" s="6">
        <f t="shared" ca="1" si="37"/>
        <v>2.0348389286074742E-2</v>
      </c>
      <c r="E463" s="6">
        <f t="shared" ca="1" si="38"/>
        <v>7.8513181874677856E-3</v>
      </c>
      <c r="F463">
        <f t="shared" ca="1" si="36"/>
        <v>1.746771911851671E-2</v>
      </c>
      <c r="G463">
        <f t="shared" ca="1" si="35"/>
        <v>1.7086729005393397</v>
      </c>
      <c r="H463">
        <f t="shared" ca="1" si="39"/>
        <v>2.7619265185154771</v>
      </c>
    </row>
    <row r="464" spans="1:8" x14ac:dyDescent="0.25">
      <c r="A464" s="5">
        <v>40848</v>
      </c>
      <c r="B464">
        <v>288.24509260000002</v>
      </c>
      <c r="C464" s="6">
        <v>2.3606212627944396E-2</v>
      </c>
      <c r="D464" s="6">
        <f t="shared" ca="1" si="37"/>
        <v>2.2525387787508018E-2</v>
      </c>
      <c r="E464" s="6">
        <f t="shared" ca="1" si="38"/>
        <v>-1.0808248404363778E-3</v>
      </c>
      <c r="F464">
        <f t="shared" ca="1" si="36"/>
        <v>2.8201649065973191E-2</v>
      </c>
      <c r="G464">
        <f t="shared" ca="1" si="35"/>
        <v>0.83794814085639391</v>
      </c>
      <c r="H464">
        <f t="shared" ca="1" si="39"/>
        <v>2.8183066503524752</v>
      </c>
    </row>
    <row r="465" spans="1:8" x14ac:dyDescent="0.25">
      <c r="A465" s="1">
        <v>40849</v>
      </c>
      <c r="B465">
        <v>291.31855350000001</v>
      </c>
      <c r="C465" s="6">
        <v>-1.0662665137772361E-2</v>
      </c>
      <c r="D465" s="6">
        <f t="shared" ca="1" si="37"/>
        <v>6.3260461395700752E-3</v>
      </c>
      <c r="E465" s="6">
        <f t="shared" ca="1" si="38"/>
        <v>1.6988711277342437E-2</v>
      </c>
      <c r="F465">
        <f t="shared" ca="1" si="36"/>
        <v>1.6470753639765853E-2</v>
      </c>
      <c r="G465">
        <f t="shared" ca="1" si="35"/>
        <v>4.2196841090105845E-2</v>
      </c>
      <c r="H465">
        <f t="shared" ca="1" si="39"/>
        <v>2.5585452907290525</v>
      </c>
    </row>
    <row r="466" spans="1:8" x14ac:dyDescent="0.25">
      <c r="A466" s="5">
        <v>40850</v>
      </c>
      <c r="B466">
        <v>297.6349098</v>
      </c>
      <c r="C466" s="6">
        <v>-2.1681956827373835E-2</v>
      </c>
      <c r="D466" s="6">
        <f t="shared" ca="1" si="37"/>
        <v>8.1881426181986908E-3</v>
      </c>
      <c r="E466" s="6">
        <f t="shared" ca="1" si="38"/>
        <v>2.9870099445572527E-2</v>
      </c>
      <c r="F466">
        <f t="shared" ca="1" si="36"/>
        <v>7.9181726132988989E-3</v>
      </c>
      <c r="G466">
        <f t="shared" ca="1" si="35"/>
        <v>-0.30911469601928099</v>
      </c>
      <c r="H466">
        <f t="shared" ca="1" si="39"/>
        <v>2.0215286790564631</v>
      </c>
    </row>
    <row r="467" spans="1:8" x14ac:dyDescent="0.25">
      <c r="A467" s="1">
        <v>40851</v>
      </c>
      <c r="B467">
        <v>296.95744910000002</v>
      </c>
      <c r="C467" s="6">
        <v>2.2761466403763342E-3</v>
      </c>
      <c r="D467" s="6">
        <f t="shared" ca="1" si="37"/>
        <v>-5.3709171244910436E-3</v>
      </c>
      <c r="E467" s="6">
        <f t="shared" ca="1" si="38"/>
        <v>-7.6470637648673777E-3</v>
      </c>
      <c r="F467">
        <f t="shared" ca="1" si="36"/>
        <v>8.5405938480818799E-3</v>
      </c>
      <c r="G467">
        <f t="shared" ca="1" si="35"/>
        <v>-6.6321019636358614E-2</v>
      </c>
      <c r="H467">
        <f t="shared" ca="1" si="39"/>
        <v>2.7699461548430442</v>
      </c>
    </row>
    <row r="468" spans="1:8" x14ac:dyDescent="0.25">
      <c r="A468" s="5">
        <v>40854</v>
      </c>
      <c r="B468">
        <v>303.02969430000002</v>
      </c>
      <c r="C468" s="6">
        <v>-2.0448199627264366E-2</v>
      </c>
      <c r="D468" s="6">
        <f t="shared" ca="1" si="37"/>
        <v>-1.199045388266322E-2</v>
      </c>
      <c r="E468" s="6">
        <f t="shared" ca="1" si="38"/>
        <v>8.4577457446011455E-3</v>
      </c>
      <c r="F468">
        <f t="shared" ca="1" si="36"/>
        <v>7.1253525317202726E-3</v>
      </c>
      <c r="G468">
        <f t="shared" ca="1" si="35"/>
        <v>-0.3117790710515414</v>
      </c>
      <c r="H468">
        <f t="shared" ca="1" si="39"/>
        <v>2.7529940319397497</v>
      </c>
    </row>
    <row r="469" spans="1:8" x14ac:dyDescent="0.25">
      <c r="A469" s="1">
        <v>40855</v>
      </c>
      <c r="B469">
        <v>305.02719519999999</v>
      </c>
      <c r="C469" s="6">
        <v>-6.5917662116058082E-3</v>
      </c>
      <c r="D469" s="6">
        <f t="shared" ca="1" si="37"/>
        <v>6.3857569092881589E-3</v>
      </c>
      <c r="E469" s="6">
        <f t="shared" ca="1" si="38"/>
        <v>1.2977523120893966E-2</v>
      </c>
      <c r="F469">
        <f t="shared" ca="1" si="36"/>
        <v>8.5205231643385223E-3</v>
      </c>
      <c r="G469">
        <f t="shared" ca="1" si="35"/>
        <v>0.62913525570448237</v>
      </c>
      <c r="H469">
        <f t="shared" ca="1" si="39"/>
        <v>2.6659725993315595</v>
      </c>
    </row>
    <row r="470" spans="1:8" x14ac:dyDescent="0.25">
      <c r="A470" s="5">
        <v>40856</v>
      </c>
      <c r="B470">
        <v>299.35347969999998</v>
      </c>
      <c r="C470" s="6">
        <v>1.860068737897248E-2</v>
      </c>
      <c r="D470" s="6">
        <f t="shared" ca="1" si="37"/>
        <v>-1.808803413536865E-2</v>
      </c>
      <c r="E470" s="6">
        <f t="shared" ca="1" si="38"/>
        <v>-3.6688721514341133E-2</v>
      </c>
      <c r="F470">
        <f t="shared" ca="1" si="36"/>
        <v>1.2195986450749624E-2</v>
      </c>
      <c r="G470">
        <f t="shared" ca="1" si="35"/>
        <v>-0.72768588616047969</v>
      </c>
      <c r="H470">
        <f t="shared" ca="1" si="39"/>
        <v>1.643466236628784</v>
      </c>
    </row>
    <row r="471" spans="1:8" x14ac:dyDescent="0.25">
      <c r="A471" s="1">
        <v>40857</v>
      </c>
      <c r="B471">
        <v>296.42943270000001</v>
      </c>
      <c r="C471" s="6">
        <v>9.7678737622503512E-3</v>
      </c>
      <c r="D471" s="6">
        <f t="shared" ca="1" si="37"/>
        <v>3.5403772888462038E-3</v>
      </c>
      <c r="E471" s="6">
        <f t="shared" ca="1" si="38"/>
        <v>-6.2274964734041474E-3</v>
      </c>
      <c r="F471">
        <f t="shared" ca="1" si="36"/>
        <v>1.3676586682267778E-2</v>
      </c>
      <c r="G471">
        <f t="shared" ca="1" si="35"/>
        <v>0.4759985559046932</v>
      </c>
      <c r="H471">
        <f t="shared" ca="1" si="39"/>
        <v>2.7868487678237974</v>
      </c>
    </row>
    <row r="472" spans="1:8" x14ac:dyDescent="0.25">
      <c r="A472" s="5">
        <v>40858</v>
      </c>
      <c r="B472">
        <v>303.03964300000001</v>
      </c>
      <c r="C472" s="6">
        <v>-2.2299439835617933E-2</v>
      </c>
      <c r="D472" s="6">
        <f t="shared" ca="1" si="37"/>
        <v>1.4012251220235564E-2</v>
      </c>
      <c r="E472" s="6">
        <f t="shared" ca="1" si="38"/>
        <v>3.6311691055853496E-2</v>
      </c>
      <c r="F472">
        <f t="shared" ca="1" si="36"/>
        <v>1.0659863808972827E-2</v>
      </c>
      <c r="G472">
        <f t="shared" ca="1" si="35"/>
        <v>0.5282826582172081</v>
      </c>
      <c r="H472">
        <f t="shared" ca="1" si="39"/>
        <v>1.6431395320996027</v>
      </c>
    </row>
    <row r="473" spans="1:8" x14ac:dyDescent="0.25">
      <c r="A473" s="1">
        <v>40861</v>
      </c>
      <c r="B473">
        <v>305.35596190000001</v>
      </c>
      <c r="C473" s="6">
        <v>-7.6436167792079887E-3</v>
      </c>
      <c r="D473" s="6">
        <f t="shared" ca="1" si="37"/>
        <v>-3.1240120412111324E-3</v>
      </c>
      <c r="E473" s="6">
        <f t="shared" ca="1" si="38"/>
        <v>4.5196047379968563E-3</v>
      </c>
      <c r="F473">
        <f t="shared" ca="1" si="36"/>
        <v>1.105084594496176E-2</v>
      </c>
      <c r="G473">
        <f t="shared" ca="1" si="35"/>
        <v>-0.68090953055194492</v>
      </c>
      <c r="H473">
        <f t="shared" ca="1" si="39"/>
        <v>2.7994227497112467</v>
      </c>
    </row>
    <row r="474" spans="1:8" x14ac:dyDescent="0.25">
      <c r="A474" s="5">
        <v>40862</v>
      </c>
      <c r="B474">
        <v>307.12934130000002</v>
      </c>
      <c r="C474" s="6">
        <v>-5.8075807296035968E-3</v>
      </c>
      <c r="D474" s="6">
        <f t="shared" ca="1" si="37"/>
        <v>-1.3997706955691528E-2</v>
      </c>
      <c r="E474" s="6">
        <f t="shared" ca="1" si="38"/>
        <v>-8.1901262260879321E-3</v>
      </c>
      <c r="F474">
        <f t="shared" ca="1" si="36"/>
        <v>1.299478687994866E-2</v>
      </c>
      <c r="G474">
        <f t="shared" ca="1" si="35"/>
        <v>-0.30399987127196165</v>
      </c>
      <c r="H474">
        <f t="shared" ca="1" si="39"/>
        <v>2.7625393987123164</v>
      </c>
    </row>
    <row r="475" spans="1:8" x14ac:dyDescent="0.25">
      <c r="A475" s="1">
        <v>40863</v>
      </c>
      <c r="B475">
        <v>304.59384499999999</v>
      </c>
      <c r="C475" s="6">
        <v>8.2554675149822086E-3</v>
      </c>
      <c r="D475" s="6">
        <f t="shared" ca="1" si="37"/>
        <v>5.017597079055385E-3</v>
      </c>
      <c r="E475" s="6">
        <f t="shared" ca="1" si="38"/>
        <v>-3.2378704359268236E-3</v>
      </c>
      <c r="F475">
        <f t="shared" ca="1" si="36"/>
        <v>8.8820875168820704E-3</v>
      </c>
      <c r="G475">
        <f t="shared" ca="1" si="35"/>
        <v>0.95265640860098988</v>
      </c>
      <c r="H475">
        <f t="shared" ca="1" si="39"/>
        <v>2.8108131165966812</v>
      </c>
    </row>
    <row r="476" spans="1:8" x14ac:dyDescent="0.25">
      <c r="A476" s="5">
        <v>40864</v>
      </c>
      <c r="B476">
        <v>299.31362360000003</v>
      </c>
      <c r="C476" s="6">
        <v>1.7335285944467985E-2</v>
      </c>
      <c r="D476" s="6">
        <f t="shared" ca="1" si="37"/>
        <v>3.2985851234198639E-3</v>
      </c>
      <c r="E476" s="6">
        <f t="shared" ca="1" si="38"/>
        <v>-1.4036700821048121E-2</v>
      </c>
      <c r="F476">
        <f t="shared" ca="1" si="36"/>
        <v>1.6651126829625721E-2</v>
      </c>
      <c r="G476">
        <f t="shared" ca="1" si="35"/>
        <v>0.35523687552701877</v>
      </c>
      <c r="H476">
        <f t="shared" ca="1" si="39"/>
        <v>2.6498313693836102</v>
      </c>
    </row>
    <row r="477" spans="1:8" x14ac:dyDescent="0.25">
      <c r="A477" s="1">
        <v>40865</v>
      </c>
      <c r="B477">
        <v>296.32979269999998</v>
      </c>
      <c r="C477" s="6">
        <v>9.96891108434011E-3</v>
      </c>
      <c r="D477" s="6">
        <f t="shared" ca="1" si="37"/>
        <v>2.149073502638767E-3</v>
      </c>
      <c r="E477" s="6">
        <f t="shared" ca="1" si="38"/>
        <v>-7.819837581701343E-3</v>
      </c>
      <c r="F477">
        <f t="shared" ca="1" si="36"/>
        <v>9.7069102601852926E-3</v>
      </c>
      <c r="G477">
        <f t="shared" ca="1" si="35"/>
        <v>-0.16181990316751857</v>
      </c>
      <c r="H477">
        <f t="shared" ca="1" si="39"/>
        <v>2.7676461738581652</v>
      </c>
    </row>
    <row r="478" spans="1:8" x14ac:dyDescent="0.25">
      <c r="A478" s="5">
        <v>40868</v>
      </c>
      <c r="B478">
        <v>289.38581090000002</v>
      </c>
      <c r="C478" s="6">
        <v>2.3433289433134885E-2</v>
      </c>
      <c r="D478" s="6">
        <f t="shared" ca="1" si="37"/>
        <v>6.8835479571642067E-3</v>
      </c>
      <c r="E478" s="6">
        <f t="shared" ca="1" si="38"/>
        <v>-1.6549741475970679E-2</v>
      </c>
      <c r="F478">
        <f t="shared" ca="1" si="36"/>
        <v>7.5878400994363266E-3</v>
      </c>
      <c r="G478">
        <f t="shared" ca="1" si="35"/>
        <v>-0.12218892479978496</v>
      </c>
      <c r="H478">
        <f t="shared" ca="1" si="39"/>
        <v>2.5828466647876462</v>
      </c>
    </row>
    <row r="479" spans="1:8" x14ac:dyDescent="0.25">
      <c r="A479" s="1">
        <v>40869</v>
      </c>
      <c r="B479">
        <v>288.91754859999998</v>
      </c>
      <c r="C479" s="6">
        <v>1.6181246016994987E-3</v>
      </c>
      <c r="D479" s="6">
        <f t="shared" ca="1" si="37"/>
        <v>1.6897951868509446E-2</v>
      </c>
      <c r="E479" s="6">
        <f t="shared" ca="1" si="38"/>
        <v>1.5279827266809948E-2</v>
      </c>
      <c r="F479">
        <f t="shared" ca="1" si="36"/>
        <v>7.2410316257948328E-3</v>
      </c>
      <c r="G479">
        <f t="shared" ca="1" si="35"/>
        <v>1.7132921108055839</v>
      </c>
      <c r="H479">
        <f t="shared" ca="1" si="39"/>
        <v>2.6077844993063617</v>
      </c>
    </row>
    <row r="480" spans="1:8" x14ac:dyDescent="0.25">
      <c r="A480" s="5">
        <v>40870</v>
      </c>
      <c r="B480">
        <v>283.99102640000001</v>
      </c>
      <c r="C480" s="6">
        <v>1.7051654438687721E-2</v>
      </c>
      <c r="D480" s="6">
        <f t="shared" ca="1" si="37"/>
        <v>-9.0773985932271449E-3</v>
      </c>
      <c r="E480" s="6">
        <f t="shared" ca="1" si="38"/>
        <v>-2.6129053031914866E-2</v>
      </c>
      <c r="F480">
        <f t="shared" ca="1" si="36"/>
        <v>2.7986795216052223E-2</v>
      </c>
      <c r="G480">
        <f t="shared" ca="1" si="35"/>
        <v>-0.70159716307230713</v>
      </c>
      <c r="H480">
        <f t="shared" ca="1" si="39"/>
        <v>2.2252878549921649</v>
      </c>
    </row>
    <row r="481" spans="1:8" x14ac:dyDescent="0.25">
      <c r="A481" s="1">
        <v>40872</v>
      </c>
      <c r="B481">
        <v>280.44930269999998</v>
      </c>
      <c r="C481" s="6">
        <v>1.2471252155029481E-2</v>
      </c>
      <c r="D481" s="6">
        <f t="shared" ca="1" si="37"/>
        <v>2.3569485183733275E-3</v>
      </c>
      <c r="E481" s="6">
        <f t="shared" ca="1" si="38"/>
        <v>-1.0114303636656153E-2</v>
      </c>
      <c r="F481">
        <f t="shared" ca="1" si="36"/>
        <v>1.4763644522202444E-2</v>
      </c>
      <c r="G481">
        <f t="shared" ca="1" si="35"/>
        <v>0.11024440627166297</v>
      </c>
      <c r="H481">
        <f t="shared" ca="1" si="39"/>
        <v>2.7321062905883102</v>
      </c>
    </row>
    <row r="482" spans="1:8" x14ac:dyDescent="0.25">
      <c r="A482" s="5">
        <v>40875</v>
      </c>
      <c r="B482">
        <v>292.99726729999998</v>
      </c>
      <c r="C482" s="6">
        <v>-4.4742363340524012E-2</v>
      </c>
      <c r="D482" s="6">
        <f t="shared" ca="1" si="37"/>
        <v>4.9531902318518863E-3</v>
      </c>
      <c r="E482" s="6">
        <f t="shared" ca="1" si="38"/>
        <v>4.96955535723759E-2</v>
      </c>
      <c r="F482">
        <f t="shared" ca="1" si="36"/>
        <v>7.8684192229291575E-3</v>
      </c>
      <c r="G482">
        <f t="shared" ca="1" si="35"/>
        <v>-0.34692571969068647</v>
      </c>
      <c r="H482">
        <f t="shared" ca="1" si="39"/>
        <v>0.62279126859202971</v>
      </c>
    </row>
    <row r="483" spans="1:8" x14ac:dyDescent="0.25">
      <c r="A483" s="1">
        <v>40876</v>
      </c>
      <c r="B483">
        <v>290.3770849</v>
      </c>
      <c r="C483" s="6">
        <v>8.9426854528208647E-3</v>
      </c>
      <c r="D483" s="6">
        <f t="shared" ca="1" si="37"/>
        <v>-9.3428630400002859E-3</v>
      </c>
      <c r="E483" s="6">
        <f t="shared" ca="1" si="38"/>
        <v>-1.8285548492821151E-2</v>
      </c>
      <c r="F483">
        <f t="shared" ca="1" si="36"/>
        <v>8.8939406062898529E-3</v>
      </c>
      <c r="G483">
        <f t="shared" ca="1" si="35"/>
        <v>-1.6821713348230432</v>
      </c>
      <c r="H483">
        <f t="shared" ca="1" si="39"/>
        <v>2.5300705239256183</v>
      </c>
    </row>
    <row r="484" spans="1:8" x14ac:dyDescent="0.25">
      <c r="A484" s="5">
        <v>40877</v>
      </c>
      <c r="B484">
        <v>298.57637840000001</v>
      </c>
      <c r="C484" s="6">
        <v>-2.8236709872694263E-2</v>
      </c>
      <c r="D484" s="6">
        <f t="shared" ca="1" si="37"/>
        <v>-4.0651164141365242E-2</v>
      </c>
      <c r="E484" s="6">
        <f t="shared" ca="1" si="38"/>
        <v>-1.241445426867098E-2</v>
      </c>
      <c r="F484">
        <f t="shared" ca="1" si="36"/>
        <v>2.7540831055320604E-2</v>
      </c>
      <c r="G484">
        <f t="shared" ca="1" si="35"/>
        <v>-0.74407088497799023</v>
      </c>
      <c r="H484">
        <f t="shared" ca="1" si="39"/>
        <v>2.6871519931835488</v>
      </c>
    </row>
    <row r="485" spans="1:8" x14ac:dyDescent="0.25">
      <c r="A485" s="1">
        <v>40878</v>
      </c>
      <c r="B485">
        <v>305.73953820000003</v>
      </c>
      <c r="C485" s="6">
        <v>-2.3991046573696457E-2</v>
      </c>
      <c r="D485" s="6">
        <f t="shared" ca="1" si="37"/>
        <v>-1.0392531169785196E-2</v>
      </c>
      <c r="E485" s="6">
        <f t="shared" ca="1" si="38"/>
        <v>1.3598515403911261E-2</v>
      </c>
      <c r="F485">
        <f t="shared" ca="1" si="36"/>
        <v>1.52238953578103E-2</v>
      </c>
      <c r="G485">
        <f t="shared" ca="1" si="35"/>
        <v>-0.94727746087194764</v>
      </c>
      <c r="H485">
        <f t="shared" ca="1" si="39"/>
        <v>2.6511991159667745</v>
      </c>
    </row>
    <row r="486" spans="1:8" x14ac:dyDescent="0.25">
      <c r="A486" s="5">
        <v>40879</v>
      </c>
      <c r="B486">
        <v>309.0222278</v>
      </c>
      <c r="C486" s="6">
        <v>-1.073688283604521E-2</v>
      </c>
      <c r="D486" s="6">
        <f t="shared" ca="1" si="37"/>
        <v>-2.4776847537297031E-2</v>
      </c>
      <c r="E486" s="6">
        <f t="shared" ca="1" si="38"/>
        <v>-1.4039964701251821E-2</v>
      </c>
      <c r="F486">
        <f t="shared" ca="1" si="36"/>
        <v>1.6864143178154996E-2</v>
      </c>
      <c r="G486">
        <f t="shared" ca="1" si="35"/>
        <v>-0.71478316291074817</v>
      </c>
      <c r="H486">
        <f t="shared" ca="1" si="39"/>
        <v>2.6497516001328911</v>
      </c>
    </row>
    <row r="487" spans="1:8" x14ac:dyDescent="0.25">
      <c r="A487" s="1">
        <v>40882</v>
      </c>
      <c r="B487">
        <v>311.65736420000002</v>
      </c>
      <c r="C487" s="6">
        <v>-8.5273361038141534E-3</v>
      </c>
      <c r="D487" s="6">
        <f t="shared" ca="1" si="37"/>
        <v>-4.2465537182481444E-2</v>
      </c>
      <c r="E487" s="6">
        <f t="shared" ca="1" si="38"/>
        <v>-3.3938201078667289E-2</v>
      </c>
      <c r="F487">
        <f t="shared" ca="1" si="36"/>
        <v>1.3820094944652488E-2</v>
      </c>
      <c r="G487">
        <f t="shared" ca="1" si="35"/>
        <v>-2.2905795944586269</v>
      </c>
      <c r="H487">
        <f t="shared" ca="1" si="39"/>
        <v>1.8139707813468</v>
      </c>
    </row>
    <row r="488" spans="1:8" x14ac:dyDescent="0.25">
      <c r="A488" s="5">
        <v>40883</v>
      </c>
      <c r="B488">
        <v>310.72086990000003</v>
      </c>
      <c r="C488" s="6">
        <v>3.0048842336965146E-3</v>
      </c>
      <c r="D488" s="6">
        <f t="shared" ca="1" si="37"/>
        <v>6.4652969283151068E-3</v>
      </c>
      <c r="E488" s="6">
        <f t="shared" ca="1" si="38"/>
        <v>3.4604126946185922E-3</v>
      </c>
      <c r="F488">
        <f t="shared" ca="1" si="36"/>
        <v>3.7023283398228954E-2</v>
      </c>
      <c r="G488">
        <f t="shared" ca="1" si="35"/>
        <v>0.30529477207104155</v>
      </c>
      <c r="H488">
        <f t="shared" ca="1" si="39"/>
        <v>2.8072389888837619</v>
      </c>
    </row>
    <row r="489" spans="1:8" x14ac:dyDescent="0.25">
      <c r="A489" s="1">
        <v>40884</v>
      </c>
      <c r="B489">
        <v>310.53159929999998</v>
      </c>
      <c r="C489" s="6">
        <v>6.0913385078046548E-4</v>
      </c>
      <c r="D489" s="6">
        <f t="shared" ca="1" si="37"/>
        <v>-1.5905830847867748E-2</v>
      </c>
      <c r="E489" s="6">
        <f t="shared" ca="1" si="38"/>
        <v>-1.6514964698648212E-2</v>
      </c>
      <c r="F489">
        <f t="shared" ca="1" si="36"/>
        <v>1.2463168631250758E-2</v>
      </c>
      <c r="G489">
        <f t="shared" ca="1" si="35"/>
        <v>-0.96795851824080326</v>
      </c>
      <c r="H489">
        <f t="shared" ca="1" si="39"/>
        <v>2.5838496921158693</v>
      </c>
    </row>
    <row r="490" spans="1:8" x14ac:dyDescent="0.25">
      <c r="A490" s="5">
        <v>40885</v>
      </c>
      <c r="B490">
        <v>306.87528209999999</v>
      </c>
      <c r="C490" s="6">
        <v>1.1774380476067672E-2</v>
      </c>
      <c r="D490" s="6">
        <f t="shared" ca="1" si="37"/>
        <v>3.3147614307338105E-2</v>
      </c>
      <c r="E490" s="6">
        <f t="shared" ca="1" si="38"/>
        <v>2.1373233831270433E-2</v>
      </c>
      <c r="F490">
        <f t="shared" ca="1" si="36"/>
        <v>1.7013727366535E-2</v>
      </c>
      <c r="G490">
        <f t="shared" ca="1" si="35"/>
        <v>1.8687106096271349</v>
      </c>
      <c r="H490">
        <f t="shared" ca="1" si="39"/>
        <v>2.40863409616483</v>
      </c>
    </row>
    <row r="491" spans="1:8" x14ac:dyDescent="0.25">
      <c r="A491" s="1">
        <v>40886</v>
      </c>
      <c r="B491">
        <v>312.53907980000002</v>
      </c>
      <c r="C491" s="6">
        <v>-1.8456350284199161E-2</v>
      </c>
      <c r="D491" s="6">
        <f t="shared" ca="1" si="37"/>
        <v>2.5700908230690832E-2</v>
      </c>
      <c r="E491" s="6">
        <f t="shared" ca="1" si="38"/>
        <v>4.4157258514889997E-2</v>
      </c>
      <c r="F491">
        <f t="shared" ca="1" si="36"/>
        <v>3.062145947908964E-2</v>
      </c>
      <c r="G491">
        <f t="shared" ca="1" si="35"/>
        <v>0.83034134979017571</v>
      </c>
      <c r="H491">
        <f t="shared" ca="1" si="39"/>
        <v>1.0833602674502159</v>
      </c>
    </row>
    <row r="492" spans="1:8" x14ac:dyDescent="0.25">
      <c r="A492" s="5">
        <v>40889</v>
      </c>
      <c r="B492">
        <v>311.52784759999997</v>
      </c>
      <c r="C492" s="6">
        <v>3.2355384185784363E-3</v>
      </c>
      <c r="D492" s="6">
        <f t="shared" ca="1" si="37"/>
        <v>8.6354771548410609E-4</v>
      </c>
      <c r="E492" s="6">
        <f t="shared" ca="1" si="38"/>
        <v>-2.3719907030943302E-3</v>
      </c>
      <c r="F492">
        <f t="shared" ca="1" si="36"/>
        <v>1.6647467839674249E-2</v>
      </c>
      <c r="G492">
        <f t="shared" ca="1" si="35"/>
        <v>-0.26677784689480299</v>
      </c>
      <c r="H492">
        <f t="shared" ca="1" si="39"/>
        <v>2.8148077776498233</v>
      </c>
    </row>
    <row r="493" spans="1:8" x14ac:dyDescent="0.25">
      <c r="A493" s="1">
        <v>40890</v>
      </c>
      <c r="B493">
        <v>311.64741550000002</v>
      </c>
      <c r="C493" s="6">
        <v>-3.838112737631536E-4</v>
      </c>
      <c r="D493" s="6">
        <f t="shared" ca="1" si="37"/>
        <v>-6.2070540923295694E-3</v>
      </c>
      <c r="E493" s="6">
        <f t="shared" ca="1" si="38"/>
        <v>-5.8232428185664153E-3</v>
      </c>
      <c r="F493">
        <f t="shared" ca="1" si="36"/>
        <v>8.9688903819893744E-3</v>
      </c>
      <c r="G493">
        <f t="shared" ca="1" si="35"/>
        <v>0.23509360478006255</v>
      </c>
      <c r="H493">
        <f t="shared" ca="1" si="39"/>
        <v>2.7910115230752583</v>
      </c>
    </row>
    <row r="494" spans="1:8" x14ac:dyDescent="0.25">
      <c r="A494" s="5">
        <v>40891</v>
      </c>
      <c r="B494">
        <v>307.88150949999999</v>
      </c>
      <c r="C494" s="6">
        <v>1.2083867257355867E-2</v>
      </c>
      <c r="D494" s="6">
        <f t="shared" ca="1" si="37"/>
        <v>1.8310634038986552E-3</v>
      </c>
      <c r="E494" s="6">
        <f t="shared" ca="1" si="38"/>
        <v>-1.0252803853457212E-2</v>
      </c>
      <c r="F494">
        <f t="shared" ca="1" si="36"/>
        <v>7.9988873470881461E-3</v>
      </c>
      <c r="G494">
        <f t="shared" ca="1" si="35"/>
        <v>4.6665930427066842E-2</v>
      </c>
      <c r="H494">
        <f t="shared" ca="1" si="39"/>
        <v>2.7296636391187605</v>
      </c>
    </row>
    <row r="495" spans="1:8" x14ac:dyDescent="0.25">
      <c r="A495" s="1">
        <v>40892</v>
      </c>
      <c r="B495">
        <v>308.61377979999997</v>
      </c>
      <c r="C495" s="6">
        <v>-2.378415973044922E-3</v>
      </c>
      <c r="D495" s="6">
        <f t="shared" ca="1" si="37"/>
        <v>-3.7993429327101112E-3</v>
      </c>
      <c r="E495" s="6">
        <f t="shared" ca="1" si="38"/>
        <v>-1.4209269596651892E-3</v>
      </c>
      <c r="F495">
        <f t="shared" ca="1" si="36"/>
        <v>7.046013155097587E-3</v>
      </c>
      <c r="G495">
        <f t="shared" ca="1" si="35"/>
        <v>-0.51470440190794176</v>
      </c>
      <c r="H495">
        <f t="shared" ca="1" si="39"/>
        <v>2.8176704699777413</v>
      </c>
    </row>
    <row r="496" spans="1:8" x14ac:dyDescent="0.25">
      <c r="A496" s="5">
        <v>40893</v>
      </c>
      <c r="B496">
        <v>311.81178340000002</v>
      </c>
      <c r="C496" s="6">
        <v>-1.0362478312123799E-2</v>
      </c>
      <c r="D496" s="6">
        <f t="shared" ca="1" si="37"/>
        <v>-3.7523226941496108E-3</v>
      </c>
      <c r="E496" s="6">
        <f t="shared" ca="1" si="38"/>
        <v>6.6101556179741878E-3</v>
      </c>
      <c r="F496">
        <f t="shared" ca="1" si="36"/>
        <v>1.0701242006476616E-2</v>
      </c>
      <c r="G496">
        <f t="shared" ca="1" si="35"/>
        <v>-0.85940990671255058</v>
      </c>
      <c r="H496">
        <f t="shared" ca="1" si="39"/>
        <v>2.7781847751037052</v>
      </c>
    </row>
    <row r="497" spans="1:8" x14ac:dyDescent="0.25">
      <c r="A497" s="1">
        <v>40896</v>
      </c>
      <c r="B497">
        <v>309.75449859999998</v>
      </c>
      <c r="C497" s="6">
        <v>6.5978417414742493E-3</v>
      </c>
      <c r="D497" s="6">
        <f t="shared" ca="1" si="37"/>
        <v>-2.5190037374323111E-3</v>
      </c>
      <c r="E497" s="6">
        <f t="shared" ca="1" si="38"/>
        <v>-9.1168454789065604E-3</v>
      </c>
      <c r="F497">
        <f t="shared" ca="1" si="36"/>
        <v>1.5401860595224833E-2</v>
      </c>
      <c r="G497">
        <f t="shared" ca="1" si="35"/>
        <v>-9.3964007840561914E-2</v>
      </c>
      <c r="H497">
        <f t="shared" ca="1" si="39"/>
        <v>2.7486979897929751</v>
      </c>
    </row>
    <row r="498" spans="1:8" x14ac:dyDescent="0.25">
      <c r="A498" s="5">
        <v>40897</v>
      </c>
      <c r="B498">
        <v>314.00856429999999</v>
      </c>
      <c r="C498" s="6">
        <v>-1.3733668822332359E-2</v>
      </c>
      <c r="D498" s="6">
        <f t="shared" ca="1" si="37"/>
        <v>-1.2871316132625436E-3</v>
      </c>
      <c r="E498" s="6">
        <f t="shared" ca="1" si="38"/>
        <v>1.2446537209069816E-2</v>
      </c>
      <c r="F498">
        <f t="shared" ca="1" si="36"/>
        <v>7.8930961824711949E-3</v>
      </c>
      <c r="G498">
        <f t="shared" ca="1" si="35"/>
        <v>0.42843080960814395</v>
      </c>
      <c r="H498">
        <f t="shared" ca="1" si="39"/>
        <v>2.6780650185411181</v>
      </c>
    </row>
    <row r="499" spans="1:8" x14ac:dyDescent="0.25">
      <c r="A499" s="1">
        <v>40898</v>
      </c>
      <c r="B499">
        <v>311.74205080000002</v>
      </c>
      <c r="C499" s="6">
        <v>7.2179989900994354E-3</v>
      </c>
      <c r="D499" s="6">
        <f t="shared" ca="1" si="37"/>
        <v>1.8097317888131265E-2</v>
      </c>
      <c r="E499" s="6">
        <f t="shared" ca="1" si="38"/>
        <v>1.0879318898031828E-2</v>
      </c>
      <c r="F499">
        <f t="shared" ca="1" si="36"/>
        <v>9.7441433797279542E-3</v>
      </c>
      <c r="G499">
        <f t="shared" ca="1" si="35"/>
        <v>1.5521981973418819</v>
      </c>
      <c r="H499">
        <f t="shared" ca="1" si="39"/>
        <v>2.7108541882300963</v>
      </c>
    </row>
    <row r="500" spans="1:8" x14ac:dyDescent="0.25">
      <c r="A500" s="5">
        <v>40899</v>
      </c>
      <c r="B500">
        <v>313.67482380000001</v>
      </c>
      <c r="C500" s="6">
        <v>-6.1999110964981096E-3</v>
      </c>
      <c r="D500" s="6">
        <f t="shared" ca="1" si="37"/>
        <v>1.0803582263391644E-3</v>
      </c>
      <c r="E500" s="6">
        <f t="shared" ca="1" si="38"/>
        <v>7.2802693228372741E-3</v>
      </c>
      <c r="F500">
        <f t="shared" ca="1" si="36"/>
        <v>2.5578447215119079E-2</v>
      </c>
      <c r="G500">
        <f t="shared" ca="1" si="35"/>
        <v>0.28414697456851479</v>
      </c>
      <c r="H500">
        <f t="shared" ca="1" si="39"/>
        <v>2.769744508984926</v>
      </c>
    </row>
    <row r="501" spans="1:8" x14ac:dyDescent="0.25">
      <c r="A501" s="1">
        <v>40900</v>
      </c>
      <c r="B501">
        <v>315.3883889</v>
      </c>
      <c r="C501" s="6">
        <v>-5.4628710052055584E-3</v>
      </c>
      <c r="D501" s="6">
        <f t="shared" ca="1" si="37"/>
        <v>2.915770155291899E-3</v>
      </c>
      <c r="E501" s="6">
        <f t="shared" ca="1" si="38"/>
        <v>8.3786411604974582E-3</v>
      </c>
      <c r="F501">
        <f t="shared" ca="1" si="36"/>
        <v>1.0332460118273103E-2</v>
      </c>
      <c r="G501">
        <f t="shared" ca="1" si="35"/>
        <v>-3.2542753446467454E-2</v>
      </c>
      <c r="H501">
        <f t="shared" ca="1" si="39"/>
        <v>2.7541960291403305</v>
      </c>
    </row>
    <row r="502" spans="1:8" x14ac:dyDescent="0.25">
      <c r="A502" s="5">
        <v>40904</v>
      </c>
      <c r="B502">
        <v>318.93011209999997</v>
      </c>
      <c r="C502" s="6">
        <v>-1.1229719687375525E-2</v>
      </c>
      <c r="D502" s="6">
        <f t="shared" ca="1" si="37"/>
        <v>7.8594559112852257E-3</v>
      </c>
      <c r="E502" s="6">
        <f t="shared" ca="1" si="38"/>
        <v>1.9089175598660753E-2</v>
      </c>
      <c r="F502">
        <f t="shared" ca="1" si="36"/>
        <v>7.2166393098392857E-3</v>
      </c>
      <c r="G502">
        <f t="shared" ca="1" si="35"/>
        <v>1.4761662151126069</v>
      </c>
      <c r="H502">
        <f t="shared" ca="1" si="39"/>
        <v>2.4909621122638423</v>
      </c>
    </row>
    <row r="503" spans="1:8" x14ac:dyDescent="0.25">
      <c r="A503" s="1">
        <v>40905</v>
      </c>
      <c r="B503">
        <v>318.65615550000001</v>
      </c>
      <c r="C503" s="6">
        <v>8.5898630955882926E-4</v>
      </c>
      <c r="D503" s="6">
        <f t="shared" ca="1" si="37"/>
        <v>1.8019962259809542E-2</v>
      </c>
      <c r="E503" s="6">
        <f t="shared" ca="1" si="38"/>
        <v>1.7160975950250713E-2</v>
      </c>
      <c r="F503">
        <f t="shared" ca="1" si="36"/>
        <v>2.4369900654375821E-2</v>
      </c>
      <c r="G503">
        <f t="shared" ca="1" si="35"/>
        <v>0.8404417666542523</v>
      </c>
      <c r="H503">
        <f t="shared" ca="1" si="39"/>
        <v>2.5532957407196886</v>
      </c>
    </row>
    <row r="504" spans="1:8" x14ac:dyDescent="0.25">
      <c r="A504" s="5">
        <v>40906</v>
      </c>
      <c r="B504">
        <v>320.00109780000003</v>
      </c>
      <c r="C504" s="6">
        <v>-4.2206694482009267E-3</v>
      </c>
      <c r="D504" s="6">
        <f t="shared" ca="1" si="37"/>
        <v>8.4974792155922685E-3</v>
      </c>
      <c r="E504" s="6">
        <f t="shared" ca="1" si="38"/>
        <v>1.2718148663793196E-2</v>
      </c>
      <c r="F504">
        <f t="shared" ca="1" si="36"/>
        <v>1.6110706368915324E-2</v>
      </c>
      <c r="G504">
        <f t="shared" ca="1" si="35"/>
        <v>0.84149587473925225</v>
      </c>
      <c r="H504">
        <f t="shared" ca="1" si="39"/>
        <v>2.6719416393415014</v>
      </c>
    </row>
    <row r="505" spans="1:8" x14ac:dyDescent="0.25">
      <c r="A505" s="1">
        <v>40907</v>
      </c>
      <c r="B505">
        <v>321.74457039999999</v>
      </c>
      <c r="C505" s="6">
        <v>-5.4483331838118499E-3</v>
      </c>
      <c r="D505" s="6">
        <f t="shared" ca="1" si="37"/>
        <v>1.202366888478563E-2</v>
      </c>
      <c r="E505" s="6">
        <f t="shared" ca="1" si="38"/>
        <v>1.7472002068597479E-2</v>
      </c>
      <c r="F505">
        <f t="shared" ca="1" si="36"/>
        <v>1.5452818299534338E-2</v>
      </c>
      <c r="G505">
        <f t="shared" ca="1" si="35"/>
        <v>0.75304816543590125</v>
      </c>
      <c r="H505">
        <f t="shared" ca="1" si="39"/>
        <v>2.5436849580720136</v>
      </c>
    </row>
    <row r="506" spans="1:8" x14ac:dyDescent="0.25">
      <c r="A506" s="5">
        <v>40911</v>
      </c>
      <c r="B506">
        <v>331.46315370000002</v>
      </c>
      <c r="C506" s="6">
        <v>-3.0205896832750514E-2</v>
      </c>
      <c r="D506" s="6">
        <f t="shared" ca="1" si="37"/>
        <v>1.3707762473912479E-3</v>
      </c>
      <c r="E506" s="6">
        <f t="shared" ca="1" si="38"/>
        <v>3.1576673080141761E-2</v>
      </c>
      <c r="F506">
        <f t="shared" ca="1" si="36"/>
        <v>1.4218418993564286E-2</v>
      </c>
      <c r="G506">
        <f t="shared" ca="1" si="35"/>
        <v>0.23016048459722721</v>
      </c>
      <c r="H506">
        <f t="shared" ca="1" si="39"/>
        <v>1.9284129289740164</v>
      </c>
    </row>
    <row r="507" spans="1:8" x14ac:dyDescent="0.25">
      <c r="A507" s="1">
        <v>40912</v>
      </c>
      <c r="B507">
        <v>332.89281299999999</v>
      </c>
      <c r="C507" s="6">
        <v>-4.3131771481723178E-3</v>
      </c>
      <c r="D507" s="6">
        <f t="shared" ca="1" si="37"/>
        <v>-1.2852684677520102E-2</v>
      </c>
      <c r="E507" s="6">
        <f t="shared" ca="1" si="38"/>
        <v>-8.5395075293477844E-3</v>
      </c>
      <c r="F507">
        <f t="shared" ca="1" si="36"/>
        <v>8.4338140065821025E-3</v>
      </c>
      <c r="G507">
        <f t="shared" ca="1" si="35"/>
        <v>-1.2328231093749351</v>
      </c>
      <c r="H507">
        <f t="shared" ca="1" si="39"/>
        <v>2.7574990726758828</v>
      </c>
    </row>
    <row r="508" spans="1:8" x14ac:dyDescent="0.25">
      <c r="A508" s="5">
        <v>40913</v>
      </c>
      <c r="B508">
        <v>328.27509880000002</v>
      </c>
      <c r="C508" s="6">
        <v>1.3871474599843543E-2</v>
      </c>
      <c r="D508" s="6">
        <f t="shared" ca="1" si="37"/>
        <v>-1.5667117473692385E-2</v>
      </c>
      <c r="E508" s="6">
        <f t="shared" ca="1" si="38"/>
        <v>-2.953859207353593E-2</v>
      </c>
      <c r="F508">
        <f t="shared" ca="1" si="36"/>
        <v>2.0737918077157726E-2</v>
      </c>
      <c r="G508">
        <f t="shared" ca="1" si="35"/>
        <v>-9.9217781003871769E-2</v>
      </c>
      <c r="H508">
        <f t="shared" ca="1" si="39"/>
        <v>2.0589412183980174</v>
      </c>
    </row>
    <row r="509" spans="1:8" x14ac:dyDescent="0.25">
      <c r="A509" s="1">
        <v>40914</v>
      </c>
      <c r="B509">
        <v>323.7968808</v>
      </c>
      <c r="C509" s="6">
        <v>1.3641662180195881E-2</v>
      </c>
      <c r="D509" s="6">
        <f t="shared" ca="1" si="37"/>
        <v>-1.2919167414362907E-2</v>
      </c>
      <c r="E509" s="6">
        <f t="shared" ca="1" si="38"/>
        <v>-2.6560829594558789E-2</v>
      </c>
      <c r="F509">
        <f t="shared" ca="1" si="36"/>
        <v>8.6480276314263443E-3</v>
      </c>
      <c r="G509">
        <f t="shared" ca="1" si="35"/>
        <v>-1.2691986554590098</v>
      </c>
      <c r="H509">
        <f t="shared" ca="1" si="39"/>
        <v>2.2053567152333016</v>
      </c>
    </row>
    <row r="510" spans="1:8" x14ac:dyDescent="0.25">
      <c r="A510" s="5">
        <v>40917</v>
      </c>
      <c r="B510">
        <v>310.0683113</v>
      </c>
      <c r="C510" s="6">
        <v>4.2398708307754621E-2</v>
      </c>
      <c r="D510" s="6">
        <f t="shared" ca="1" si="37"/>
        <v>2.7449205627079691E-2</v>
      </c>
      <c r="E510" s="6">
        <f t="shared" ca="1" si="38"/>
        <v>-1.494950268067493E-2</v>
      </c>
      <c r="F510">
        <f t="shared" ca="1" si="36"/>
        <v>2.1285652965506406E-2</v>
      </c>
      <c r="G510">
        <f t="shared" ca="1" si="35"/>
        <v>0.99593332226106956</v>
      </c>
      <c r="H510">
        <f t="shared" ca="1" si="39"/>
        <v>2.6267898239694687</v>
      </c>
    </row>
    <row r="511" spans="1:8" x14ac:dyDescent="0.25">
      <c r="A511" s="1">
        <v>40918</v>
      </c>
      <c r="B511">
        <v>310.40705709999997</v>
      </c>
      <c r="C511" s="6">
        <v>-1.0924876475759027E-3</v>
      </c>
      <c r="D511" s="6">
        <f t="shared" ca="1" si="37"/>
        <v>-6.6997924702234205E-4</v>
      </c>
      <c r="E511" s="6">
        <f t="shared" ca="1" si="38"/>
        <v>4.2250840055356063E-4</v>
      </c>
      <c r="F511">
        <f t="shared" ca="1" si="36"/>
        <v>1.7947409818854815E-2</v>
      </c>
      <c r="G511">
        <f t="shared" ca="1" si="35"/>
        <v>-0.37983341133893345</v>
      </c>
      <c r="H511">
        <f t="shared" ca="1" si="39"/>
        <v>2.8186730952884833</v>
      </c>
    </row>
    <row r="512" spans="1:8" x14ac:dyDescent="0.25">
      <c r="A512" s="5">
        <v>40919</v>
      </c>
      <c r="B512">
        <v>311.81178340000002</v>
      </c>
      <c r="C512" s="6">
        <v>-4.5254328723187071E-3</v>
      </c>
      <c r="D512" s="6">
        <f t="shared" ca="1" si="37"/>
        <v>2.4689000499822727E-2</v>
      </c>
      <c r="E512" s="6">
        <f t="shared" ca="1" si="38"/>
        <v>2.9214433372141434E-2</v>
      </c>
      <c r="F512">
        <f t="shared" ca="1" si="36"/>
        <v>1.0079469609079354E-2</v>
      </c>
      <c r="G512">
        <f t="shared" ca="1" si="35"/>
        <v>0.55419454190390338</v>
      </c>
      <c r="H512">
        <f t="shared" ca="1" si="39"/>
        <v>2.0559369498985705</v>
      </c>
    </row>
    <row r="513" spans="1:8" x14ac:dyDescent="0.25">
      <c r="A513" s="1">
        <v>40920</v>
      </c>
      <c r="B513">
        <v>313.6449164</v>
      </c>
      <c r="C513" s="6">
        <v>-5.8789728213971505E-3</v>
      </c>
      <c r="D513" s="6">
        <f t="shared" ca="1" si="37"/>
        <v>-5.9620734024385964E-3</v>
      </c>
      <c r="E513" s="6">
        <f t="shared" ca="1" si="38"/>
        <v>-8.3100581041445874E-5</v>
      </c>
      <c r="F513">
        <f t="shared" ca="1" si="36"/>
        <v>1.1330485455559744E-2</v>
      </c>
      <c r="G513">
        <f t="shared" ca="1" si="35"/>
        <v>-0.48274813078771123</v>
      </c>
      <c r="H513">
        <f t="shared" ca="1" si="39"/>
        <v>2.8189950269431674</v>
      </c>
    </row>
    <row r="514" spans="1:8" x14ac:dyDescent="0.25">
      <c r="A514" s="5">
        <v>40921</v>
      </c>
      <c r="B514">
        <v>311.328598</v>
      </c>
      <c r="C514" s="6">
        <v>7.3851616234899709E-3</v>
      </c>
      <c r="D514" s="6">
        <f t="shared" ca="1" si="37"/>
        <v>7.903112248019116E-3</v>
      </c>
      <c r="E514" s="6">
        <f t="shared" ca="1" si="38"/>
        <v>5.1795062452914507E-4</v>
      </c>
      <c r="F514">
        <f t="shared" ca="1" si="36"/>
        <v>1.0560825633853224E-2</v>
      </c>
      <c r="G514">
        <f t="shared" ca="1" si="35"/>
        <v>0.94142020186371655</v>
      </c>
      <c r="H514">
        <f t="shared" ca="1" si="39"/>
        <v>2.8185617009854673</v>
      </c>
    </row>
    <row r="515" spans="1:8" x14ac:dyDescent="0.25">
      <c r="A515" s="1">
        <v>40925</v>
      </c>
      <c r="B515">
        <v>313.11690049999999</v>
      </c>
      <c r="C515" s="6">
        <v>-5.7440996795289139E-3</v>
      </c>
      <c r="D515" s="6">
        <f t="shared" ca="1" si="37"/>
        <v>5.9881716520686964E-3</v>
      </c>
      <c r="E515" s="6">
        <f t="shared" ca="1" si="38"/>
        <v>1.1732271331597609E-2</v>
      </c>
      <c r="F515">
        <f t="shared" ca="1" si="36"/>
        <v>1.6553017523862262E-2</v>
      </c>
      <c r="G515">
        <f t="shared" ref="G515:G578" ca="1" si="40">_xlfn.NORM.INV(RAND(),0,1)</f>
        <v>0.52176960376755377</v>
      </c>
      <c r="H515">
        <f t="shared" ca="1" si="39"/>
        <v>2.6935464508227622</v>
      </c>
    </row>
    <row r="516" spans="1:8" x14ac:dyDescent="0.25">
      <c r="A516" s="5">
        <v>40926</v>
      </c>
      <c r="B516">
        <v>315.2738253</v>
      </c>
      <c r="C516" s="6">
        <v>-6.8885607789159024E-3</v>
      </c>
      <c r="D516" s="6">
        <f t="shared" ca="1" si="37"/>
        <v>8.5608512737002096E-3</v>
      </c>
      <c r="E516" s="6">
        <f t="shared" ca="1" si="38"/>
        <v>1.5449412052616112E-2</v>
      </c>
      <c r="F516">
        <f t="shared" ref="F516:F579" ca="1" si="41">SQRT($K$6+$K$7*POWER($G515,2)+$K$8*POWER($F515,2))</f>
        <v>1.1427259451369631E-2</v>
      </c>
      <c r="G516">
        <f t="shared" ca="1" si="40"/>
        <v>0.45798475280078499</v>
      </c>
      <c r="H516">
        <f t="shared" ca="1" si="39"/>
        <v>2.6031285054941748</v>
      </c>
    </row>
    <row r="517" spans="1:8" x14ac:dyDescent="0.25">
      <c r="A517" s="1">
        <v>40927</v>
      </c>
      <c r="B517">
        <v>318.59139720000002</v>
      </c>
      <c r="C517" s="6">
        <v>-1.0522826932566225E-2</v>
      </c>
      <c r="D517" s="6">
        <f t="shared" ref="D517:D580" ca="1" si="42">($K$10*$C516)+($K$11*$C515)+($F517*$G517)</f>
        <v>-1.7964051102402592E-2</v>
      </c>
      <c r="E517" s="6">
        <f t="shared" ca="1" si="38"/>
        <v>-7.4412241698363669E-3</v>
      </c>
      <c r="F517">
        <f t="shared" ca="1" si="41"/>
        <v>1.028778329345055E-2</v>
      </c>
      <c r="G517">
        <f t="shared" ca="1" si="40"/>
        <v>-1.4945778741649656</v>
      </c>
      <c r="H517">
        <f t="shared" ca="1" si="39"/>
        <v>2.7726175353446219</v>
      </c>
    </row>
    <row r="518" spans="1:8" x14ac:dyDescent="0.25">
      <c r="A518" s="5">
        <v>40928</v>
      </c>
      <c r="B518">
        <v>291.90137950000002</v>
      </c>
      <c r="C518" s="6">
        <v>8.3775073446961223E-2</v>
      </c>
      <c r="D518" s="6">
        <f t="shared" ca="1" si="42"/>
        <v>-2.7381424554534468E-2</v>
      </c>
      <c r="E518" s="6">
        <f t="shared" ref="E518:E581" ca="1" si="43">$D518-$C518</f>
        <v>-0.11115649800149568</v>
      </c>
      <c r="F518">
        <f t="shared" ca="1" si="41"/>
        <v>2.4718332302016005E-2</v>
      </c>
      <c r="G518">
        <f t="shared" ca="1" si="40"/>
        <v>-0.98216827311110377</v>
      </c>
      <c r="H518">
        <f t="shared" ref="H518:H581" ca="1" si="44">LN(_xlfn.NORM.DIST($E518,AVERAGE($E$5:$E$1763),_xlfn.STDEV.S($E$5:$E$1763),FALSE))</f>
        <v>-8.0473101579742767</v>
      </c>
    </row>
    <row r="519" spans="1:8" x14ac:dyDescent="0.25">
      <c r="A519" s="1">
        <v>40931</v>
      </c>
      <c r="B519">
        <v>291.66724809999999</v>
      </c>
      <c r="C519" s="6">
        <v>8.0209076230153221E-4</v>
      </c>
      <c r="D519" s="6">
        <f t="shared" ca="1" si="42"/>
        <v>-2.4307881628694426E-2</v>
      </c>
      <c r="E519" s="6">
        <f t="shared" ca="1" si="43"/>
        <v>-2.5109972390995959E-2</v>
      </c>
      <c r="F519">
        <f t="shared" ca="1" si="41"/>
        <v>1.8036360235909411E-2</v>
      </c>
      <c r="G519">
        <f t="shared" ca="1" si="40"/>
        <v>-1.0849270355404927</v>
      </c>
      <c r="H519">
        <f t="shared" ca="1" si="44"/>
        <v>2.2710246166773373</v>
      </c>
    </row>
    <row r="520" spans="1:8" x14ac:dyDescent="0.25">
      <c r="A520" s="5">
        <v>40932</v>
      </c>
      <c r="B520">
        <v>289.38083660000001</v>
      </c>
      <c r="C520" s="6">
        <v>7.8391095157042609E-3</v>
      </c>
      <c r="D520" s="6">
        <f t="shared" ca="1" si="42"/>
        <v>2.0616030143116124E-2</v>
      </c>
      <c r="E520" s="6">
        <f t="shared" ca="1" si="43"/>
        <v>1.2776920627411863E-2</v>
      </c>
      <c r="F520">
        <f t="shared" ca="1" si="41"/>
        <v>1.8983319981311232E-2</v>
      </c>
      <c r="G520">
        <f t="shared" ca="1" si="40"/>
        <v>-0.90234070783309805</v>
      </c>
      <c r="H520">
        <f t="shared" ca="1" si="44"/>
        <v>2.6705995118482302</v>
      </c>
    </row>
    <row r="521" spans="1:8" x14ac:dyDescent="0.25">
      <c r="A521" s="1">
        <v>40933</v>
      </c>
      <c r="B521">
        <v>283.682188</v>
      </c>
      <c r="C521" s="6">
        <v>1.9692556932776564E-2</v>
      </c>
      <c r="D521" s="6">
        <f t="shared" ca="1" si="42"/>
        <v>-2.5239367932087555E-2</v>
      </c>
      <c r="E521" s="6">
        <f t="shared" ca="1" si="43"/>
        <v>-4.4931924864864123E-2</v>
      </c>
      <c r="F521">
        <f t="shared" ca="1" si="41"/>
        <v>1.6484796694046722E-2</v>
      </c>
      <c r="G521">
        <f t="shared" ca="1" si="40"/>
        <v>-1.5529997500136561</v>
      </c>
      <c r="H521">
        <f t="shared" ca="1" si="44"/>
        <v>1.0524969341751746</v>
      </c>
    </row>
    <row r="522" spans="1:8" x14ac:dyDescent="0.25">
      <c r="A522" s="5">
        <v>40934</v>
      </c>
      <c r="B522">
        <v>282.98977339999999</v>
      </c>
      <c r="C522" s="6">
        <v>2.4408109824646672E-3</v>
      </c>
      <c r="D522" s="6">
        <f t="shared" ca="1" si="42"/>
        <v>3.1085533039936684E-3</v>
      </c>
      <c r="E522" s="6">
        <f t="shared" ca="1" si="43"/>
        <v>6.6774232152900116E-4</v>
      </c>
      <c r="F522">
        <f t="shared" ca="1" si="41"/>
        <v>2.5808829079651475E-2</v>
      </c>
      <c r="G522">
        <f t="shared" ca="1" si="40"/>
        <v>-1.6418315173343485E-2</v>
      </c>
      <c r="H522">
        <f t="shared" ca="1" si="44"/>
        <v>2.8183544561480294</v>
      </c>
    </row>
    <row r="523" spans="1:8" x14ac:dyDescent="0.25">
      <c r="A523" s="1">
        <v>40935</v>
      </c>
      <c r="B523">
        <v>288.90759989999998</v>
      </c>
      <c r="C523" s="6">
        <v>-2.0911803380383179E-2</v>
      </c>
      <c r="D523" s="6">
        <f t="shared" ca="1" si="42"/>
        <v>-6.1008664892991064E-3</v>
      </c>
      <c r="E523" s="6">
        <f t="shared" ca="1" si="43"/>
        <v>1.4810936891084073E-2</v>
      </c>
      <c r="F523">
        <f t="shared" ca="1" si="41"/>
        <v>9.3468963248708962E-3</v>
      </c>
      <c r="G523">
        <f t="shared" ca="1" si="40"/>
        <v>-1.6019782597367898</v>
      </c>
      <c r="H523">
        <f t="shared" ca="1" si="44"/>
        <v>2.6203938114132392</v>
      </c>
    </row>
    <row r="524" spans="1:8" x14ac:dyDescent="0.25">
      <c r="A524" s="5">
        <v>40938</v>
      </c>
      <c r="B524">
        <v>287.76688159999998</v>
      </c>
      <c r="C524" s="6">
        <v>3.9483845367683018E-3</v>
      </c>
      <c r="D524" s="6">
        <f t="shared" ca="1" si="42"/>
        <v>5.8437362104944282E-2</v>
      </c>
      <c r="E524" s="6">
        <f t="shared" ca="1" si="43"/>
        <v>5.4488977568175979E-2</v>
      </c>
      <c r="F524">
        <f t="shared" ca="1" si="41"/>
        <v>2.6326522749551429E-2</v>
      </c>
      <c r="G524">
        <f t="shared" ca="1" si="40"/>
        <v>2.1779550710198405</v>
      </c>
      <c r="H524">
        <f t="shared" ca="1" si="44"/>
        <v>0.18046193194915941</v>
      </c>
    </row>
    <row r="525" spans="1:8" x14ac:dyDescent="0.25">
      <c r="A525" s="1">
        <v>40939</v>
      </c>
      <c r="B525">
        <v>288.97235819999997</v>
      </c>
      <c r="C525" s="6">
        <v>-4.1890734378378768E-3</v>
      </c>
      <c r="D525" s="6">
        <f t="shared" ca="1" si="42"/>
        <v>-7.1999783683344795E-2</v>
      </c>
      <c r="E525" s="6">
        <f t="shared" ca="1" si="43"/>
        <v>-6.7810710245506917E-2</v>
      </c>
      <c r="F525">
        <f t="shared" ca="1" si="41"/>
        <v>3.5729227396963936E-2</v>
      </c>
      <c r="G525">
        <f t="shared" ca="1" si="40"/>
        <v>-1.7514482058668461</v>
      </c>
      <c r="H525">
        <f t="shared" ca="1" si="44"/>
        <v>-1.2160800975357551</v>
      </c>
    </row>
    <row r="526" spans="1:8" x14ac:dyDescent="0.25">
      <c r="A526" s="5">
        <v>40940</v>
      </c>
      <c r="B526">
        <v>289.33100139999999</v>
      </c>
      <c r="C526" s="6">
        <v>-1.2410986373713902E-3</v>
      </c>
      <c r="D526" s="6">
        <f t="shared" ca="1" si="42"/>
        <v>-1.8039156000965455E-4</v>
      </c>
      <c r="E526" s="6">
        <f t="shared" ca="1" si="43"/>
        <v>1.0607070773617357E-3</v>
      </c>
      <c r="F526">
        <f t="shared" ca="1" si="41"/>
        <v>2.9900059291325769E-2</v>
      </c>
      <c r="G526">
        <f t="shared" ca="1" si="40"/>
        <v>-6.5528105958723659E-2</v>
      </c>
      <c r="H526">
        <f t="shared" ca="1" si="44"/>
        <v>2.8176225485288695</v>
      </c>
    </row>
    <row r="527" spans="1:8" x14ac:dyDescent="0.25">
      <c r="A527" s="1">
        <v>40941</v>
      </c>
      <c r="B527">
        <v>291.46302400000002</v>
      </c>
      <c r="C527" s="6">
        <v>-7.3688010952290151E-3</v>
      </c>
      <c r="D527" s="6">
        <f t="shared" ca="1" si="42"/>
        <v>-3.2582259522949365E-3</v>
      </c>
      <c r="E527" s="6">
        <f t="shared" ca="1" si="43"/>
        <v>4.1105751429340786E-3</v>
      </c>
      <c r="F527">
        <f t="shared" ca="1" si="41"/>
        <v>1.0140526874194693E-2</v>
      </c>
      <c r="G527">
        <f t="shared" ca="1" si="40"/>
        <v>-0.13517930620217436</v>
      </c>
      <c r="H527">
        <f t="shared" ca="1" si="44"/>
        <v>2.8026758411006152</v>
      </c>
    </row>
    <row r="528" spans="1:8" x14ac:dyDescent="0.25">
      <c r="A528" s="5">
        <v>40942</v>
      </c>
      <c r="B528">
        <v>297.05208390000001</v>
      </c>
      <c r="C528" s="6">
        <v>-1.917587975070208E-2</v>
      </c>
      <c r="D528" s="6">
        <f t="shared" ca="1" si="42"/>
        <v>2.7993513173861671E-3</v>
      </c>
      <c r="E528" s="6">
        <f t="shared" ca="1" si="43"/>
        <v>2.1975231068088248E-2</v>
      </c>
      <c r="F528">
        <f t="shared" ca="1" si="41"/>
        <v>7.4926879845386993E-3</v>
      </c>
      <c r="G528">
        <f t="shared" ca="1" si="40"/>
        <v>0.44825819449393156</v>
      </c>
      <c r="H528">
        <f t="shared" ca="1" si="44"/>
        <v>2.3854021080010432</v>
      </c>
    </row>
    <row r="529" spans="1:8" x14ac:dyDescent="0.25">
      <c r="A529" s="1">
        <v>40945</v>
      </c>
      <c r="B529">
        <v>303.40826579999998</v>
      </c>
      <c r="C529" s="6">
        <v>-2.1397533444470703E-2</v>
      </c>
      <c r="D529" s="6">
        <f t="shared" ca="1" si="42"/>
        <v>-1.0177749419739302E-3</v>
      </c>
      <c r="E529" s="6">
        <f t="shared" ca="1" si="43"/>
        <v>2.0379758502496771E-2</v>
      </c>
      <c r="F529">
        <f t="shared" ca="1" si="41"/>
        <v>9.9453181851975308E-3</v>
      </c>
      <c r="G529">
        <f t="shared" ca="1" si="40"/>
        <v>0.23152668907317156</v>
      </c>
      <c r="H529">
        <f t="shared" ca="1" si="44"/>
        <v>2.445575026587008</v>
      </c>
    </row>
    <row r="530" spans="1:8" x14ac:dyDescent="0.25">
      <c r="A530" s="5">
        <v>40946</v>
      </c>
      <c r="B530">
        <v>302.25259360000001</v>
      </c>
      <c r="C530" s="6">
        <v>3.808967422007425E-3</v>
      </c>
      <c r="D530" s="6">
        <f t="shared" ca="1" si="42"/>
        <v>-6.086656107644051E-3</v>
      </c>
      <c r="E530" s="6">
        <f t="shared" ca="1" si="43"/>
        <v>-9.8956235296514764E-3</v>
      </c>
      <c r="F530">
        <f t="shared" ca="1" si="41"/>
        <v>8.0459350159287433E-3</v>
      </c>
      <c r="G530">
        <f t="shared" ca="1" si="40"/>
        <v>0.3173681107782127</v>
      </c>
      <c r="H530">
        <f t="shared" ca="1" si="44"/>
        <v>2.7358941010352282</v>
      </c>
    </row>
    <row r="531" spans="1:8" x14ac:dyDescent="0.25">
      <c r="A531" s="1">
        <v>40947</v>
      </c>
      <c r="B531">
        <v>303.78686720000002</v>
      </c>
      <c r="C531" s="6">
        <v>-5.0761304699686316E-3</v>
      </c>
      <c r="D531" s="6">
        <f t="shared" ca="1" si="42"/>
        <v>-1.3468558364430373E-3</v>
      </c>
      <c r="E531" s="6">
        <f t="shared" ca="1" si="43"/>
        <v>3.7292746335255943E-3</v>
      </c>
      <c r="F531">
        <f t="shared" ca="1" si="41"/>
        <v>8.6235511099085217E-3</v>
      </c>
      <c r="G531">
        <f t="shared" ca="1" si="40"/>
        <v>0.96177176532839537</v>
      </c>
      <c r="H531">
        <f t="shared" ca="1" si="44"/>
        <v>2.8054424583145861</v>
      </c>
    </row>
    <row r="532" spans="1:8" x14ac:dyDescent="0.25">
      <c r="A532" s="5">
        <v>40948</v>
      </c>
      <c r="B532">
        <v>304.58884030000002</v>
      </c>
      <c r="C532" s="6">
        <v>-2.6399202420821365E-3</v>
      </c>
      <c r="D532" s="6">
        <f t="shared" ca="1" si="42"/>
        <v>-6.4575823224907805E-3</v>
      </c>
      <c r="E532" s="6">
        <f t="shared" ca="1" si="43"/>
        <v>-3.817662080408644E-3</v>
      </c>
      <c r="F532">
        <f t="shared" ca="1" si="41"/>
        <v>1.6773247646368821E-2</v>
      </c>
      <c r="G532">
        <f t="shared" ca="1" si="40"/>
        <v>-0.48730306552264885</v>
      </c>
      <c r="H532">
        <f t="shared" ca="1" si="44"/>
        <v>2.8073986105770676</v>
      </c>
    </row>
    <row r="533" spans="1:8" x14ac:dyDescent="0.25">
      <c r="A533" s="1">
        <v>40949</v>
      </c>
      <c r="B533">
        <v>301.82421770000002</v>
      </c>
      <c r="C533" s="6">
        <v>9.0765721990241788E-3</v>
      </c>
      <c r="D533" s="6">
        <f t="shared" ca="1" si="42"/>
        <v>1.0724981285507081E-3</v>
      </c>
      <c r="E533" s="6">
        <f t="shared" ca="1" si="43"/>
        <v>-8.0040740704734707E-3</v>
      </c>
      <c r="F533">
        <f t="shared" ca="1" si="41"/>
        <v>1.1060768392566499E-2</v>
      </c>
      <c r="G533">
        <f t="shared" ca="1" si="40"/>
        <v>0.30374268754615047</v>
      </c>
      <c r="H533">
        <f t="shared" ca="1" si="44"/>
        <v>2.7651355559464235</v>
      </c>
    </row>
    <row r="534" spans="1:8" x14ac:dyDescent="0.25">
      <c r="A534" s="5">
        <v>40952</v>
      </c>
      <c r="B534">
        <v>304.95746259999999</v>
      </c>
      <c r="C534" s="6">
        <v>-1.0381025498471674E-2</v>
      </c>
      <c r="D534" s="6">
        <f t="shared" ca="1" si="42"/>
        <v>1.7207115407406701E-3</v>
      </c>
      <c r="E534" s="6">
        <f t="shared" ca="1" si="43"/>
        <v>1.2101737039212345E-2</v>
      </c>
      <c r="F534">
        <f t="shared" ca="1" si="41"/>
        <v>8.7121203516800291E-3</v>
      </c>
      <c r="G534">
        <f t="shared" ca="1" si="40"/>
        <v>0.33401693576688224</v>
      </c>
      <c r="H534">
        <f t="shared" ca="1" si="44"/>
        <v>2.6856508480041028</v>
      </c>
    </row>
    <row r="535" spans="1:8" x14ac:dyDescent="0.25">
      <c r="A535" s="1">
        <v>40953</v>
      </c>
      <c r="B535">
        <v>303.74203679999999</v>
      </c>
      <c r="C535" s="6">
        <v>3.9855584763774576E-3</v>
      </c>
      <c r="D535" s="6">
        <f t="shared" ca="1" si="42"/>
        <v>-7.9908862753616788E-3</v>
      </c>
      <c r="E535" s="6">
        <f t="shared" ca="1" si="43"/>
        <v>-1.1976444751739136E-2</v>
      </c>
      <c r="F535">
        <f t="shared" ca="1" si="41"/>
        <v>8.8198023187713269E-3</v>
      </c>
      <c r="G535">
        <f t="shared" ca="1" si="40"/>
        <v>-1.3696709473737532</v>
      </c>
      <c r="H535">
        <f t="shared" ca="1" si="44"/>
        <v>2.6964322656005617</v>
      </c>
    </row>
    <row r="536" spans="1:8" x14ac:dyDescent="0.25">
      <c r="A536" s="5">
        <v>40954</v>
      </c>
      <c r="B536">
        <v>301.64987020000001</v>
      </c>
      <c r="C536" s="6">
        <v>6.8879718528310884E-3</v>
      </c>
      <c r="D536" s="6">
        <f t="shared" ca="1" si="42"/>
        <v>-2.4573295237079119E-2</v>
      </c>
      <c r="E536" s="6">
        <f t="shared" ca="1" si="43"/>
        <v>-3.1461267089910205E-2</v>
      </c>
      <c r="F536">
        <f t="shared" ca="1" si="41"/>
        <v>2.2795778279225146E-2</v>
      </c>
      <c r="G536">
        <f t="shared" ca="1" si="40"/>
        <v>-0.87279837604628108</v>
      </c>
      <c r="H536">
        <f t="shared" ca="1" si="44"/>
        <v>1.9560892701646853</v>
      </c>
    </row>
    <row r="537" spans="1:8" x14ac:dyDescent="0.25">
      <c r="A537" s="1">
        <v>40955</v>
      </c>
      <c r="B537">
        <v>302.12808180000002</v>
      </c>
      <c r="C537" s="6">
        <v>-1.5853200920754407E-3</v>
      </c>
      <c r="D537" s="6">
        <f t="shared" ca="1" si="42"/>
        <v>-2.035611796556315E-2</v>
      </c>
      <c r="E537" s="6">
        <f t="shared" ca="1" si="43"/>
        <v>-1.8770797873487708E-2</v>
      </c>
      <c r="F537">
        <f t="shared" ca="1" si="41"/>
        <v>1.6392789319662138E-2</v>
      </c>
      <c r="G537">
        <f t="shared" ca="1" si="40"/>
        <v>-1.3513229767849688</v>
      </c>
      <c r="H537">
        <f t="shared" ca="1" si="44"/>
        <v>2.5143657047228278</v>
      </c>
    </row>
    <row r="538" spans="1:8" x14ac:dyDescent="0.25">
      <c r="A538" s="5">
        <v>40956</v>
      </c>
      <c r="B538">
        <v>301.19158700000003</v>
      </c>
      <c r="C538" s="6">
        <v>3.0996615555250622E-3</v>
      </c>
      <c r="D538" s="6">
        <f t="shared" ca="1" si="42"/>
        <v>1.3692779986399456E-3</v>
      </c>
      <c r="E538" s="6">
        <f t="shared" ca="1" si="43"/>
        <v>-1.7303835568851166E-3</v>
      </c>
      <c r="F538">
        <f t="shared" ca="1" si="41"/>
        <v>2.2787291890776998E-2</v>
      </c>
      <c r="G538">
        <f t="shared" ca="1" si="40"/>
        <v>-7.6100274934313095E-2</v>
      </c>
      <c r="H538">
        <f t="shared" ca="1" si="44"/>
        <v>2.8169142255113462</v>
      </c>
    </row>
    <row r="539" spans="1:8" x14ac:dyDescent="0.25">
      <c r="A539" s="1">
        <v>40960</v>
      </c>
      <c r="B539">
        <v>305.8541012</v>
      </c>
      <c r="C539" s="6">
        <v>-1.5480227208338243E-2</v>
      </c>
      <c r="D539" s="6">
        <f t="shared" ca="1" si="42"/>
        <v>-4.3288745562044531E-3</v>
      </c>
      <c r="E539" s="6">
        <f t="shared" ca="1" si="43"/>
        <v>1.1151352652133791E-2</v>
      </c>
      <c r="F539">
        <f t="shared" ca="1" si="41"/>
        <v>8.9124738788350314E-3</v>
      </c>
      <c r="G539">
        <f t="shared" ca="1" si="40"/>
        <v>-0.40557189120181414</v>
      </c>
      <c r="H539">
        <f t="shared" ca="1" si="44"/>
        <v>2.7054736568476287</v>
      </c>
    </row>
    <row r="540" spans="1:8" x14ac:dyDescent="0.25">
      <c r="A540" s="5">
        <v>40961</v>
      </c>
      <c r="B540">
        <v>302.835419</v>
      </c>
      <c r="C540" s="6">
        <v>9.8696803088674772E-3</v>
      </c>
      <c r="D540" s="6">
        <f t="shared" ca="1" si="42"/>
        <v>1.4900918872516282E-2</v>
      </c>
      <c r="E540" s="6">
        <f t="shared" ca="1" si="43"/>
        <v>5.0312385636488051E-3</v>
      </c>
      <c r="F540">
        <f t="shared" ca="1" si="41"/>
        <v>9.5531227645550137E-3</v>
      </c>
      <c r="G540">
        <f t="shared" ca="1" si="40"/>
        <v>1.413632096475808</v>
      </c>
      <c r="H540">
        <f t="shared" ca="1" si="44"/>
        <v>2.7949379396047891</v>
      </c>
    </row>
    <row r="541" spans="1:8" x14ac:dyDescent="0.25">
      <c r="A541" s="1">
        <v>40962</v>
      </c>
      <c r="B541">
        <v>301.92382689999999</v>
      </c>
      <c r="C541" s="6">
        <v>3.0101898351592984E-3</v>
      </c>
      <c r="D541" s="6">
        <f t="shared" ca="1" si="42"/>
        <v>1.1861328089062793E-2</v>
      </c>
      <c r="E541" s="6">
        <f t="shared" ca="1" si="43"/>
        <v>8.8511382539034934E-3</v>
      </c>
      <c r="F541">
        <f t="shared" ca="1" si="41"/>
        <v>2.3476270169755512E-2</v>
      </c>
      <c r="G541">
        <f t="shared" ca="1" si="40"/>
        <v>0.80233734857815542</v>
      </c>
      <c r="H541">
        <f t="shared" ca="1" si="44"/>
        <v>2.7468523843248831</v>
      </c>
    </row>
    <row r="542" spans="1:8" x14ac:dyDescent="0.25">
      <c r="A542" s="5">
        <v>40963</v>
      </c>
      <c r="B542">
        <v>303.8117699</v>
      </c>
      <c r="C542" s="6">
        <v>-6.2530440852729104E-3</v>
      </c>
      <c r="D542" s="6">
        <f t="shared" ca="1" si="42"/>
        <v>-8.5068893481971691E-3</v>
      </c>
      <c r="E542" s="6">
        <f t="shared" ca="1" si="43"/>
        <v>-2.2538452629242587E-3</v>
      </c>
      <c r="F542">
        <f t="shared" ca="1" si="41"/>
        <v>1.5529676459949066E-2</v>
      </c>
      <c r="G542">
        <f t="shared" ca="1" si="40"/>
        <v>-0.83413147455473702</v>
      </c>
      <c r="H542">
        <f t="shared" ca="1" si="44"/>
        <v>2.815250235505427</v>
      </c>
    </row>
    <row r="543" spans="1:8" x14ac:dyDescent="0.25">
      <c r="A543" s="1">
        <v>40966</v>
      </c>
      <c r="B543">
        <v>303.51785460000002</v>
      </c>
      <c r="C543" s="6">
        <v>9.6742565337979867E-4</v>
      </c>
      <c r="D543" s="6">
        <f t="shared" ca="1" si="42"/>
        <v>2.0066969644290882E-2</v>
      </c>
      <c r="E543" s="6">
        <f t="shared" ca="1" si="43"/>
        <v>1.9099543990911082E-2</v>
      </c>
      <c r="F543">
        <f t="shared" ca="1" si="41"/>
        <v>1.5314501879302403E-2</v>
      </c>
      <c r="G543">
        <f t="shared" ca="1" si="40"/>
        <v>1.2217707997321192</v>
      </c>
      <c r="H543">
        <f t="shared" ca="1" si="44"/>
        <v>2.4906091916053428</v>
      </c>
    </row>
    <row r="544" spans="1:8" x14ac:dyDescent="0.25">
      <c r="A544" s="5">
        <v>40967</v>
      </c>
      <c r="B544">
        <v>308.04090309999998</v>
      </c>
      <c r="C544" s="6">
        <v>-1.4902083786671436E-2</v>
      </c>
      <c r="D544" s="6">
        <f t="shared" ca="1" si="42"/>
        <v>-2.9585967243263945E-2</v>
      </c>
      <c r="E544" s="6">
        <f t="shared" ca="1" si="43"/>
        <v>-1.4683883456592509E-2</v>
      </c>
      <c r="F544">
        <f t="shared" ca="1" si="41"/>
        <v>2.0823907269141666E-2</v>
      </c>
      <c r="G544">
        <f t="shared" ca="1" si="40"/>
        <v>-1.2854759004152039</v>
      </c>
      <c r="H544">
        <f t="shared" ca="1" si="44"/>
        <v>2.633646461912464</v>
      </c>
    </row>
    <row r="545" spans="1:8" x14ac:dyDescent="0.25">
      <c r="A545" s="1">
        <v>40968</v>
      </c>
      <c r="B545">
        <v>307.97116990000001</v>
      </c>
      <c r="C545" s="6">
        <v>2.2637643020198409E-4</v>
      </c>
      <c r="D545" s="6">
        <f t="shared" ca="1" si="42"/>
        <v>2.4542541901560883E-2</v>
      </c>
      <c r="E545" s="6">
        <f t="shared" ca="1" si="43"/>
        <v>2.4316165471358897E-2</v>
      </c>
      <c r="F545">
        <f t="shared" ca="1" si="41"/>
        <v>2.2051158520240883E-2</v>
      </c>
      <c r="G545">
        <f t="shared" ca="1" si="40"/>
        <v>1.0932263740793253</v>
      </c>
      <c r="H545">
        <f t="shared" ca="1" si="44"/>
        <v>2.2889822754831894</v>
      </c>
    </row>
    <row r="546" spans="1:8" x14ac:dyDescent="0.25">
      <c r="A546" s="5">
        <v>40969</v>
      </c>
      <c r="B546">
        <v>310.03843430000001</v>
      </c>
      <c r="C546" s="6">
        <v>-6.7125257233371927E-3</v>
      </c>
      <c r="D546" s="6">
        <f t="shared" ca="1" si="42"/>
        <v>-2.6750950001762239E-2</v>
      </c>
      <c r="E546" s="6">
        <f t="shared" ca="1" si="43"/>
        <v>-2.0038424278425046E-2</v>
      </c>
      <c r="F546">
        <f t="shared" ca="1" si="41"/>
        <v>1.9367546793643418E-2</v>
      </c>
      <c r="G546">
        <f t="shared" ca="1" si="40"/>
        <v>-1.0345510947647021</v>
      </c>
      <c r="H546">
        <f t="shared" ca="1" si="44"/>
        <v>2.4713788279800313</v>
      </c>
    </row>
    <row r="547" spans="1:8" x14ac:dyDescent="0.25">
      <c r="A547" s="1">
        <v>40970</v>
      </c>
      <c r="B547">
        <v>309.46558800000003</v>
      </c>
      <c r="C547" s="6">
        <v>1.8476622141811035E-3</v>
      </c>
      <c r="D547" s="6">
        <f t="shared" ca="1" si="42"/>
        <v>-1.6519362465091847E-3</v>
      </c>
      <c r="E547" s="6">
        <f t="shared" ca="1" si="43"/>
        <v>-3.4995984606902885E-3</v>
      </c>
      <c r="F547">
        <f t="shared" ca="1" si="41"/>
        <v>1.8351952817195032E-2</v>
      </c>
      <c r="G547">
        <f t="shared" ca="1" si="40"/>
        <v>-9.556588877171858E-2</v>
      </c>
      <c r="H547">
        <f t="shared" ca="1" si="44"/>
        <v>2.8093452126330476</v>
      </c>
    </row>
    <row r="548" spans="1:8" x14ac:dyDescent="0.25">
      <c r="A548" s="5">
        <v>40973</v>
      </c>
      <c r="B548">
        <v>305.97864340000001</v>
      </c>
      <c r="C548" s="6">
        <v>1.1267632768267647E-2</v>
      </c>
      <c r="D548" s="6">
        <f t="shared" ca="1" si="42"/>
        <v>8.0101538439178964E-3</v>
      </c>
      <c r="E548" s="6">
        <f t="shared" ca="1" si="43"/>
        <v>-3.2574789243497507E-3</v>
      </c>
      <c r="F548">
        <f t="shared" ca="1" si="41"/>
        <v>8.2881705556425832E-3</v>
      </c>
      <c r="G548">
        <f t="shared" ca="1" si="40"/>
        <v>1.3313551089229676</v>
      </c>
      <c r="H548">
        <f t="shared" ca="1" si="44"/>
        <v>2.8107073318930453</v>
      </c>
    </row>
    <row r="549" spans="1:8" x14ac:dyDescent="0.25">
      <c r="A549" s="1">
        <v>40974</v>
      </c>
      <c r="B549">
        <v>301.35098049999999</v>
      </c>
      <c r="C549" s="6">
        <v>1.5124136928571069E-2</v>
      </c>
      <c r="D549" s="6">
        <f t="shared" ca="1" si="42"/>
        <v>-2.5152218388384945E-3</v>
      </c>
      <c r="E549" s="6">
        <f t="shared" ca="1" si="43"/>
        <v>-1.7639358767409564E-2</v>
      </c>
      <c r="F549">
        <f t="shared" ca="1" si="41"/>
        <v>2.2207217562544009E-2</v>
      </c>
      <c r="G549">
        <f t="shared" ca="1" si="40"/>
        <v>-0.15075662717414756</v>
      </c>
      <c r="H549">
        <f t="shared" ca="1" si="44"/>
        <v>2.5503388800923155</v>
      </c>
    </row>
    <row r="550" spans="1:8" x14ac:dyDescent="0.25">
      <c r="A550" s="5">
        <v>40975</v>
      </c>
      <c r="B550">
        <v>302.26754699999998</v>
      </c>
      <c r="C550" s="6">
        <v>-3.0415248640612525E-3</v>
      </c>
      <c r="D550" s="6">
        <f t="shared" ca="1" si="42"/>
        <v>-1.8400935836507511E-3</v>
      </c>
      <c r="E550" s="6">
        <f t="shared" ca="1" si="43"/>
        <v>1.2014312804105014E-3</v>
      </c>
      <c r="F550">
        <f t="shared" ca="1" si="41"/>
        <v>9.0563030945435361E-3</v>
      </c>
      <c r="G550">
        <f t="shared" ca="1" si="40"/>
        <v>-0.7637833698627251</v>
      </c>
      <c r="H550">
        <f t="shared" ca="1" si="44"/>
        <v>2.8172941687021931</v>
      </c>
    </row>
    <row r="551" spans="1:8" x14ac:dyDescent="0.25">
      <c r="A551" s="1">
        <v>40976</v>
      </c>
      <c r="B551">
        <v>302.43692019999997</v>
      </c>
      <c r="C551" s="6">
        <v>-5.6034199397527601E-4</v>
      </c>
      <c r="D551" s="6">
        <f t="shared" ca="1" si="42"/>
        <v>2.3201329779344075E-2</v>
      </c>
      <c r="E551" s="6">
        <f t="shared" ca="1" si="43"/>
        <v>2.3761671773319351E-2</v>
      </c>
      <c r="F551">
        <f t="shared" ca="1" si="41"/>
        <v>1.4010532801327278E-2</v>
      </c>
      <c r="G551">
        <f t="shared" ca="1" si="40"/>
        <v>1.1696268609941274</v>
      </c>
      <c r="H551">
        <f t="shared" ca="1" si="44"/>
        <v>2.3126952619110304</v>
      </c>
    </row>
    <row r="552" spans="1:8" x14ac:dyDescent="0.25">
      <c r="A552" s="5">
        <v>40977</v>
      </c>
      <c r="B552">
        <v>299.00478520000001</v>
      </c>
      <c r="C552" s="6">
        <v>1.134826726092273E-2</v>
      </c>
      <c r="D552" s="6">
        <f t="shared" ca="1" si="42"/>
        <v>1.7553260754852508E-2</v>
      </c>
      <c r="E552" s="6">
        <f t="shared" ca="1" si="43"/>
        <v>6.2049934939297779E-3</v>
      </c>
      <c r="F552">
        <f t="shared" ca="1" si="41"/>
        <v>1.9999763859211882E-2</v>
      </c>
      <c r="G552">
        <f t="shared" ca="1" si="40"/>
        <v>0.94619367702721269</v>
      </c>
      <c r="H552">
        <f t="shared" ca="1" si="44"/>
        <v>2.7829034394711067</v>
      </c>
    </row>
    <row r="553" spans="1:8" x14ac:dyDescent="0.25">
      <c r="A553" s="1">
        <v>40980</v>
      </c>
      <c r="B553">
        <v>301.44561579999998</v>
      </c>
      <c r="C553" s="6">
        <v>-8.1631823997978265E-3</v>
      </c>
      <c r="D553" s="6">
        <f t="shared" ca="1" si="42"/>
        <v>4.2526980871625833E-2</v>
      </c>
      <c r="E553" s="6">
        <f t="shared" ca="1" si="43"/>
        <v>5.0690163271423658E-2</v>
      </c>
      <c r="F553">
        <f t="shared" ca="1" si="41"/>
        <v>1.7162664543343222E-2</v>
      </c>
      <c r="G553">
        <f t="shared" ca="1" si="40"/>
        <v>2.4925767799693417</v>
      </c>
      <c r="H553">
        <f t="shared" ca="1" si="44"/>
        <v>0.53434463210862937</v>
      </c>
    </row>
    <row r="554" spans="1:8" x14ac:dyDescent="0.25">
      <c r="A554" s="5">
        <v>40981</v>
      </c>
      <c r="B554">
        <v>307.7370694</v>
      </c>
      <c r="C554" s="6">
        <v>-2.0870940794090697E-2</v>
      </c>
      <c r="D554" s="6">
        <f t="shared" ca="1" si="42"/>
        <v>6.32167202690158E-2</v>
      </c>
      <c r="E554" s="6">
        <f t="shared" ca="1" si="43"/>
        <v>8.40876610631065E-2</v>
      </c>
      <c r="F554">
        <f t="shared" ca="1" si="41"/>
        <v>4.0239094086915062E-2</v>
      </c>
      <c r="G554">
        <f t="shared" ca="1" si="40"/>
        <v>1.4439642900518559</v>
      </c>
      <c r="H554">
        <f t="shared" ca="1" si="44"/>
        <v>-3.449190485391965</v>
      </c>
    </row>
    <row r="555" spans="1:8" x14ac:dyDescent="0.25">
      <c r="A555" s="1">
        <v>40982</v>
      </c>
      <c r="B555">
        <v>306.84540509999999</v>
      </c>
      <c r="C555" s="6">
        <v>2.8974874614179393E-3</v>
      </c>
      <c r="D555" s="6">
        <f t="shared" ca="1" si="42"/>
        <v>-9.6017259306034122E-3</v>
      </c>
      <c r="E555" s="6">
        <f t="shared" ca="1" si="43"/>
        <v>-1.2499213392021351E-2</v>
      </c>
      <c r="F555">
        <f t="shared" ca="1" si="41"/>
        <v>2.5879748907412726E-2</v>
      </c>
      <c r="G555">
        <f t="shared" ca="1" si="40"/>
        <v>-0.22888175556385332</v>
      </c>
      <c r="H555">
        <f t="shared" ca="1" si="44"/>
        <v>2.6853170674092985</v>
      </c>
    </row>
    <row r="556" spans="1:8" x14ac:dyDescent="0.25">
      <c r="A556" s="5">
        <v>40983</v>
      </c>
      <c r="B556">
        <v>309.40580410000001</v>
      </c>
      <c r="C556" s="6">
        <v>-8.3442637805366243E-3</v>
      </c>
      <c r="D556" s="6">
        <f t="shared" ca="1" si="42"/>
        <v>1.0291141413810035E-3</v>
      </c>
      <c r="E556" s="6">
        <f t="shared" ca="1" si="43"/>
        <v>9.3733779219176278E-3</v>
      </c>
      <c r="F556">
        <f t="shared" ca="1" si="41"/>
        <v>1.0032196972197451E-2</v>
      </c>
      <c r="G556">
        <f t="shared" ca="1" si="40"/>
        <v>1.0399131011966121</v>
      </c>
      <c r="H556">
        <f t="shared" ca="1" si="44"/>
        <v>2.7382771879917907</v>
      </c>
    </row>
    <row r="557" spans="1:8" x14ac:dyDescent="0.25">
      <c r="A557" s="1">
        <v>40984</v>
      </c>
      <c r="B557">
        <v>311.35350010000002</v>
      </c>
      <c r="C557" s="6">
        <v>-6.29495624901242E-3</v>
      </c>
      <c r="D557" s="6">
        <f t="shared" ca="1" si="42"/>
        <v>-1.7695944405614214E-2</v>
      </c>
      <c r="E557" s="6">
        <f t="shared" ca="1" si="43"/>
        <v>-1.1400988156601795E-2</v>
      </c>
      <c r="F557">
        <f t="shared" ca="1" si="41"/>
        <v>1.7949050823130839E-2</v>
      </c>
      <c r="G557">
        <f t="shared" ca="1" si="40"/>
        <v>-1.0586236343551458</v>
      </c>
      <c r="H557">
        <f t="shared" ca="1" si="44"/>
        <v>2.7081100112993428</v>
      </c>
    </row>
    <row r="558" spans="1:8" x14ac:dyDescent="0.25">
      <c r="A558" s="5">
        <v>40987</v>
      </c>
      <c r="B558">
        <v>315.80681600000003</v>
      </c>
      <c r="C558" s="6">
        <v>-1.430308603747733E-2</v>
      </c>
      <c r="D558" s="6">
        <f t="shared" ca="1" si="42"/>
        <v>6.5680839174229186E-4</v>
      </c>
      <c r="E558" s="6">
        <f t="shared" ca="1" si="43"/>
        <v>1.4959894429219621E-2</v>
      </c>
      <c r="F558">
        <f t="shared" ca="1" si="41"/>
        <v>1.8602454026787278E-2</v>
      </c>
      <c r="G558">
        <f t="shared" ca="1" si="40"/>
        <v>0.23741374763565209</v>
      </c>
      <c r="H558">
        <f t="shared" ca="1" si="44"/>
        <v>2.6164301292256744</v>
      </c>
    </row>
    <row r="559" spans="1:8" x14ac:dyDescent="0.25">
      <c r="A559" s="1">
        <v>40988</v>
      </c>
      <c r="B559">
        <v>315.56273590000001</v>
      </c>
      <c r="C559" s="6">
        <v>7.7287787227498981E-4</v>
      </c>
      <c r="D559" s="6">
        <f t="shared" ca="1" si="42"/>
        <v>-7.9242399333013091E-3</v>
      </c>
      <c r="E559" s="6">
        <f t="shared" ca="1" si="43"/>
        <v>-8.6971178055762991E-3</v>
      </c>
      <c r="F559">
        <f t="shared" ca="1" si="41"/>
        <v>9.0058877360696156E-3</v>
      </c>
      <c r="G559">
        <f t="shared" ca="1" si="40"/>
        <v>-0.56493789170010256</v>
      </c>
      <c r="H559">
        <f t="shared" ca="1" si="44"/>
        <v>2.7551548018411105</v>
      </c>
    </row>
    <row r="560" spans="1:8" x14ac:dyDescent="0.25">
      <c r="A560" s="5">
        <v>40989</v>
      </c>
      <c r="B560">
        <v>318.79562120000003</v>
      </c>
      <c r="C560" s="6">
        <v>-1.0244825932249818E-2</v>
      </c>
      <c r="D560" s="6">
        <f t="shared" ca="1" si="42"/>
        <v>-8.4809395195711273E-3</v>
      </c>
      <c r="E560" s="6">
        <f t="shared" ca="1" si="43"/>
        <v>1.7638864126786908E-3</v>
      </c>
      <c r="F560">
        <f t="shared" ca="1" si="41"/>
        <v>1.1405709833596756E-2</v>
      </c>
      <c r="G560">
        <f t="shared" ca="1" si="40"/>
        <v>-0.17855950290823883</v>
      </c>
      <c r="H560">
        <f t="shared" ca="1" si="44"/>
        <v>2.8156326516620807</v>
      </c>
    </row>
    <row r="561" spans="1:8" x14ac:dyDescent="0.25">
      <c r="A561" s="1">
        <v>40990</v>
      </c>
      <c r="B561">
        <v>321.81930770000002</v>
      </c>
      <c r="C561" s="6">
        <v>-9.4847177907222656E-3</v>
      </c>
      <c r="D561" s="6">
        <f t="shared" ca="1" si="42"/>
        <v>-9.0232678428616778E-3</v>
      </c>
      <c r="E561" s="6">
        <f t="shared" ca="1" si="43"/>
        <v>4.6144994786058782E-4</v>
      </c>
      <c r="F561">
        <f t="shared" ca="1" si="41"/>
        <v>7.8279642657491568E-3</v>
      </c>
      <c r="G561">
        <f t="shared" ca="1" si="40"/>
        <v>-1.1971597646058438</v>
      </c>
      <c r="H561">
        <f t="shared" ca="1" si="44"/>
        <v>2.8186295867677282</v>
      </c>
    </row>
    <row r="562" spans="1:8" x14ac:dyDescent="0.25">
      <c r="A562" s="5">
        <v>40991</v>
      </c>
      <c r="B562">
        <v>320.09576349999998</v>
      </c>
      <c r="C562" s="6">
        <v>5.3556270825327141E-3</v>
      </c>
      <c r="D562" s="6">
        <f t="shared" ca="1" si="42"/>
        <v>-4.2146969958990668E-3</v>
      </c>
      <c r="E562" s="6">
        <f t="shared" ca="1" si="43"/>
        <v>-9.57032407843178E-3</v>
      </c>
      <c r="F562">
        <f t="shared" ca="1" si="41"/>
        <v>2.0192571299863515E-2</v>
      </c>
      <c r="G562">
        <f t="shared" ca="1" si="40"/>
        <v>1.9875484312555636E-2</v>
      </c>
      <c r="H562">
        <f t="shared" ca="1" si="44"/>
        <v>2.7413725296118705</v>
      </c>
    </row>
    <row r="563" spans="1:8" x14ac:dyDescent="0.25">
      <c r="A563" s="1">
        <v>40994</v>
      </c>
      <c r="B563">
        <v>323.45316059999999</v>
      </c>
      <c r="C563" s="6">
        <v>-1.0488727071203536E-2</v>
      </c>
      <c r="D563" s="6">
        <f t="shared" ca="1" si="42"/>
        <v>6.9556832139818425E-3</v>
      </c>
      <c r="E563" s="6">
        <f t="shared" ca="1" si="43"/>
        <v>1.7444410285185379E-2</v>
      </c>
      <c r="F563">
        <f t="shared" ca="1" si="41"/>
        <v>8.4265494959271537E-3</v>
      </c>
      <c r="G563">
        <f t="shared" ca="1" si="40"/>
        <v>1.3325738950353014</v>
      </c>
      <c r="H563">
        <f t="shared" ca="1" si="44"/>
        <v>2.5445444523139682</v>
      </c>
    </row>
    <row r="564" spans="1:8" x14ac:dyDescent="0.25">
      <c r="A564" s="5">
        <v>40995</v>
      </c>
      <c r="B564">
        <v>322.30249359999999</v>
      </c>
      <c r="C564" s="6">
        <v>3.5574455289462351E-3</v>
      </c>
      <c r="D564" s="6">
        <f t="shared" ca="1" si="42"/>
        <v>3.0104465633297495E-2</v>
      </c>
      <c r="E564" s="6">
        <f t="shared" ca="1" si="43"/>
        <v>2.6547020104351261E-2</v>
      </c>
      <c r="F564">
        <f t="shared" ca="1" si="41"/>
        <v>2.2228812138244736E-2</v>
      </c>
      <c r="G564">
        <f t="shared" ca="1" si="40"/>
        <v>1.2457536687242403</v>
      </c>
      <c r="H564">
        <f t="shared" ca="1" si="44"/>
        <v>2.188096025522801</v>
      </c>
    </row>
    <row r="565" spans="1:8" x14ac:dyDescent="0.25">
      <c r="A565" s="1">
        <v>40996</v>
      </c>
      <c r="B565">
        <v>326.65616949999998</v>
      </c>
      <c r="C565" s="6">
        <v>-1.3508042867962424E-2</v>
      </c>
      <c r="D565" s="6">
        <f t="shared" ca="1" si="42"/>
        <v>-4.0435522227164856E-3</v>
      </c>
      <c r="E565" s="6">
        <f t="shared" ca="1" si="43"/>
        <v>9.464490645245939E-3</v>
      </c>
      <c r="F565">
        <f t="shared" ca="1" si="41"/>
        <v>2.1561958573663064E-2</v>
      </c>
      <c r="G565">
        <f t="shared" ca="1" si="40"/>
        <v>3.1637085277587483E-2</v>
      </c>
      <c r="H565">
        <f t="shared" ca="1" si="44"/>
        <v>2.7367317965028541</v>
      </c>
    </row>
    <row r="566" spans="1:8" x14ac:dyDescent="0.25">
      <c r="A566" s="5">
        <v>40997</v>
      </c>
      <c r="B566">
        <v>322.99487740000001</v>
      </c>
      <c r="C566" s="6">
        <v>1.1208397213510976E-2</v>
      </c>
      <c r="D566" s="6">
        <f t="shared" ca="1" si="42"/>
        <v>2.7806006821922734E-3</v>
      </c>
      <c r="E566" s="6">
        <f t="shared" ca="1" si="43"/>
        <v>-8.4277965313187021E-3</v>
      </c>
      <c r="F566">
        <f t="shared" ca="1" si="41"/>
        <v>8.647866375508859E-3</v>
      </c>
      <c r="G566">
        <f t="shared" ca="1" si="40"/>
        <v>0.13621769345219006</v>
      </c>
      <c r="H566">
        <f t="shared" ca="1" si="44"/>
        <v>2.7591340942159981</v>
      </c>
    </row>
    <row r="567" spans="1:8" x14ac:dyDescent="0.25">
      <c r="A567" s="1">
        <v>40998</v>
      </c>
      <c r="B567">
        <v>319.42327710000001</v>
      </c>
      <c r="C567" s="6">
        <v>1.1057761438045642E-2</v>
      </c>
      <c r="D567" s="6">
        <f t="shared" ca="1" si="42"/>
        <v>-5.5093012773409968E-3</v>
      </c>
      <c r="E567" s="6">
        <f t="shared" ca="1" si="43"/>
        <v>-1.6567062715386639E-2</v>
      </c>
      <c r="F567">
        <f t="shared" ca="1" si="41"/>
        <v>7.3777960451858584E-3</v>
      </c>
      <c r="G567">
        <f t="shared" ca="1" si="40"/>
        <v>7.8160949686877396E-2</v>
      </c>
      <c r="H567">
        <f t="shared" ca="1" si="44"/>
        <v>2.5823462914780086</v>
      </c>
    </row>
    <row r="568" spans="1:8" x14ac:dyDescent="0.25">
      <c r="A568" s="5">
        <v>41001</v>
      </c>
      <c r="B568">
        <v>322.25265839999997</v>
      </c>
      <c r="C568" s="6">
        <v>-8.8577805778199056E-3</v>
      </c>
      <c r="D568" s="6">
        <f t="shared" ca="1" si="42"/>
        <v>-9.4410287696222416E-3</v>
      </c>
      <c r="E568" s="6">
        <f t="shared" ca="1" si="43"/>
        <v>-5.8324819180233592E-4</v>
      </c>
      <c r="F568">
        <f t="shared" ca="1" si="41"/>
        <v>7.0728159754912395E-3</v>
      </c>
      <c r="G568">
        <f t="shared" ca="1" si="40"/>
        <v>-2.0488632364652495</v>
      </c>
      <c r="H568">
        <f t="shared" ca="1" si="44"/>
        <v>2.8188695682332021</v>
      </c>
    </row>
    <row r="569" spans="1:8" x14ac:dyDescent="0.25">
      <c r="A569" s="1">
        <v>41002</v>
      </c>
      <c r="B569">
        <v>320.11068710000001</v>
      </c>
      <c r="C569" s="6">
        <v>6.6468692939104278E-3</v>
      </c>
      <c r="D569" s="6">
        <f t="shared" ca="1" si="42"/>
        <v>-5.7154688268106491E-3</v>
      </c>
      <c r="E569" s="6">
        <f t="shared" ca="1" si="43"/>
        <v>-1.2362338120721076E-2</v>
      </c>
      <c r="F569">
        <f t="shared" ca="1" si="41"/>
        <v>3.315384071184295E-2</v>
      </c>
      <c r="G569">
        <f t="shared" ca="1" si="40"/>
        <v>-0.32266165975631916</v>
      </c>
      <c r="H569">
        <f t="shared" ca="1" si="44"/>
        <v>2.6882739454930995</v>
      </c>
    </row>
    <row r="570" spans="1:8" x14ac:dyDescent="0.25">
      <c r="A570" s="5">
        <v>41003</v>
      </c>
      <c r="B570">
        <v>316.38964149999998</v>
      </c>
      <c r="C570" s="6">
        <v>1.162424670575775E-2</v>
      </c>
      <c r="D570" s="6">
        <f t="shared" ca="1" si="42"/>
        <v>-8.4737446740587759E-3</v>
      </c>
      <c r="E570" s="6">
        <f t="shared" ca="1" si="43"/>
        <v>-2.0097991379816528E-2</v>
      </c>
      <c r="F570">
        <f t="shared" ca="1" si="41"/>
        <v>1.18673910777572E-2</v>
      </c>
      <c r="G570">
        <f t="shared" ca="1" si="40"/>
        <v>-0.37775111942509526</v>
      </c>
      <c r="H570">
        <f t="shared" ca="1" si="44"/>
        <v>2.4692890627262587</v>
      </c>
    </row>
    <row r="571" spans="1:8" x14ac:dyDescent="0.25">
      <c r="A571" s="1">
        <v>41004</v>
      </c>
      <c r="B571">
        <v>314.97991000000002</v>
      </c>
      <c r="C571" s="6">
        <v>4.4556815871608238E-3</v>
      </c>
      <c r="D571" s="6">
        <f t="shared" ca="1" si="42"/>
        <v>1.327133291945899E-2</v>
      </c>
      <c r="E571" s="6">
        <f t="shared" ca="1" si="43"/>
        <v>8.8156513322981654E-3</v>
      </c>
      <c r="F571">
        <f t="shared" ca="1" si="41"/>
        <v>9.4710805637184727E-3</v>
      </c>
      <c r="G571">
        <f t="shared" ca="1" si="40"/>
        <v>1.0850237837178522</v>
      </c>
      <c r="H571">
        <f t="shared" ca="1" si="44"/>
        <v>2.7474176148830733</v>
      </c>
    </row>
    <row r="572" spans="1:8" x14ac:dyDescent="0.25">
      <c r="A572" s="5">
        <v>41008</v>
      </c>
      <c r="B572">
        <v>314.24269570000001</v>
      </c>
      <c r="C572" s="6">
        <v>2.3405121298053742E-3</v>
      </c>
      <c r="D572" s="6">
        <f t="shared" ca="1" si="42"/>
        <v>2.5169774507299444E-2</v>
      </c>
      <c r="E572" s="6">
        <f t="shared" ca="1" si="43"/>
        <v>2.282926237749407E-2</v>
      </c>
      <c r="F572">
        <f t="shared" ca="1" si="41"/>
        <v>1.8586899249660185E-2</v>
      </c>
      <c r="G572">
        <f t="shared" ca="1" si="40"/>
        <v>1.0723852169721273</v>
      </c>
      <c r="H572">
        <f t="shared" ca="1" si="44"/>
        <v>2.3513463786217867</v>
      </c>
    </row>
    <row r="573" spans="1:8" x14ac:dyDescent="0.25">
      <c r="A573" s="1">
        <v>41009</v>
      </c>
      <c r="B573">
        <v>312.26011790000001</v>
      </c>
      <c r="C573" s="6">
        <v>6.3090656588967176E-3</v>
      </c>
      <c r="D573" s="6">
        <f t="shared" ca="1" si="42"/>
        <v>4.0238288881947913E-3</v>
      </c>
      <c r="E573" s="6">
        <f t="shared" ca="1" si="43"/>
        <v>-2.2852367707019263E-3</v>
      </c>
      <c r="F573">
        <f t="shared" ca="1" si="41"/>
        <v>1.8838037158427662E-2</v>
      </c>
      <c r="G573">
        <f t="shared" ca="1" si="40"/>
        <v>0.10703089571258337</v>
      </c>
      <c r="H573">
        <f t="shared" ca="1" si="44"/>
        <v>2.8151350767640304</v>
      </c>
    </row>
    <row r="574" spans="1:8" x14ac:dyDescent="0.25">
      <c r="A574" s="5">
        <v>41010</v>
      </c>
      <c r="B574">
        <v>316.79311510000002</v>
      </c>
      <c r="C574" s="6">
        <v>-1.4516734415157316E-2</v>
      </c>
      <c r="D574" s="6">
        <f t="shared" ca="1" si="42"/>
        <v>2.426358645025847E-3</v>
      </c>
      <c r="E574" s="6">
        <f t="shared" ca="1" si="43"/>
        <v>1.6943093060183163E-2</v>
      </c>
      <c r="F574">
        <f t="shared" ca="1" si="41"/>
        <v>8.3917855286997755E-3</v>
      </c>
      <c r="G574">
        <f t="shared" ca="1" si="40"/>
        <v>0.16345989056482299</v>
      </c>
      <c r="H574">
        <f t="shared" ca="1" si="44"/>
        <v>2.5599266773384137</v>
      </c>
    </row>
    <row r="575" spans="1:8" x14ac:dyDescent="0.25">
      <c r="A575" s="1">
        <v>41011</v>
      </c>
      <c r="B575">
        <v>324.29004579999997</v>
      </c>
      <c r="C575" s="6">
        <v>-2.3665068281655814E-2</v>
      </c>
      <c r="D575" s="6">
        <f t="shared" ca="1" si="42"/>
        <v>-1.9485992662251215E-4</v>
      </c>
      <c r="E575" s="6">
        <f t="shared" ca="1" si="43"/>
        <v>2.3470208355033301E-2</v>
      </c>
      <c r="F575">
        <f t="shared" ca="1" si="41"/>
        <v>7.4965963482927118E-3</v>
      </c>
      <c r="G575">
        <f t="shared" ca="1" si="40"/>
        <v>-0.40514559797586164</v>
      </c>
      <c r="H575">
        <f t="shared" ca="1" si="44"/>
        <v>2.3249421382134301</v>
      </c>
    </row>
    <row r="576" spans="1:8" x14ac:dyDescent="0.25">
      <c r="A576" s="5">
        <v>41012</v>
      </c>
      <c r="B576">
        <v>311.13432269999998</v>
      </c>
      <c r="C576" s="6">
        <v>4.0567767251522557E-2</v>
      </c>
      <c r="D576" s="6">
        <f t="shared" ca="1" si="42"/>
        <v>2.5678619137969117E-3</v>
      </c>
      <c r="E576" s="6">
        <f t="shared" ca="1" si="43"/>
        <v>-3.7999905337725647E-2</v>
      </c>
      <c r="F576">
        <f t="shared" ca="1" si="41"/>
        <v>9.4711033262357205E-3</v>
      </c>
      <c r="G576">
        <f t="shared" ca="1" si="40"/>
        <v>0.96175368669599137</v>
      </c>
      <c r="H576">
        <f t="shared" ca="1" si="44"/>
        <v>1.5574862627124535</v>
      </c>
    </row>
    <row r="577" spans="1:8" x14ac:dyDescent="0.25">
      <c r="A577" s="1">
        <v>41015</v>
      </c>
      <c r="B577">
        <v>301.90389909999999</v>
      </c>
      <c r="C577" s="6">
        <v>2.9667005298223227E-2</v>
      </c>
      <c r="D577" s="6">
        <f t="shared" ca="1" si="42"/>
        <v>-5.5952209411220706E-3</v>
      </c>
      <c r="E577" s="6">
        <f t="shared" ca="1" si="43"/>
        <v>-3.5262226239345301E-2</v>
      </c>
      <c r="F577">
        <f t="shared" ca="1" si="41"/>
        <v>1.6801964201041263E-2</v>
      </c>
      <c r="G577">
        <f t="shared" ca="1" si="40"/>
        <v>0.30154619399807475</v>
      </c>
      <c r="H577">
        <f t="shared" ca="1" si="44"/>
        <v>1.7335613272147072</v>
      </c>
    </row>
    <row r="578" spans="1:8" x14ac:dyDescent="0.25">
      <c r="A578" s="5">
        <v>41016</v>
      </c>
      <c r="B578">
        <v>303.64737109999999</v>
      </c>
      <c r="C578" s="6">
        <v>-5.7749237595056853E-3</v>
      </c>
      <c r="D578" s="6">
        <f t="shared" ca="1" si="42"/>
        <v>1.9129936404891225E-2</v>
      </c>
      <c r="E578" s="6">
        <f t="shared" ca="1" si="43"/>
        <v>2.490486016439691E-2</v>
      </c>
      <c r="F578">
        <f t="shared" ca="1" si="41"/>
        <v>9.25828336762082E-3</v>
      </c>
      <c r="G578">
        <f t="shared" ca="1" si="40"/>
        <v>9.1956282342057188E-2</v>
      </c>
      <c r="H578">
        <f t="shared" ca="1" si="44"/>
        <v>2.2632127777106539</v>
      </c>
    </row>
    <row r="579" spans="1:8" x14ac:dyDescent="0.25">
      <c r="A579" s="1">
        <v>41017</v>
      </c>
      <c r="B579">
        <v>302.59133939999998</v>
      </c>
      <c r="C579" s="6">
        <v>3.4778226341114055E-3</v>
      </c>
      <c r="D579" s="6">
        <f t="shared" ca="1" si="42"/>
        <v>1.5097154698758896E-2</v>
      </c>
      <c r="E579" s="6">
        <f t="shared" ca="1" si="43"/>
        <v>1.161933206464749E-2</v>
      </c>
      <c r="F579">
        <f t="shared" ca="1" si="41"/>
        <v>7.2523658414460858E-3</v>
      </c>
      <c r="G579">
        <f t="shared" ref="G579:G642" ca="1" si="45">_xlfn.NORM.INV(RAND(),0,1)</f>
        <v>0.23862221745174284</v>
      </c>
      <c r="H579">
        <f t="shared" ca="1" si="44"/>
        <v>2.6959119199414836</v>
      </c>
    </row>
    <row r="580" spans="1:8" x14ac:dyDescent="0.25">
      <c r="A580" s="5">
        <v>41018</v>
      </c>
      <c r="B580">
        <v>298.53154849999999</v>
      </c>
      <c r="C580" s="6">
        <v>1.3416745198491283E-2</v>
      </c>
      <c r="D580" s="6">
        <f t="shared" ca="1" si="42"/>
        <v>-1.3229626744048092E-2</v>
      </c>
      <c r="E580" s="6">
        <f t="shared" ca="1" si="43"/>
        <v>-2.6646371942539375E-2</v>
      </c>
      <c r="F580">
        <f t="shared" ref="F580:F643" ca="1" si="46">SQRT($K$6+$K$7*POWER($G579,2)+$K$8*POWER($F579,2))</f>
        <v>7.9141867992887673E-3</v>
      </c>
      <c r="G580">
        <f t="shared" ca="1" si="45"/>
        <v>-1.3428735844248876</v>
      </c>
      <c r="H580">
        <f t="shared" ca="1" si="44"/>
        <v>2.2013689620821344</v>
      </c>
    </row>
    <row r="581" spans="1:8" x14ac:dyDescent="0.25">
      <c r="A581" s="1">
        <v>41019</v>
      </c>
      <c r="B581">
        <v>296.91759300000001</v>
      </c>
      <c r="C581" s="6">
        <v>5.406314703117465E-3</v>
      </c>
      <c r="D581" s="6">
        <f t="shared" ref="D581:D644" ca="1" si="47">($K$10*$C580)+($K$11*$C579)+($F581*$G581)</f>
        <v>-2.2042301894780392E-2</v>
      </c>
      <c r="E581" s="6">
        <f t="shared" ca="1" si="43"/>
        <v>-2.7448616597897858E-2</v>
      </c>
      <c r="F581">
        <f t="shared" ca="1" si="46"/>
        <v>2.2371586897538296E-2</v>
      </c>
      <c r="G581">
        <f t="shared" ca="1" si="45"/>
        <v>-1.0553333115434307</v>
      </c>
      <c r="H581">
        <f t="shared" ca="1" si="44"/>
        <v>2.1633419589331511</v>
      </c>
    </row>
    <row r="582" spans="1:8" x14ac:dyDescent="0.25">
      <c r="A582" s="5">
        <v>41022</v>
      </c>
      <c r="B582">
        <v>297.68471460000001</v>
      </c>
      <c r="C582" s="6">
        <v>-2.5836178727206504E-3</v>
      </c>
      <c r="D582" s="6">
        <f t="shared" ca="1" si="47"/>
        <v>1.5223961139245026E-2</v>
      </c>
      <c r="E582" s="6">
        <f t="shared" ref="E582:E645" ca="1" si="48">$D582-$C582</f>
        <v>1.7807579011965675E-2</v>
      </c>
      <c r="F582">
        <f t="shared" ca="1" si="46"/>
        <v>1.8857938573112493E-2</v>
      </c>
      <c r="G582">
        <f t="shared" ca="1" si="45"/>
        <v>0.48673741577165508</v>
      </c>
      <c r="H582">
        <f t="shared" ref="H582:H645" ca="1" si="49">LN(_xlfn.NORM.DIST($E582,AVERAGE($E$5:$E$1763),_xlfn.STDEV.S($E$5:$E$1763),FALSE))</f>
        <v>2.5331240631328527</v>
      </c>
    </row>
    <row r="583" spans="1:8" x14ac:dyDescent="0.25">
      <c r="A583" s="1">
        <v>41023</v>
      </c>
      <c r="B583">
        <v>299.5128732</v>
      </c>
      <c r="C583" s="6">
        <v>-6.1412578823756463E-3</v>
      </c>
      <c r="D583" s="6">
        <f t="shared" ca="1" si="47"/>
        <v>-1.6623422999590975E-2</v>
      </c>
      <c r="E583" s="6">
        <f t="shared" ca="1" si="48"/>
        <v>-1.0482165117215329E-2</v>
      </c>
      <c r="F583">
        <f t="shared" ca="1" si="46"/>
        <v>1.1265643025690275E-2</v>
      </c>
      <c r="G583">
        <f t="shared" ca="1" si="45"/>
        <v>-1.6918015895164626</v>
      </c>
      <c r="H583">
        <f t="shared" ca="1" si="49"/>
        <v>2.7255440638181807</v>
      </c>
    </row>
    <row r="584" spans="1:8" x14ac:dyDescent="0.25">
      <c r="A584" s="5">
        <v>41024</v>
      </c>
      <c r="B584">
        <v>303.72210899999999</v>
      </c>
      <c r="C584" s="6">
        <v>-1.4053605626457553E-2</v>
      </c>
      <c r="D584" s="6">
        <f t="shared" ca="1" si="47"/>
        <v>-2.5448891114657965E-3</v>
      </c>
      <c r="E584" s="6">
        <f t="shared" ca="1" si="48"/>
        <v>1.1508716514991756E-2</v>
      </c>
      <c r="F584">
        <f t="shared" ca="1" si="46"/>
        <v>2.774283878378531E-2</v>
      </c>
      <c r="G584">
        <f t="shared" ca="1" si="45"/>
        <v>-4.9768541054808893E-2</v>
      </c>
      <c r="H584">
        <f t="shared" ca="1" si="49"/>
        <v>2.6982068970783311</v>
      </c>
    </row>
    <row r="585" spans="1:8" x14ac:dyDescent="0.25">
      <c r="A585" s="1">
        <v>41025</v>
      </c>
      <c r="B585">
        <v>306.58637149999998</v>
      </c>
      <c r="C585" s="6">
        <v>-9.4305367147308836E-3</v>
      </c>
      <c r="D585" s="6">
        <f t="shared" ca="1" si="47"/>
        <v>-1.0530279528192818E-2</v>
      </c>
      <c r="E585" s="6">
        <f t="shared" ca="1" si="48"/>
        <v>-1.099742813461934E-3</v>
      </c>
      <c r="F585">
        <f t="shared" ca="1" si="46"/>
        <v>9.7204509204591467E-3</v>
      </c>
      <c r="G585">
        <f t="shared" ca="1" si="45"/>
        <v>-0.79863175881908088</v>
      </c>
      <c r="H585">
        <f t="shared" ca="1" si="49"/>
        <v>2.8182766253140099</v>
      </c>
    </row>
    <row r="586" spans="1:8" x14ac:dyDescent="0.25">
      <c r="A586" s="5">
        <v>41026</v>
      </c>
      <c r="B586">
        <v>306.34229190000002</v>
      </c>
      <c r="C586" s="6">
        <v>7.9612018892354335E-4</v>
      </c>
      <c r="D586" s="6">
        <f t="shared" ca="1" si="47"/>
        <v>-1.8516223943166064E-2</v>
      </c>
      <c r="E586" s="6">
        <f t="shared" ca="1" si="48"/>
        <v>-1.9312344132089609E-2</v>
      </c>
      <c r="F586">
        <f t="shared" ca="1" si="46"/>
        <v>1.4516111755167172E-2</v>
      </c>
      <c r="G586">
        <f t="shared" ca="1" si="45"/>
        <v>-0.83935139504483403</v>
      </c>
      <c r="H586">
        <f t="shared" ca="1" si="49"/>
        <v>2.4963481575737543</v>
      </c>
    </row>
    <row r="587" spans="1:8" x14ac:dyDescent="0.25">
      <c r="A587" s="1">
        <v>41029</v>
      </c>
      <c r="B587">
        <v>301.29620139999997</v>
      </c>
      <c r="C587" s="6">
        <v>1.6472066160709061E-2</v>
      </c>
      <c r="D587" s="6">
        <f t="shared" ca="1" si="47"/>
        <v>-7.4736876665473222E-3</v>
      </c>
      <c r="E587" s="6">
        <f t="shared" ca="1" si="48"/>
        <v>-2.3945753827256382E-2</v>
      </c>
      <c r="F587">
        <f t="shared" ca="1" si="46"/>
        <v>1.532282950444935E-2</v>
      </c>
      <c r="G587">
        <f t="shared" ca="1" si="45"/>
        <v>-0.21045115953998553</v>
      </c>
      <c r="H587">
        <f t="shared" ca="1" si="49"/>
        <v>2.3210320979600776</v>
      </c>
    </row>
    <row r="588" spans="1:8" x14ac:dyDescent="0.25">
      <c r="A588" s="5">
        <v>41030</v>
      </c>
      <c r="B588">
        <v>301.08697260000002</v>
      </c>
      <c r="C588" s="6">
        <v>6.9442893414436687E-4</v>
      </c>
      <c r="D588" s="6">
        <f t="shared" ca="1" si="47"/>
        <v>1.3338941443572635E-3</v>
      </c>
      <c r="E588" s="6">
        <f t="shared" ca="1" si="48"/>
        <v>6.3946521021289665E-4</v>
      </c>
      <c r="F588">
        <f t="shared" ca="1" si="46"/>
        <v>8.4276169193487783E-3</v>
      </c>
      <c r="G588">
        <f t="shared" ca="1" si="45"/>
        <v>0.11568207543128735</v>
      </c>
      <c r="H588">
        <f t="shared" ca="1" si="49"/>
        <v>2.8183966113328545</v>
      </c>
    </row>
    <row r="589" spans="1:8" x14ac:dyDescent="0.25">
      <c r="A589" s="1">
        <v>41031</v>
      </c>
      <c r="B589">
        <v>302.49670409999999</v>
      </c>
      <c r="C589" s="6">
        <v>-4.6821404719918584E-3</v>
      </c>
      <c r="D589" s="6">
        <f t="shared" ca="1" si="47"/>
        <v>-1.4406515124422712E-3</v>
      </c>
      <c r="E589" s="6">
        <f t="shared" ca="1" si="48"/>
        <v>3.2414889595495872E-3</v>
      </c>
      <c r="F589">
        <f t="shared" ca="1" si="46"/>
        <v>7.2731162101039113E-3</v>
      </c>
      <c r="G589">
        <f t="shared" ca="1" si="45"/>
        <v>-1.218496470796502</v>
      </c>
      <c r="H589">
        <f t="shared" ca="1" si="49"/>
        <v>2.8086075947211566</v>
      </c>
    </row>
    <row r="590" spans="1:8" x14ac:dyDescent="0.25">
      <c r="A590" s="5">
        <v>41032</v>
      </c>
      <c r="B590">
        <v>304.36966230000002</v>
      </c>
      <c r="C590" s="6">
        <v>-6.1916648168862734E-3</v>
      </c>
      <c r="D590" s="6">
        <f t="shared" ca="1" si="47"/>
        <v>-2.4392222026667718E-3</v>
      </c>
      <c r="E590" s="6">
        <f t="shared" ca="1" si="48"/>
        <v>3.7524426142195016E-3</v>
      </c>
      <c r="F590">
        <f t="shared" ca="1" si="46"/>
        <v>2.0496643269189735E-2</v>
      </c>
      <c r="G590">
        <f t="shared" ca="1" si="45"/>
        <v>-0.13426708374498697</v>
      </c>
      <c r="H590">
        <f t="shared" ca="1" si="49"/>
        <v>2.8052816796308737</v>
      </c>
    </row>
    <row r="591" spans="1:8" x14ac:dyDescent="0.25">
      <c r="A591" s="1">
        <v>41033</v>
      </c>
      <c r="B591">
        <v>297.37090189999998</v>
      </c>
      <c r="C591" s="6">
        <v>2.2994277245350931E-2</v>
      </c>
      <c r="D591" s="6">
        <f t="shared" ca="1" si="47"/>
        <v>-8.5283273809549018E-3</v>
      </c>
      <c r="E591" s="6">
        <f t="shared" ca="1" si="48"/>
        <v>-3.1522604626305836E-2</v>
      </c>
      <c r="F591">
        <f t="shared" ca="1" si="46"/>
        <v>8.7296082124761702E-3</v>
      </c>
      <c r="G591">
        <f t="shared" ca="1" si="45"/>
        <v>-0.73527402451351587</v>
      </c>
      <c r="H591">
        <f t="shared" ca="1" si="49"/>
        <v>1.9527006747780915</v>
      </c>
    </row>
    <row r="592" spans="1:8" x14ac:dyDescent="0.25">
      <c r="A592" s="5">
        <v>41036</v>
      </c>
      <c r="B592">
        <v>302.64114369999999</v>
      </c>
      <c r="C592" s="6">
        <v>-1.7722789171121682E-2</v>
      </c>
      <c r="D592" s="6">
        <f t="shared" ca="1" si="47"/>
        <v>-1.0083398342949043E-2</v>
      </c>
      <c r="E592" s="6">
        <f t="shared" ca="1" si="48"/>
        <v>7.6393908281726392E-3</v>
      </c>
      <c r="F592">
        <f t="shared" ca="1" si="46"/>
        <v>1.3609807393521104E-2</v>
      </c>
      <c r="G592">
        <f t="shared" ca="1" si="45"/>
        <v>-0.53594301802081268</v>
      </c>
      <c r="H592">
        <f t="shared" ca="1" si="49"/>
        <v>2.7648950908879701</v>
      </c>
    </row>
    <row r="593" spans="1:8" x14ac:dyDescent="0.25">
      <c r="A593" s="1">
        <v>41037</v>
      </c>
      <c r="B593">
        <v>305.25137790000002</v>
      </c>
      <c r="C593" s="6">
        <v>-8.62484911366675E-3</v>
      </c>
      <c r="D593" s="6">
        <f t="shared" ca="1" si="47"/>
        <v>1.06310323665844E-2</v>
      </c>
      <c r="E593" s="6">
        <f t="shared" ca="1" si="48"/>
        <v>1.925588148025115E-2</v>
      </c>
      <c r="F593">
        <f t="shared" ca="1" si="46"/>
        <v>1.1344772933965274E-2</v>
      </c>
      <c r="G593">
        <f t="shared" ca="1" si="45"/>
        <v>2.3896003422861013E-2</v>
      </c>
      <c r="H593">
        <f t="shared" ca="1" si="49"/>
        <v>2.4852647565643893</v>
      </c>
    </row>
    <row r="594" spans="1:8" x14ac:dyDescent="0.25">
      <c r="A594" s="5">
        <v>41038</v>
      </c>
      <c r="B594">
        <v>303.4381727</v>
      </c>
      <c r="C594" s="6">
        <v>5.9400393618993944E-3</v>
      </c>
      <c r="D594" s="6">
        <f t="shared" ca="1" si="47"/>
        <v>1.8048549920123523E-4</v>
      </c>
      <c r="E594" s="6">
        <f t="shared" ca="1" si="48"/>
        <v>-5.7595538626981592E-3</v>
      </c>
      <c r="F594">
        <f t="shared" ca="1" si="46"/>
        <v>7.3040921377681891E-3</v>
      </c>
      <c r="G594">
        <f t="shared" ca="1" si="45"/>
        <v>1.1179696743420673</v>
      </c>
      <c r="H594">
        <f t="shared" ca="1" si="49"/>
        <v>2.7916410522622797</v>
      </c>
    </row>
    <row r="595" spans="1:8" x14ac:dyDescent="0.25">
      <c r="A595" s="1">
        <v>41039</v>
      </c>
      <c r="B595">
        <v>305.68475899999999</v>
      </c>
      <c r="C595" s="6">
        <v>-7.4037695389799251E-3</v>
      </c>
      <c r="D595" s="6">
        <f t="shared" ca="1" si="47"/>
        <v>-1.2793642108857337E-2</v>
      </c>
      <c r="E595" s="6">
        <f t="shared" ca="1" si="48"/>
        <v>-5.3898725698774122E-3</v>
      </c>
      <c r="F595">
        <f t="shared" ca="1" si="46"/>
        <v>1.9008883792142169E-2</v>
      </c>
      <c r="G595">
        <f t="shared" ca="1" si="45"/>
        <v>-0.46861009769718504</v>
      </c>
      <c r="H595">
        <f t="shared" ca="1" si="49"/>
        <v>2.7951537603113659</v>
      </c>
    </row>
    <row r="596" spans="1:8" x14ac:dyDescent="0.25">
      <c r="A596" s="5">
        <v>41040</v>
      </c>
      <c r="B596">
        <v>301.48547189999999</v>
      </c>
      <c r="C596" s="6">
        <v>1.3737312628007052E-2</v>
      </c>
      <c r="D596" s="6">
        <f t="shared" ca="1" si="47"/>
        <v>-4.4650354672629965E-3</v>
      </c>
      <c r="E596" s="6">
        <f t="shared" ca="1" si="48"/>
        <v>-1.8202348095270049E-2</v>
      </c>
      <c r="F596">
        <f t="shared" ca="1" si="46"/>
        <v>1.1087905017098837E-2</v>
      </c>
      <c r="G596">
        <f t="shared" ca="1" si="45"/>
        <v>-0.64405664041300725</v>
      </c>
      <c r="H596">
        <f t="shared" ca="1" si="49"/>
        <v>2.5327215200048512</v>
      </c>
    </row>
    <row r="597" spans="1:8" x14ac:dyDescent="0.25">
      <c r="A597" s="1">
        <v>41043</v>
      </c>
      <c r="B597">
        <v>300.8727695</v>
      </c>
      <c r="C597" s="6">
        <v>2.0322783586839538E-3</v>
      </c>
      <c r="D597" s="6">
        <f t="shared" ca="1" si="47"/>
        <v>-5.0551725304417254E-3</v>
      </c>
      <c r="E597" s="6">
        <f t="shared" ca="1" si="48"/>
        <v>-7.0874508891256797E-3</v>
      </c>
      <c r="F597">
        <f t="shared" ca="1" si="46"/>
        <v>1.2517661938095871E-2</v>
      </c>
      <c r="G597">
        <f t="shared" ca="1" si="45"/>
        <v>-0.1373723105508812</v>
      </c>
      <c r="H597">
        <f t="shared" ca="1" si="49"/>
        <v>2.7770340843781232</v>
      </c>
    </row>
    <row r="598" spans="1:8" x14ac:dyDescent="0.25">
      <c r="A598" s="5">
        <v>41044</v>
      </c>
      <c r="B598">
        <v>304.41449269999998</v>
      </c>
      <c r="C598" s="6">
        <v>-1.1771497985296999E-2</v>
      </c>
      <c r="D598" s="6">
        <f t="shared" ca="1" si="47"/>
        <v>2.5403088627264665E-2</v>
      </c>
      <c r="E598" s="6">
        <f t="shared" ca="1" si="48"/>
        <v>3.7174586612561664E-2</v>
      </c>
      <c r="F598">
        <f t="shared" ca="1" si="46"/>
        <v>7.7270172923625908E-3</v>
      </c>
      <c r="G598">
        <f t="shared" ca="1" si="45"/>
        <v>2.4865498528994578</v>
      </c>
      <c r="H598">
        <f t="shared" ca="1" si="49"/>
        <v>1.5868893958450538</v>
      </c>
    </row>
    <row r="599" spans="1:8" x14ac:dyDescent="0.25">
      <c r="A599" s="1">
        <v>41045</v>
      </c>
      <c r="B599">
        <v>313.2912475</v>
      </c>
      <c r="C599" s="6">
        <v>-2.9160092613422461E-2</v>
      </c>
      <c r="D599" s="6">
        <f t="shared" ca="1" si="47"/>
        <v>1.7085650554958042E-2</v>
      </c>
      <c r="E599" s="6">
        <f t="shared" ca="1" si="48"/>
        <v>4.6245743168380503E-2</v>
      </c>
      <c r="F599">
        <f t="shared" ca="1" si="46"/>
        <v>3.995965096960144E-2</v>
      </c>
      <c r="G599">
        <f t="shared" ca="1" si="45"/>
        <v>0.40466289853278953</v>
      </c>
      <c r="H599">
        <f t="shared" ca="1" si="49"/>
        <v>0.91603841817325371</v>
      </c>
    </row>
    <row r="600" spans="1:8" x14ac:dyDescent="0.25">
      <c r="A600" s="5">
        <v>41046</v>
      </c>
      <c r="B600">
        <v>310.36222670000001</v>
      </c>
      <c r="C600" s="6">
        <v>9.3491944743843806E-3</v>
      </c>
      <c r="D600" s="6">
        <f t="shared" ca="1" si="47"/>
        <v>-1.0483416146635331E-2</v>
      </c>
      <c r="E600" s="6">
        <f t="shared" ca="1" si="48"/>
        <v>-1.9832610621019712E-2</v>
      </c>
      <c r="F600">
        <f t="shared" ca="1" si="46"/>
        <v>1.3686942549399474E-2</v>
      </c>
      <c r="G600">
        <f t="shared" ca="1" si="45"/>
        <v>-0.37840473750662906</v>
      </c>
      <c r="H600">
        <f t="shared" ca="1" si="49"/>
        <v>2.4785510936019803</v>
      </c>
    </row>
    <row r="601" spans="1:8" x14ac:dyDescent="0.25">
      <c r="A601" s="1">
        <v>41047</v>
      </c>
      <c r="B601">
        <v>299.07949209999998</v>
      </c>
      <c r="C601" s="6">
        <v>3.6353440043159817E-2</v>
      </c>
      <c r="D601" s="6">
        <f t="shared" ca="1" si="47"/>
        <v>-6.8365450325011201E-3</v>
      </c>
      <c r="E601" s="6">
        <f t="shared" ca="1" si="48"/>
        <v>-4.3189985075660936E-2</v>
      </c>
      <c r="F601">
        <f t="shared" ca="1" si="46"/>
        <v>9.6319640114717348E-3</v>
      </c>
      <c r="G601">
        <f t="shared" ca="1" si="45"/>
        <v>0.65423644631165601</v>
      </c>
      <c r="H601">
        <f t="shared" ca="1" si="49"/>
        <v>1.1873735294193943</v>
      </c>
    </row>
    <row r="602" spans="1:8" x14ac:dyDescent="0.25">
      <c r="A602" s="5">
        <v>41050</v>
      </c>
      <c r="B602">
        <v>305.9089108</v>
      </c>
      <c r="C602" s="6">
        <v>-2.2834794362017106E-2</v>
      </c>
      <c r="D602" s="6">
        <f t="shared" ca="1" si="47"/>
        <v>-3.8235651910565995E-3</v>
      </c>
      <c r="E602" s="6">
        <f t="shared" ca="1" si="48"/>
        <v>1.9011229170960507E-2</v>
      </c>
      <c r="F602">
        <f t="shared" ca="1" si="46"/>
        <v>1.2573265333266092E-2</v>
      </c>
      <c r="G602">
        <f t="shared" ca="1" si="45"/>
        <v>-0.63917451774833522</v>
      </c>
      <c r="H602">
        <f t="shared" ca="1" si="49"/>
        <v>2.4936091878521753</v>
      </c>
    </row>
    <row r="603" spans="1:8" x14ac:dyDescent="0.25">
      <c r="A603" s="1">
        <v>41051</v>
      </c>
      <c r="B603">
        <v>299.27874179999998</v>
      </c>
      <c r="C603" s="6">
        <v>2.1673670710215951E-2</v>
      </c>
      <c r="D603" s="6">
        <f t="shared" ca="1" si="47"/>
        <v>1.3460920612120682E-2</v>
      </c>
      <c r="E603" s="6">
        <f t="shared" ca="1" si="48"/>
        <v>-8.2127500980952693E-3</v>
      </c>
      <c r="F603">
        <f t="shared" ca="1" si="46"/>
        <v>1.2544038062394397E-2</v>
      </c>
      <c r="G603">
        <f t="shared" ca="1" si="45"/>
        <v>-0.23262012796094053</v>
      </c>
      <c r="H603">
        <f t="shared" ca="1" si="49"/>
        <v>2.7622195407119792</v>
      </c>
    </row>
    <row r="604" spans="1:8" x14ac:dyDescent="0.25">
      <c r="A604" s="5">
        <v>41052</v>
      </c>
      <c r="B604">
        <v>303.5925919</v>
      </c>
      <c r="C604" s="6">
        <v>-1.4414154757716992E-2</v>
      </c>
      <c r="D604" s="6">
        <f t="shared" ca="1" si="47"/>
        <v>-2.102497387636074E-2</v>
      </c>
      <c r="E604" s="6">
        <f t="shared" ca="1" si="48"/>
        <v>-6.610819118643748E-3</v>
      </c>
      <c r="F604">
        <f t="shared" ca="1" si="46"/>
        <v>8.2807956359081548E-3</v>
      </c>
      <c r="G604">
        <f t="shared" ca="1" si="45"/>
        <v>-1.2966094302672404</v>
      </c>
      <c r="H604">
        <f t="shared" ca="1" si="49"/>
        <v>2.7826351290226032</v>
      </c>
    </row>
    <row r="605" spans="1:8" x14ac:dyDescent="0.25">
      <c r="A605" s="1">
        <v>41053</v>
      </c>
      <c r="B605">
        <v>300.70339630000001</v>
      </c>
      <c r="C605" s="6">
        <v>9.5166867607614815E-3</v>
      </c>
      <c r="D605" s="6">
        <f t="shared" ca="1" si="47"/>
        <v>7.4194296768978806E-3</v>
      </c>
      <c r="E605" s="6">
        <f t="shared" ca="1" si="48"/>
        <v>-2.0972570838636009E-3</v>
      </c>
      <c r="F605">
        <f t="shared" ca="1" si="46"/>
        <v>2.1686228368936689E-2</v>
      </c>
      <c r="G605">
        <f t="shared" ca="1" si="45"/>
        <v>-0.10815870003813474</v>
      </c>
      <c r="H605">
        <f t="shared" ca="1" si="49"/>
        <v>2.8157986979648597</v>
      </c>
    </row>
    <row r="606" spans="1:8" x14ac:dyDescent="0.25">
      <c r="A606" s="5">
        <v>41054</v>
      </c>
      <c r="B606">
        <v>294.66105800000003</v>
      </c>
      <c r="C606" s="6">
        <v>2.009401414931735E-2</v>
      </c>
      <c r="D606" s="6">
        <f t="shared" ca="1" si="47"/>
        <v>-6.8130530327628509E-3</v>
      </c>
      <c r="E606" s="6">
        <f t="shared" ca="1" si="48"/>
        <v>-2.6907067182080201E-2</v>
      </c>
      <c r="F606">
        <f t="shared" ca="1" si="46"/>
        <v>8.8206974586054684E-3</v>
      </c>
      <c r="G606">
        <f t="shared" ca="1" si="45"/>
        <v>-3.6143768030159576E-2</v>
      </c>
      <c r="H606">
        <f t="shared" ca="1" si="49"/>
        <v>2.1891363991490165</v>
      </c>
    </row>
    <row r="607" spans="1:8" x14ac:dyDescent="0.25">
      <c r="A607" s="1">
        <v>41058</v>
      </c>
      <c r="B607">
        <v>296.06081039999998</v>
      </c>
      <c r="C607" s="6">
        <v>-4.7503813686841315E-3</v>
      </c>
      <c r="D607" s="6">
        <f t="shared" ca="1" si="47"/>
        <v>1.1569814663607507E-2</v>
      </c>
      <c r="E607" s="6">
        <f t="shared" ca="1" si="48"/>
        <v>1.6320196032291637E-2</v>
      </c>
      <c r="F607">
        <f t="shared" ca="1" si="46"/>
        <v>7.0926021274601882E-3</v>
      </c>
      <c r="G607">
        <f t="shared" ca="1" si="45"/>
        <v>1.0266575027807114</v>
      </c>
      <c r="H607">
        <f t="shared" ca="1" si="49"/>
        <v>2.5784214335716373</v>
      </c>
    </row>
    <row r="608" spans="1:8" x14ac:dyDescent="0.25">
      <c r="A608" s="5">
        <v>41059</v>
      </c>
      <c r="B608">
        <v>293.01719559999998</v>
      </c>
      <c r="C608" s="6">
        <v>1.0280370427574835E-2</v>
      </c>
      <c r="D608" s="6">
        <f t="shared" ca="1" si="47"/>
        <v>1.807398843469003E-2</v>
      </c>
      <c r="E608" s="6">
        <f t="shared" ca="1" si="48"/>
        <v>7.7936180071151943E-3</v>
      </c>
      <c r="F608">
        <f t="shared" ca="1" si="46"/>
        <v>1.7666828692009102E-2</v>
      </c>
      <c r="G608">
        <f t="shared" ca="1" si="45"/>
        <v>0.51059360992496494</v>
      </c>
      <c r="H608">
        <f t="shared" ca="1" si="49"/>
        <v>2.7627426069285326</v>
      </c>
    </row>
    <row r="609" spans="1:8" x14ac:dyDescent="0.25">
      <c r="A609" s="1">
        <v>41060</v>
      </c>
      <c r="B609">
        <v>289.34595530000001</v>
      </c>
      <c r="C609" s="6">
        <v>1.2529095067211017E-2</v>
      </c>
      <c r="D609" s="6">
        <f t="shared" ca="1" si="47"/>
        <v>1.3773998859189696E-2</v>
      </c>
      <c r="E609" s="6">
        <f t="shared" ca="1" si="48"/>
        <v>1.2449037919786791E-3</v>
      </c>
      <c r="F609">
        <f t="shared" ca="1" si="46"/>
        <v>1.1406645120832695E-2</v>
      </c>
      <c r="G609">
        <f t="shared" ca="1" si="45"/>
        <v>1.3951644722559386</v>
      </c>
      <c r="H609">
        <f t="shared" ca="1" si="49"/>
        <v>2.8171856591435942</v>
      </c>
    </row>
    <row r="610" spans="1:8" x14ac:dyDescent="0.25">
      <c r="A610" s="5">
        <v>41061</v>
      </c>
      <c r="B610">
        <v>284.42440749999997</v>
      </c>
      <c r="C610" s="6">
        <v>1.7009215818818951E-2</v>
      </c>
      <c r="D610" s="6">
        <f t="shared" ca="1" si="47"/>
        <v>1.2576752709696727E-3</v>
      </c>
      <c r="E610" s="6">
        <f t="shared" ca="1" si="48"/>
        <v>-1.5751540547849278E-2</v>
      </c>
      <c r="F610">
        <f t="shared" ca="1" si="46"/>
        <v>2.3251090817311724E-2</v>
      </c>
      <c r="G610">
        <f t="shared" ca="1" si="45"/>
        <v>-0.14512970859302954</v>
      </c>
      <c r="H610">
        <f t="shared" ca="1" si="49"/>
        <v>2.605330517509528</v>
      </c>
    </row>
    <row r="611" spans="1:8" x14ac:dyDescent="0.25">
      <c r="A611" s="1">
        <v>41064</v>
      </c>
      <c r="B611">
        <v>288.21518520000001</v>
      </c>
      <c r="C611" s="6">
        <v>-1.332789170001184E-2</v>
      </c>
      <c r="D611" s="6">
        <f t="shared" ca="1" si="47"/>
        <v>-1.6741422552110623E-3</v>
      </c>
      <c r="E611" s="6">
        <f t="shared" ca="1" si="48"/>
        <v>1.1653749444800778E-2</v>
      </c>
      <c r="F611">
        <f t="shared" ca="1" si="46"/>
        <v>9.1983708215107977E-3</v>
      </c>
      <c r="G611">
        <f t="shared" ca="1" si="45"/>
        <v>-0.79573809993343747</v>
      </c>
      <c r="H611">
        <f t="shared" ca="1" si="49"/>
        <v>2.6951934461984912</v>
      </c>
    </row>
    <row r="612" spans="1:8" x14ac:dyDescent="0.25">
      <c r="A612" s="5">
        <v>41065</v>
      </c>
      <c r="B612">
        <v>284.1404713</v>
      </c>
      <c r="C612" s="6">
        <v>1.4137748839196159E-2</v>
      </c>
      <c r="D612" s="6">
        <f t="shared" ca="1" si="47"/>
        <v>6.104060859496079E-3</v>
      </c>
      <c r="E612" s="6">
        <f t="shared" ca="1" si="48"/>
        <v>-8.0336879797000792E-3</v>
      </c>
      <c r="F612">
        <f t="shared" ca="1" si="46"/>
        <v>1.4454614833212826E-2</v>
      </c>
      <c r="G612">
        <f t="shared" ca="1" si="45"/>
        <v>-0.10787825424826937</v>
      </c>
      <c r="H612">
        <f t="shared" ca="1" si="49"/>
        <v>2.7647264140976495</v>
      </c>
    </row>
    <row r="613" spans="1:8" x14ac:dyDescent="0.25">
      <c r="A613" s="1">
        <v>41066</v>
      </c>
      <c r="B613">
        <v>289.2014848</v>
      </c>
      <c r="C613" s="6">
        <v>-1.7811660116015305E-2</v>
      </c>
      <c r="D613" s="6">
        <f t="shared" ca="1" si="47"/>
        <v>-5.8416805821136933E-3</v>
      </c>
      <c r="E613" s="6">
        <f t="shared" ca="1" si="48"/>
        <v>1.1969979533901613E-2</v>
      </c>
      <c r="F613">
        <f t="shared" ca="1" si="46"/>
        <v>7.8236834077282727E-3</v>
      </c>
      <c r="G613">
        <f t="shared" ca="1" si="45"/>
        <v>2.0841772568874435E-2</v>
      </c>
      <c r="H613">
        <f t="shared" ca="1" si="49"/>
        <v>2.6884941881705298</v>
      </c>
    </row>
    <row r="614" spans="1:8" x14ac:dyDescent="0.25">
      <c r="A614" s="5">
        <v>41067</v>
      </c>
      <c r="B614">
        <v>288.03586389999998</v>
      </c>
      <c r="C614" s="6">
        <v>4.0304803442005764E-3</v>
      </c>
      <c r="D614" s="6">
        <f t="shared" ca="1" si="47"/>
        <v>1.092654011302859E-2</v>
      </c>
      <c r="E614" s="6">
        <f t="shared" ca="1" si="48"/>
        <v>6.8960597688280138E-3</v>
      </c>
      <c r="F614">
        <f t="shared" ca="1" si="46"/>
        <v>7.0024273422399372E-3</v>
      </c>
      <c r="G614">
        <f t="shared" ca="1" si="45"/>
        <v>0.65077064113306471</v>
      </c>
      <c r="H614">
        <f t="shared" ca="1" si="49"/>
        <v>2.7746806721166051</v>
      </c>
    </row>
    <row r="615" spans="1:8" x14ac:dyDescent="0.25">
      <c r="A615" s="1">
        <v>41068</v>
      </c>
      <c r="B615">
        <v>289.1417313</v>
      </c>
      <c r="C615" s="6">
        <v>-3.8393392580583518E-3</v>
      </c>
      <c r="D615" s="6">
        <f t="shared" ca="1" si="47"/>
        <v>6.2127575437778068E-3</v>
      </c>
      <c r="E615" s="6">
        <f t="shared" ca="1" si="48"/>
        <v>1.0052096801836158E-2</v>
      </c>
      <c r="F615">
        <f t="shared" ca="1" si="46"/>
        <v>1.2416920101841891E-2</v>
      </c>
      <c r="G615">
        <f t="shared" ca="1" si="45"/>
        <v>1.146649694355135</v>
      </c>
      <c r="H615">
        <f t="shared" ca="1" si="49"/>
        <v>2.7264132724273469</v>
      </c>
    </row>
    <row r="616" spans="1:8" x14ac:dyDescent="0.25">
      <c r="A616" s="5">
        <v>41071</v>
      </c>
      <c r="B616">
        <v>283.18902300000002</v>
      </c>
      <c r="C616" s="6">
        <v>2.0587510053412975E-2</v>
      </c>
      <c r="D616" s="6">
        <f t="shared" ca="1" si="47"/>
        <v>-1.6211118840623224E-2</v>
      </c>
      <c r="E616" s="6">
        <f t="shared" ca="1" si="48"/>
        <v>-3.6798628894036199E-2</v>
      </c>
      <c r="F616">
        <f t="shared" ca="1" si="46"/>
        <v>1.9595778158197578E-2</v>
      </c>
      <c r="G616">
        <f t="shared" ca="1" si="45"/>
        <v>-0.91994387810570377</v>
      </c>
      <c r="H616">
        <f t="shared" ca="1" si="49"/>
        <v>1.6363756496819126</v>
      </c>
    </row>
    <row r="617" spans="1:8" x14ac:dyDescent="0.25">
      <c r="A617" s="1">
        <v>41072</v>
      </c>
      <c r="B617">
        <v>281.49535580000003</v>
      </c>
      <c r="C617" s="6">
        <v>5.9806950921257743E-3</v>
      </c>
      <c r="D617" s="6">
        <f t="shared" ca="1" si="47"/>
        <v>2.6326051442730466E-2</v>
      </c>
      <c r="E617" s="6">
        <f t="shared" ca="1" si="48"/>
        <v>2.0345356350604693E-2</v>
      </c>
      <c r="F617">
        <f t="shared" ca="1" si="46"/>
        <v>1.6771355662035276E-2</v>
      </c>
      <c r="G617">
        <f t="shared" ca="1" si="45"/>
        <v>1.6728255215743471</v>
      </c>
      <c r="H617">
        <f t="shared" ca="1" si="49"/>
        <v>2.4468230147194734</v>
      </c>
    </row>
    <row r="618" spans="1:8" x14ac:dyDescent="0.25">
      <c r="A618" s="5">
        <v>41073</v>
      </c>
      <c r="B618">
        <v>279.49785489999999</v>
      </c>
      <c r="C618" s="6">
        <v>7.0960350103226599E-3</v>
      </c>
      <c r="D618" s="6">
        <f t="shared" ca="1" si="47"/>
        <v>-8.4701660087437066E-3</v>
      </c>
      <c r="E618" s="6">
        <f t="shared" ca="1" si="48"/>
        <v>-1.5566201019066367E-2</v>
      </c>
      <c r="F618">
        <f t="shared" ca="1" si="46"/>
        <v>2.7631009578247059E-2</v>
      </c>
      <c r="G618">
        <f t="shared" ca="1" si="45"/>
        <v>-0.64225340934136033</v>
      </c>
      <c r="H618">
        <f t="shared" ca="1" si="49"/>
        <v>2.610390324269416</v>
      </c>
    </row>
    <row r="619" spans="1:8" x14ac:dyDescent="0.25">
      <c r="A619" s="1">
        <v>41074</v>
      </c>
      <c r="B619">
        <v>278.48164789999998</v>
      </c>
      <c r="C619" s="6">
        <v>3.6358311242266658E-3</v>
      </c>
      <c r="D619" s="6">
        <f t="shared" ca="1" si="47"/>
        <v>2.7441008447168534E-2</v>
      </c>
      <c r="E619" s="6">
        <f t="shared" ca="1" si="48"/>
        <v>2.3805177322941868E-2</v>
      </c>
      <c r="F619">
        <f t="shared" ca="1" si="46"/>
        <v>1.4026550312538546E-2</v>
      </c>
      <c r="G619">
        <f t="shared" ca="1" si="45"/>
        <v>1.7642433060992608</v>
      </c>
      <c r="H619">
        <f t="shared" ca="1" si="49"/>
        <v>2.3108543604448304</v>
      </c>
    </row>
    <row r="620" spans="1:8" x14ac:dyDescent="0.25">
      <c r="A620" s="5">
        <v>41075</v>
      </c>
      <c r="B620">
        <v>281.2014709</v>
      </c>
      <c r="C620" s="6">
        <v>-9.7666148577829487E-3</v>
      </c>
      <c r="D620" s="6">
        <f t="shared" ca="1" si="47"/>
        <v>2.5147653858672292E-2</v>
      </c>
      <c r="E620" s="6">
        <f t="shared" ca="1" si="48"/>
        <v>3.4914268716455241E-2</v>
      </c>
      <c r="F620">
        <f t="shared" ca="1" si="46"/>
        <v>2.8927060402939266E-2</v>
      </c>
      <c r="G620">
        <f t="shared" ca="1" si="45"/>
        <v>0.75881979423128643</v>
      </c>
      <c r="H620">
        <f t="shared" ca="1" si="49"/>
        <v>1.731446784799378</v>
      </c>
    </row>
    <row r="621" spans="1:8" x14ac:dyDescent="0.25">
      <c r="A621" s="1">
        <v>41078</v>
      </c>
      <c r="B621">
        <v>284.35964869999998</v>
      </c>
      <c r="C621" s="6">
        <v>-1.1231014510315549E-2</v>
      </c>
      <c r="D621" s="6">
        <f t="shared" ca="1" si="47"/>
        <v>-1.1188003256102504E-2</v>
      </c>
      <c r="E621" s="6">
        <f t="shared" ca="1" si="48"/>
        <v>4.3011254213045497E-5</v>
      </c>
      <c r="F621">
        <f t="shared" ca="1" si="46"/>
        <v>1.556541209543467E-2</v>
      </c>
      <c r="G621">
        <f t="shared" ca="1" si="45"/>
        <v>-0.82400584761830531</v>
      </c>
      <c r="H621">
        <f t="shared" ca="1" si="49"/>
        <v>2.8189569638070084</v>
      </c>
    </row>
    <row r="622" spans="1:8" x14ac:dyDescent="0.25">
      <c r="A622" s="5">
        <v>41079</v>
      </c>
      <c r="B622">
        <v>289.67969590000001</v>
      </c>
      <c r="C622" s="6">
        <v>-1.8708868238941644E-2</v>
      </c>
      <c r="D622" s="6">
        <f t="shared" ca="1" si="47"/>
        <v>-3.73861677819744E-2</v>
      </c>
      <c r="E622" s="6">
        <f t="shared" ca="1" si="48"/>
        <v>-1.8677299543032756E-2</v>
      </c>
      <c r="F622">
        <f t="shared" ca="1" si="46"/>
        <v>1.517896682168674E-2</v>
      </c>
      <c r="G622">
        <f t="shared" ca="1" si="45"/>
        <v>-2.1731100979249254</v>
      </c>
      <c r="H622">
        <f t="shared" ca="1" si="49"/>
        <v>2.5174240484949859</v>
      </c>
    </row>
    <row r="623" spans="1:8" x14ac:dyDescent="0.25">
      <c r="A623" s="1">
        <v>41080</v>
      </c>
      <c r="B623">
        <v>287.67722070000002</v>
      </c>
      <c r="C623" s="6">
        <v>6.9127219765214897E-3</v>
      </c>
      <c r="D623" s="6">
        <f t="shared" ca="1" si="47"/>
        <v>2.1647255728749128E-2</v>
      </c>
      <c r="E623" s="6">
        <f t="shared" ca="1" si="48"/>
        <v>1.4734533752227639E-2</v>
      </c>
      <c r="F623">
        <f t="shared" ca="1" si="46"/>
        <v>3.5241295563984802E-2</v>
      </c>
      <c r="G623">
        <f t="shared" ca="1" si="45"/>
        <v>0.75785455953039282</v>
      </c>
      <c r="H623">
        <f t="shared" ca="1" si="49"/>
        <v>2.6224116641412887</v>
      </c>
    </row>
    <row r="624" spans="1:8" x14ac:dyDescent="0.25">
      <c r="A624" s="5">
        <v>41081</v>
      </c>
      <c r="B624">
        <v>281.55016540000003</v>
      </c>
      <c r="C624" s="6">
        <v>2.12983679593787E-2</v>
      </c>
      <c r="D624" s="6">
        <f t="shared" ca="1" si="47"/>
        <v>-1.2242163240606542E-2</v>
      </c>
      <c r="E624" s="6">
        <f t="shared" ca="1" si="48"/>
        <v>-3.3540531199985242E-2</v>
      </c>
      <c r="F624">
        <f t="shared" ca="1" si="46"/>
        <v>1.6359043820413578E-2</v>
      </c>
      <c r="G624">
        <f t="shared" ca="1" si="45"/>
        <v>-0.23307398228552439</v>
      </c>
      <c r="H624">
        <f t="shared" ca="1" si="49"/>
        <v>1.8375174884810754</v>
      </c>
    </row>
    <row r="625" spans="1:8" x14ac:dyDescent="0.25">
      <c r="A625" s="1">
        <v>41082</v>
      </c>
      <c r="B625">
        <v>284.67346199999997</v>
      </c>
      <c r="C625" s="6">
        <v>-1.1093215291003862E-2</v>
      </c>
      <c r="D625" s="6">
        <f t="shared" ca="1" si="47"/>
        <v>1.0321352627827712E-2</v>
      </c>
      <c r="E625" s="6">
        <f t="shared" ca="1" si="48"/>
        <v>2.1414567918831576E-2</v>
      </c>
      <c r="F625">
        <f t="shared" ca="1" si="46"/>
        <v>8.6959374942189548E-3</v>
      </c>
      <c r="G625">
        <f t="shared" ca="1" si="45"/>
        <v>0.82871175134988806</v>
      </c>
      <c r="H625">
        <f t="shared" ca="1" si="49"/>
        <v>2.4070594020366767</v>
      </c>
    </row>
    <row r="626" spans="1:8" x14ac:dyDescent="0.25">
      <c r="A626" s="5">
        <v>41085</v>
      </c>
      <c r="B626">
        <v>279.30357959999998</v>
      </c>
      <c r="C626" s="6">
        <v>1.8863305213887464E-2</v>
      </c>
      <c r="D626" s="6">
        <f t="shared" ca="1" si="47"/>
        <v>1.7933663384551594E-2</v>
      </c>
      <c r="E626" s="6">
        <f t="shared" ca="1" si="48"/>
        <v>-9.2964182933586922E-4</v>
      </c>
      <c r="F626">
        <f t="shared" ca="1" si="46"/>
        <v>1.4892136195272678E-2</v>
      </c>
      <c r="G626">
        <f t="shared" ca="1" si="45"/>
        <v>0.55987399320106312</v>
      </c>
      <c r="H626">
        <f t="shared" ca="1" si="49"/>
        <v>2.8185239012049004</v>
      </c>
    </row>
    <row r="627" spans="1:8" x14ac:dyDescent="0.25">
      <c r="A627" s="1">
        <v>41086</v>
      </c>
      <c r="B627">
        <v>281.28615739999998</v>
      </c>
      <c r="C627" s="6">
        <v>-7.0982899783787858E-3</v>
      </c>
      <c r="D627" s="6">
        <f t="shared" ca="1" si="47"/>
        <v>-1.9303137547267532E-3</v>
      </c>
      <c r="E627" s="6">
        <f t="shared" ca="1" si="48"/>
        <v>5.1679762236520321E-3</v>
      </c>
      <c r="F627">
        <f t="shared" ca="1" si="46"/>
        <v>1.172978137838674E-2</v>
      </c>
      <c r="G627">
        <f t="shared" ca="1" si="45"/>
        <v>0.26151375438519353</v>
      </c>
      <c r="H627">
        <f t="shared" ca="1" si="49"/>
        <v>2.7936611050523736</v>
      </c>
    </row>
    <row r="628" spans="1:8" x14ac:dyDescent="0.25">
      <c r="A628" s="5">
        <v>41087</v>
      </c>
      <c r="B628">
        <v>283.58752229999999</v>
      </c>
      <c r="C628" s="6">
        <v>-8.1815789346767562E-3</v>
      </c>
      <c r="D628" s="6">
        <f t="shared" ca="1" si="47"/>
        <v>1.9775147281716633E-3</v>
      </c>
      <c r="E628" s="6">
        <f t="shared" ca="1" si="48"/>
        <v>1.0159093662848419E-2</v>
      </c>
      <c r="F628">
        <f t="shared" ca="1" si="46"/>
        <v>8.4197497088817404E-3</v>
      </c>
      <c r="G628">
        <f t="shared" ca="1" si="45"/>
        <v>-0.77453140852679803</v>
      </c>
      <c r="H628">
        <f t="shared" ca="1" si="49"/>
        <v>2.7244687919166357</v>
      </c>
    </row>
    <row r="629" spans="1:8" x14ac:dyDescent="0.25">
      <c r="A629" s="1">
        <v>41088</v>
      </c>
      <c r="B629">
        <v>281.10183080000002</v>
      </c>
      <c r="C629" s="6">
        <v>8.7651652648187521E-3</v>
      </c>
      <c r="D629" s="6">
        <f t="shared" ca="1" si="47"/>
        <v>-1.1437067342543033E-2</v>
      </c>
      <c r="E629" s="6">
        <f t="shared" ca="1" si="48"/>
        <v>-2.0202232607361786E-2</v>
      </c>
      <c r="F629">
        <f t="shared" ca="1" si="46"/>
        <v>1.4132541003447399E-2</v>
      </c>
      <c r="G629">
        <f t="shared" ca="1" si="45"/>
        <v>-0.58296298743582897</v>
      </c>
      <c r="H629">
        <f t="shared" ca="1" si="49"/>
        <v>2.4656169467023368</v>
      </c>
    </row>
    <row r="630" spans="1:8" x14ac:dyDescent="0.25">
      <c r="A630" s="5">
        <v>41089</v>
      </c>
      <c r="B630">
        <v>288.95243040000003</v>
      </c>
      <c r="C630" s="6">
        <v>-2.7927956134820055E-2</v>
      </c>
      <c r="D630" s="6">
        <f t="shared" ca="1" si="47"/>
        <v>-2.2783933526183721E-2</v>
      </c>
      <c r="E630" s="6">
        <f t="shared" ca="1" si="48"/>
        <v>5.1440226086363339E-3</v>
      </c>
      <c r="F630">
        <f t="shared" ca="1" si="46"/>
        <v>1.1949701483901162E-2</v>
      </c>
      <c r="G630">
        <f t="shared" ca="1" si="45"/>
        <v>-1.5981831439314516</v>
      </c>
      <c r="H630">
        <f t="shared" ca="1" si="49"/>
        <v>2.7938871642107745</v>
      </c>
    </row>
    <row r="631" spans="1:8" x14ac:dyDescent="0.25">
      <c r="A631" s="1">
        <v>41092</v>
      </c>
      <c r="B631">
        <v>289.15168</v>
      </c>
      <c r="C631" s="6">
        <v>-6.8955848450262167E-4</v>
      </c>
      <c r="D631" s="6">
        <f t="shared" ca="1" si="47"/>
        <v>-3.823299924387405E-2</v>
      </c>
      <c r="E631" s="6">
        <f t="shared" ca="1" si="48"/>
        <v>-3.7543440759371431E-2</v>
      </c>
      <c r="F631">
        <f t="shared" ca="1" si="46"/>
        <v>2.6335556671030918E-2</v>
      </c>
      <c r="G631">
        <f t="shared" ca="1" si="45"/>
        <v>-1.6017031155894874</v>
      </c>
      <c r="H631">
        <f t="shared" ca="1" si="49"/>
        <v>1.5877629125246329</v>
      </c>
    </row>
    <row r="632" spans="1:8" x14ac:dyDescent="0.25">
      <c r="A632" s="5">
        <v>41093</v>
      </c>
      <c r="B632">
        <v>292.81794600000001</v>
      </c>
      <c r="C632" s="6">
        <v>-1.2679386818710538E-2</v>
      </c>
      <c r="D632" s="6">
        <f t="shared" ca="1" si="47"/>
        <v>-4.7844024864240275E-2</v>
      </c>
      <c r="E632" s="6">
        <f t="shared" ca="1" si="48"/>
        <v>-3.5164638045529738E-2</v>
      </c>
      <c r="F632">
        <f t="shared" ca="1" si="46"/>
        <v>2.7042929850671367E-2</v>
      </c>
      <c r="G632">
        <f t="shared" ca="1" si="45"/>
        <v>-1.3038853293027894</v>
      </c>
      <c r="H632">
        <f t="shared" ca="1" si="49"/>
        <v>1.7395935826241999</v>
      </c>
    </row>
    <row r="633" spans="1:8" x14ac:dyDescent="0.25">
      <c r="A633" s="1">
        <v>41095</v>
      </c>
      <c r="B633">
        <v>296.84785979999998</v>
      </c>
      <c r="C633" s="6">
        <v>-1.3762523284689574E-2</v>
      </c>
      <c r="D633" s="6">
        <f t="shared" ca="1" si="47"/>
        <v>1.8712792553842651E-2</v>
      </c>
      <c r="E633" s="6">
        <f t="shared" ca="1" si="48"/>
        <v>3.2475315838532227E-2</v>
      </c>
      <c r="F633">
        <f t="shared" ca="1" si="46"/>
        <v>2.2739214064459109E-2</v>
      </c>
      <c r="G633">
        <f t="shared" ca="1" si="45"/>
        <v>0.83660268905707436</v>
      </c>
      <c r="H633">
        <f t="shared" ca="1" si="49"/>
        <v>1.8773142635287396</v>
      </c>
    </row>
    <row r="634" spans="1:8" x14ac:dyDescent="0.25">
      <c r="A634" s="5">
        <v>41096</v>
      </c>
      <c r="B634">
        <v>291.89640509999998</v>
      </c>
      <c r="C634" s="6">
        <v>1.6680109141888447E-2</v>
      </c>
      <c r="D634" s="6">
        <f t="shared" ca="1" si="47"/>
        <v>4.3702036098376262E-4</v>
      </c>
      <c r="E634" s="6">
        <f t="shared" ca="1" si="48"/>
        <v>-1.6243088780904684E-2</v>
      </c>
      <c r="F634">
        <f t="shared" ca="1" si="46"/>
        <v>1.590816729920658E-2</v>
      </c>
      <c r="G634">
        <f t="shared" ca="1" si="45"/>
        <v>0.38659597898718551</v>
      </c>
      <c r="H634">
        <f t="shared" ca="1" si="49"/>
        <v>2.5916175282974399</v>
      </c>
    </row>
    <row r="635" spans="1:8" x14ac:dyDescent="0.25">
      <c r="A635" s="1">
        <v>41099</v>
      </c>
      <c r="B635">
        <v>291.91135860000003</v>
      </c>
      <c r="C635" s="6">
        <v>-5.1228791238193005E-5</v>
      </c>
      <c r="D635" s="6">
        <f t="shared" ca="1" si="47"/>
        <v>3.8316803124544708E-3</v>
      </c>
      <c r="E635" s="6">
        <f t="shared" ca="1" si="48"/>
        <v>3.8829091036926638E-3</v>
      </c>
      <c r="F635">
        <f t="shared" ca="1" si="46"/>
        <v>9.9254062531846984E-3</v>
      </c>
      <c r="G635">
        <f t="shared" ca="1" si="45"/>
        <v>1.0107600922956625</v>
      </c>
      <c r="H635">
        <f t="shared" ca="1" si="49"/>
        <v>2.804358593550341</v>
      </c>
    </row>
    <row r="636" spans="1:8" x14ac:dyDescent="0.25">
      <c r="A636" s="5">
        <v>41100</v>
      </c>
      <c r="B636">
        <v>289.76438250000001</v>
      </c>
      <c r="C636" s="6">
        <v>7.3548905746486336E-3</v>
      </c>
      <c r="D636" s="6">
        <f t="shared" ca="1" si="47"/>
        <v>3.8580595565307602E-2</v>
      </c>
      <c r="E636" s="6">
        <f t="shared" ca="1" si="48"/>
        <v>3.1225704990658968E-2</v>
      </c>
      <c r="F636">
        <f t="shared" ca="1" si="46"/>
        <v>1.7523299341284975E-2</v>
      </c>
      <c r="G636">
        <f t="shared" ca="1" si="45"/>
        <v>1.7727973007644602</v>
      </c>
      <c r="H636">
        <f t="shared" ca="1" si="49"/>
        <v>1.9479826583924482</v>
      </c>
    </row>
    <row r="637" spans="1:8" x14ac:dyDescent="0.25">
      <c r="A637" s="1">
        <v>41101</v>
      </c>
      <c r="B637">
        <v>284.52899150000002</v>
      </c>
      <c r="C637" s="6">
        <v>1.8067751995019584E-2</v>
      </c>
      <c r="D637" s="6">
        <f t="shared" ca="1" si="47"/>
        <v>-4.0583844537989855E-2</v>
      </c>
      <c r="E637" s="6">
        <f t="shared" ca="1" si="48"/>
        <v>-5.8651596533009442E-2</v>
      </c>
      <c r="F637">
        <f t="shared" ca="1" si="46"/>
        <v>2.9177868695824009E-2</v>
      </c>
      <c r="G637">
        <f t="shared" ca="1" si="45"/>
        <v>-1.390124999610568</v>
      </c>
      <c r="H637">
        <f t="shared" ca="1" si="49"/>
        <v>-0.19700278839562874</v>
      </c>
    </row>
    <row r="638" spans="1:8" x14ac:dyDescent="0.25">
      <c r="A638" s="5">
        <v>41102</v>
      </c>
      <c r="B638">
        <v>284.17532260000002</v>
      </c>
      <c r="C638" s="6">
        <v>1.2429977631998263E-3</v>
      </c>
      <c r="D638" s="6">
        <f t="shared" ca="1" si="47"/>
        <v>2.0440539869535687E-2</v>
      </c>
      <c r="E638" s="6">
        <f t="shared" ca="1" si="48"/>
        <v>1.9197542106335862E-2</v>
      </c>
      <c r="F638">
        <f t="shared" ca="1" si="46"/>
        <v>2.4142322304252908E-2</v>
      </c>
      <c r="G638">
        <f t="shared" ca="1" si="45"/>
        <v>0.70939505866572061</v>
      </c>
      <c r="H638">
        <f t="shared" ca="1" si="49"/>
        <v>2.4872641475213779</v>
      </c>
    </row>
    <row r="639" spans="1:8" x14ac:dyDescent="0.25">
      <c r="A639" s="1">
        <v>41103</v>
      </c>
      <c r="B639">
        <v>287.18405569999999</v>
      </c>
      <c r="C639" s="6">
        <v>-1.0587594561245594E-2</v>
      </c>
      <c r="D639" s="6">
        <f t="shared" ca="1" si="47"/>
        <v>2.3587447652988758E-3</v>
      </c>
      <c r="E639" s="6">
        <f t="shared" ca="1" si="48"/>
        <v>1.294633932654447E-2</v>
      </c>
      <c r="F639">
        <f t="shared" ca="1" si="46"/>
        <v>1.4422434261006027E-2</v>
      </c>
      <c r="G639">
        <f t="shared" ca="1" si="45"/>
        <v>-0.40089116884526371</v>
      </c>
      <c r="H639">
        <f t="shared" ca="1" si="49"/>
        <v>2.6666965183024312</v>
      </c>
    </row>
    <row r="640" spans="1:8" x14ac:dyDescent="0.25">
      <c r="A640" s="5">
        <v>41106</v>
      </c>
      <c r="B640">
        <v>286.38705700000003</v>
      </c>
      <c r="C640" s="6">
        <v>2.77521918150124E-3</v>
      </c>
      <c r="D640" s="6">
        <f t="shared" ca="1" si="47"/>
        <v>-9.8060824529840572E-3</v>
      </c>
      <c r="E640" s="6">
        <f t="shared" ca="1" si="48"/>
        <v>-1.2581301634485297E-2</v>
      </c>
      <c r="F640">
        <f t="shared" ca="1" si="46"/>
        <v>9.9233759799383162E-3</v>
      </c>
      <c r="G640">
        <f t="shared" ca="1" si="45"/>
        <v>-1.0445989943586931</v>
      </c>
      <c r="H640">
        <f t="shared" ca="1" si="49"/>
        <v>2.6835278760820014</v>
      </c>
    </row>
    <row r="641" spans="1:8" x14ac:dyDescent="0.25">
      <c r="A641" s="1">
        <v>41107</v>
      </c>
      <c r="B641">
        <v>287.28867000000002</v>
      </c>
      <c r="C641" s="6">
        <v>-3.1482323588387499E-3</v>
      </c>
      <c r="D641" s="6">
        <f t="shared" ca="1" si="47"/>
        <v>-7.7967594331544328E-3</v>
      </c>
      <c r="E641" s="6">
        <f t="shared" ca="1" si="48"/>
        <v>-4.6485270743156833E-3</v>
      </c>
      <c r="F641">
        <f t="shared" ca="1" si="46"/>
        <v>1.8013220467479475E-2</v>
      </c>
      <c r="G641">
        <f t="shared" ca="1" si="45"/>
        <v>-0.16801500447059831</v>
      </c>
      <c r="H641">
        <f t="shared" ca="1" si="49"/>
        <v>2.8014711560113326</v>
      </c>
    </row>
    <row r="642" spans="1:8" x14ac:dyDescent="0.25">
      <c r="A642" s="5">
        <v>41108</v>
      </c>
      <c r="B642">
        <v>289.29615050000001</v>
      </c>
      <c r="C642" s="6">
        <v>-6.9876772376717307E-3</v>
      </c>
      <c r="D642" s="6">
        <f t="shared" ca="1" si="47"/>
        <v>-2.3456167885391242E-3</v>
      </c>
      <c r="E642" s="6">
        <f t="shared" ca="1" si="48"/>
        <v>4.642060449132606E-3</v>
      </c>
      <c r="F642">
        <f t="shared" ca="1" si="46"/>
        <v>8.5260329851021398E-3</v>
      </c>
      <c r="G642">
        <f t="shared" ca="1" si="45"/>
        <v>-0.42176225836376019</v>
      </c>
      <c r="H642">
        <f t="shared" ca="1" si="49"/>
        <v>2.7983914007232258</v>
      </c>
    </row>
    <row r="643" spans="1:8" x14ac:dyDescent="0.25">
      <c r="A643" s="1">
        <v>41109</v>
      </c>
      <c r="B643">
        <v>295.42317489999999</v>
      </c>
      <c r="C643" s="6">
        <v>-2.1179073380030965E-2</v>
      </c>
      <c r="D643" s="6">
        <f t="shared" ca="1" si="47"/>
        <v>-1.5354539195104246E-2</v>
      </c>
      <c r="E643" s="6">
        <f t="shared" ca="1" si="48"/>
        <v>5.824534184926719E-3</v>
      </c>
      <c r="F643">
        <f t="shared" ca="1" si="46"/>
        <v>9.7050585477481931E-3</v>
      </c>
      <c r="G643">
        <f t="shared" ref="G643:G706" ca="1" si="50">_xlfn.NORM.INV(RAND(),0,1)</f>
        <v>-1.4359486509185944</v>
      </c>
      <c r="H643">
        <f t="shared" ca="1" si="49"/>
        <v>2.7870706341670273</v>
      </c>
    </row>
    <row r="644" spans="1:8" x14ac:dyDescent="0.25">
      <c r="A644" s="5">
        <v>41110</v>
      </c>
      <c r="B644">
        <v>304.27005309999998</v>
      </c>
      <c r="C644" s="6">
        <v>-2.9946459694621581E-2</v>
      </c>
      <c r="D644" s="6">
        <f t="shared" ca="1" si="47"/>
        <v>7.3396174251268605E-3</v>
      </c>
      <c r="E644" s="6">
        <f t="shared" ca="1" si="48"/>
        <v>3.7286077119748441E-2</v>
      </c>
      <c r="F644">
        <f t="shared" ref="F644:F707" ca="1" si="51">SQRT($K$6+$K$7*POWER($G643,2)+$K$8*POWER($F643,2))</f>
        <v>2.3816839123639792E-2</v>
      </c>
      <c r="G644">
        <f t="shared" ca="1" si="50"/>
        <v>0.44037389036222119</v>
      </c>
      <c r="H644">
        <f t="shared" ca="1" si="49"/>
        <v>1.5795257228779034</v>
      </c>
    </row>
    <row r="645" spans="1:8" x14ac:dyDescent="0.25">
      <c r="A645" s="1">
        <v>41113</v>
      </c>
      <c r="B645">
        <v>306.60629979999999</v>
      </c>
      <c r="C645" s="6">
        <v>-7.6782012432626218E-3</v>
      </c>
      <c r="D645" s="6">
        <f t="shared" ref="D645:D708" ca="1" si="52">($K$10*$C644)+($K$11*$C643)+($F645*$G645)</f>
        <v>-2.3230069512471078E-3</v>
      </c>
      <c r="E645" s="6">
        <f t="shared" ca="1" si="48"/>
        <v>5.355194292015514E-3</v>
      </c>
      <c r="F645">
        <f t="shared" ca="1" si="51"/>
        <v>1.1383220315882864E-2</v>
      </c>
      <c r="G645">
        <f t="shared" ca="1" si="50"/>
        <v>0.63425518584969109</v>
      </c>
      <c r="H645">
        <f t="shared" ca="1" si="49"/>
        <v>2.7918593694947513</v>
      </c>
    </row>
    <row r="646" spans="1:8" x14ac:dyDescent="0.25">
      <c r="A646" s="5">
        <v>41114</v>
      </c>
      <c r="B646">
        <v>302.65112329999999</v>
      </c>
      <c r="C646" s="6">
        <v>1.2899853990540847E-2</v>
      </c>
      <c r="D646" s="6">
        <f t="shared" ca="1" si="52"/>
        <v>5.7683547128452115E-3</v>
      </c>
      <c r="E646" s="6">
        <f t="shared" ref="E646:E709" ca="1" si="53">$D646-$C646</f>
        <v>-7.1314992776956351E-3</v>
      </c>
      <c r="F646">
        <f t="shared" ca="1" si="51"/>
        <v>1.2408707367068417E-2</v>
      </c>
      <c r="G646">
        <f t="shared" ca="1" si="50"/>
        <v>1.5522218282040321</v>
      </c>
      <c r="H646">
        <f t="shared" ref="H646:H709" ca="1" si="54">LN(_xlfn.NORM.DIST($E646,AVERAGE($E$5:$E$1763),_xlfn.STDEV.S($E$5:$E$1763),FALSE))</f>
        <v>2.7764962185154456</v>
      </c>
    </row>
    <row r="647" spans="1:8" x14ac:dyDescent="0.25">
      <c r="A647" s="1">
        <v>41115</v>
      </c>
      <c r="B647">
        <v>302.86032169999999</v>
      </c>
      <c r="C647" s="6">
        <v>-6.9121963837096099E-4</v>
      </c>
      <c r="D647" s="6">
        <f t="shared" ca="1" si="52"/>
        <v>-1.6973836918068044E-2</v>
      </c>
      <c r="E647" s="6">
        <f t="shared" ca="1" si="53"/>
        <v>-1.6282617279697084E-2</v>
      </c>
      <c r="F647">
        <f t="shared" ca="1" si="51"/>
        <v>2.5651897203940337E-2</v>
      </c>
      <c r="G647">
        <f t="shared" ca="1" si="50"/>
        <v>-0.52684538171751227</v>
      </c>
      <c r="H647">
        <f t="shared" ca="1" si="54"/>
        <v>2.5904962545136025</v>
      </c>
    </row>
    <row r="648" spans="1:8" x14ac:dyDescent="0.25">
      <c r="A648" s="5">
        <v>41116</v>
      </c>
      <c r="B648">
        <v>305.53531409999999</v>
      </c>
      <c r="C648" s="6">
        <v>-8.8324293687098987E-3</v>
      </c>
      <c r="D648" s="6">
        <f t="shared" ca="1" si="52"/>
        <v>-8.2617042592841947E-3</v>
      </c>
      <c r="E648" s="6">
        <f t="shared" ca="1" si="53"/>
        <v>5.7072510942570397E-4</v>
      </c>
      <c r="F648">
        <f t="shared" ca="1" si="51"/>
        <v>1.2501018628334375E-2</v>
      </c>
      <c r="G648">
        <f t="shared" ca="1" si="50"/>
        <v>-1.1258131642980018</v>
      </c>
      <c r="H648">
        <f t="shared" ca="1" si="54"/>
        <v>2.818493203005247</v>
      </c>
    </row>
    <row r="649" spans="1:8" x14ac:dyDescent="0.25">
      <c r="A649" s="1">
        <v>41117</v>
      </c>
      <c r="B649">
        <v>316.29500669999999</v>
      </c>
      <c r="C649" s="6">
        <v>-3.5215872285317591E-2</v>
      </c>
      <c r="D649" s="6">
        <f t="shared" ca="1" si="52"/>
        <v>-1.2628209433654145E-2</v>
      </c>
      <c r="E649" s="6">
        <f t="shared" ca="1" si="53"/>
        <v>2.2587662851663446E-2</v>
      </c>
      <c r="F649">
        <f t="shared" ca="1" si="51"/>
        <v>1.9294376429280412E-2</v>
      </c>
      <c r="G649">
        <f t="shared" ca="1" si="50"/>
        <v>-0.6383533351174091</v>
      </c>
      <c r="H649">
        <f t="shared" ca="1" si="54"/>
        <v>2.3611110830941109</v>
      </c>
    </row>
    <row r="650" spans="1:8" x14ac:dyDescent="0.25">
      <c r="A650" s="5">
        <v>41120</v>
      </c>
      <c r="B650">
        <v>314.96996130000002</v>
      </c>
      <c r="C650" s="6">
        <v>4.1892706869594886E-3</v>
      </c>
      <c r="D650" s="6">
        <f t="shared" ca="1" si="52"/>
        <v>1.2535903923976265E-2</v>
      </c>
      <c r="E650" s="6">
        <f t="shared" ca="1" si="53"/>
        <v>8.3466332370167769E-3</v>
      </c>
      <c r="F650">
        <f t="shared" ca="1" si="51"/>
        <v>1.3064356987047424E-2</v>
      </c>
      <c r="G650">
        <f t="shared" ca="1" si="50"/>
        <v>1.2642029487545685</v>
      </c>
      <c r="H650">
        <f t="shared" ca="1" si="54"/>
        <v>2.7546792522329744</v>
      </c>
    </row>
    <row r="651" spans="1:8" x14ac:dyDescent="0.25">
      <c r="A651" s="1">
        <v>41121</v>
      </c>
      <c r="B651">
        <v>315.3037023</v>
      </c>
      <c r="C651" s="6">
        <v>-1.0595962822057691E-3</v>
      </c>
      <c r="D651" s="6">
        <f t="shared" ca="1" si="52"/>
        <v>-4.6496452206376021E-2</v>
      </c>
      <c r="E651" s="6">
        <f t="shared" ca="1" si="53"/>
        <v>-4.5436855924170252E-2</v>
      </c>
      <c r="F651">
        <f t="shared" ca="1" si="51"/>
        <v>2.1353999979979773E-2</v>
      </c>
      <c r="G651">
        <f t="shared" ca="1" si="50"/>
        <v>-1.4343807480723969</v>
      </c>
      <c r="H651">
        <f t="shared" ca="1" si="54"/>
        <v>1.0123994537011818</v>
      </c>
    </row>
    <row r="652" spans="1:8" x14ac:dyDescent="0.25">
      <c r="A652" s="5">
        <v>41122</v>
      </c>
      <c r="B652">
        <v>315.1592622</v>
      </c>
      <c r="C652" s="6">
        <v>4.5809833169217778E-4</v>
      </c>
      <c r="D652" s="6">
        <f t="shared" ca="1" si="52"/>
        <v>-3.1197107945204645E-2</v>
      </c>
      <c r="E652" s="6">
        <f t="shared" ca="1" si="53"/>
        <v>-3.1655206276896823E-2</v>
      </c>
      <c r="F652">
        <f t="shared" ca="1" si="51"/>
        <v>2.4270696746133514E-2</v>
      </c>
      <c r="G652">
        <f t="shared" ca="1" si="50"/>
        <v>-1.3631497963211479</v>
      </c>
      <c r="H652">
        <f t="shared" ca="1" si="54"/>
        <v>1.9453523951640594</v>
      </c>
    </row>
    <row r="653" spans="1:8" x14ac:dyDescent="0.25">
      <c r="A653" s="1">
        <v>41123</v>
      </c>
      <c r="B653">
        <v>313.20158709999998</v>
      </c>
      <c r="C653" s="6">
        <v>6.2117009867781615E-3</v>
      </c>
      <c r="D653" s="6">
        <f t="shared" ca="1" si="52"/>
        <v>-3.4308748923980253E-2</v>
      </c>
      <c r="E653" s="6">
        <f t="shared" ca="1" si="53"/>
        <v>-4.0520449910758413E-2</v>
      </c>
      <c r="F653">
        <f t="shared" ca="1" si="51"/>
        <v>2.3401270370304057E-2</v>
      </c>
      <c r="G653">
        <f t="shared" ca="1" si="50"/>
        <v>-1.4457056188061368</v>
      </c>
      <c r="H653">
        <f t="shared" ca="1" si="54"/>
        <v>1.3836802261972148</v>
      </c>
    </row>
    <row r="654" spans="1:8" x14ac:dyDescent="0.25">
      <c r="A654" s="5">
        <v>41124</v>
      </c>
      <c r="B654">
        <v>319.4681076</v>
      </c>
      <c r="C654" s="6">
        <v>-2.0007946185787426E-2</v>
      </c>
      <c r="D654" s="6">
        <f t="shared" ca="1" si="52"/>
        <v>-2.3252632493028471E-2</v>
      </c>
      <c r="E654" s="6">
        <f t="shared" ca="1" si="53"/>
        <v>-3.2446863072410452E-3</v>
      </c>
      <c r="F654">
        <f t="shared" ca="1" si="51"/>
        <v>2.4556973883536636E-2</v>
      </c>
      <c r="G654">
        <f t="shared" ca="1" si="50"/>
        <v>-0.95529419573845487</v>
      </c>
      <c r="H654">
        <f t="shared" ca="1" si="54"/>
        <v>2.8107764229917751</v>
      </c>
    </row>
    <row r="655" spans="1:8" x14ac:dyDescent="0.25">
      <c r="A655" s="1">
        <v>41127</v>
      </c>
      <c r="B655">
        <v>320.21032709999997</v>
      </c>
      <c r="C655" s="6">
        <v>-2.3232976386152919E-3</v>
      </c>
      <c r="D655" s="6">
        <f t="shared" ca="1" si="52"/>
        <v>-7.6495189420449482E-3</v>
      </c>
      <c r="E655" s="6">
        <f t="shared" ca="1" si="53"/>
        <v>-5.3262213034296563E-3</v>
      </c>
      <c r="F655">
        <f t="shared" ca="1" si="51"/>
        <v>1.76570215006247E-2</v>
      </c>
      <c r="G655">
        <f t="shared" ca="1" si="50"/>
        <v>-0.59171434251743582</v>
      </c>
      <c r="H655">
        <f t="shared" ca="1" si="54"/>
        <v>2.7957342332094446</v>
      </c>
    </row>
    <row r="656" spans="1:8" x14ac:dyDescent="0.25">
      <c r="A656" s="5">
        <v>41128</v>
      </c>
      <c r="B656">
        <v>319.07458259999999</v>
      </c>
      <c r="C656" s="6">
        <v>3.5468703032969333E-3</v>
      </c>
      <c r="D656" s="6">
        <f t="shared" ca="1" si="52"/>
        <v>-1.3271130627878666E-2</v>
      </c>
      <c r="E656" s="6">
        <f t="shared" ca="1" si="53"/>
        <v>-1.6818000931175602E-2</v>
      </c>
      <c r="F656">
        <f t="shared" ca="1" si="51"/>
        <v>1.2348140120314677E-2</v>
      </c>
      <c r="G656">
        <f t="shared" ca="1" si="50"/>
        <v>-0.34469754148067133</v>
      </c>
      <c r="H656">
        <f t="shared" ca="1" si="54"/>
        <v>2.575037820989964</v>
      </c>
    </row>
    <row r="657" spans="1:8" x14ac:dyDescent="0.25">
      <c r="A657" s="1">
        <v>41129</v>
      </c>
      <c r="B657">
        <v>319.91641170000003</v>
      </c>
      <c r="C657" s="6">
        <v>-2.6383458473575104E-3</v>
      </c>
      <c r="D657" s="6">
        <f t="shared" ca="1" si="52"/>
        <v>-8.5118399411876419E-3</v>
      </c>
      <c r="E657" s="6">
        <f t="shared" ca="1" si="53"/>
        <v>-5.8734940938301311E-3</v>
      </c>
      <c r="F657">
        <f t="shared" ca="1" si="51"/>
        <v>9.1902910063440119E-3</v>
      </c>
      <c r="G657">
        <f t="shared" ca="1" si="50"/>
        <v>-0.81228339465228083</v>
      </c>
      <c r="H657">
        <f t="shared" ca="1" si="54"/>
        <v>2.7905097649488773</v>
      </c>
    </row>
    <row r="658" spans="1:8" x14ac:dyDescent="0.25">
      <c r="A658" s="5">
        <v>41130</v>
      </c>
      <c r="B658">
        <v>319.97619570000001</v>
      </c>
      <c r="C658" s="6">
        <v>-1.8687381395125589E-4</v>
      </c>
      <c r="D658" s="6">
        <f t="shared" ca="1" si="52"/>
        <v>-1.1722314541391073E-3</v>
      </c>
      <c r="E658" s="6">
        <f t="shared" ca="1" si="53"/>
        <v>-9.8535764018785137E-4</v>
      </c>
      <c r="F658">
        <f t="shared" ca="1" si="51"/>
        <v>1.4682890633183551E-2</v>
      </c>
      <c r="G658">
        <f t="shared" ca="1" si="50"/>
        <v>-0.18867230235239632</v>
      </c>
      <c r="H658">
        <f t="shared" ca="1" si="54"/>
        <v>2.8184485312260943</v>
      </c>
    </row>
    <row r="659" spans="1:8" x14ac:dyDescent="0.25">
      <c r="A659" s="1">
        <v>41131</v>
      </c>
      <c r="B659">
        <v>319.80184819999999</v>
      </c>
      <c r="C659" s="6">
        <v>5.4487647000926677E-4</v>
      </c>
      <c r="D659" s="6">
        <f t="shared" ca="1" si="52"/>
        <v>-2.2708010179459154E-3</v>
      </c>
      <c r="E659" s="6">
        <f t="shared" ca="1" si="53"/>
        <v>-2.8156774879551823E-3</v>
      </c>
      <c r="F659">
        <f t="shared" ca="1" si="51"/>
        <v>8.2237710841453933E-3</v>
      </c>
      <c r="G659">
        <f t="shared" ca="1" si="50"/>
        <v>-0.13157867973354645</v>
      </c>
      <c r="H659">
        <f t="shared" ca="1" si="54"/>
        <v>2.8129261752884043</v>
      </c>
    </row>
    <row r="660" spans="1:8" x14ac:dyDescent="0.25">
      <c r="A660" s="5">
        <v>41134</v>
      </c>
      <c r="B660">
        <v>328.77323819999998</v>
      </c>
      <c r="C660" s="6">
        <v>-2.8052964829613468E-2</v>
      </c>
      <c r="D660" s="6">
        <f t="shared" ca="1" si="52"/>
        <v>-7.1815146345059686E-3</v>
      </c>
      <c r="E660" s="6">
        <f t="shared" ca="1" si="53"/>
        <v>2.0871450195107499E-2</v>
      </c>
      <c r="F660">
        <f t="shared" ca="1" si="51"/>
        <v>7.3257732481600028E-3</v>
      </c>
      <c r="G660">
        <f t="shared" ca="1" si="50"/>
        <v>-0.96881600295976789</v>
      </c>
      <c r="H660">
        <f t="shared" ca="1" si="54"/>
        <v>2.4275099174039614</v>
      </c>
    </row>
    <row r="661" spans="1:8" x14ac:dyDescent="0.25">
      <c r="A661" s="1">
        <v>41135</v>
      </c>
      <c r="B661">
        <v>333.08211399999999</v>
      </c>
      <c r="C661" s="6">
        <v>-1.3105920127777632E-2</v>
      </c>
      <c r="D661" s="6">
        <f t="shared" ca="1" si="52"/>
        <v>9.8322530125015736E-3</v>
      </c>
      <c r="E661" s="6">
        <f t="shared" ca="1" si="53"/>
        <v>2.2938173140279204E-2</v>
      </c>
      <c r="F661">
        <f t="shared" ca="1" si="51"/>
        <v>1.683548428528853E-2</v>
      </c>
      <c r="G661">
        <f t="shared" ca="1" si="50"/>
        <v>0.56946500685124146</v>
      </c>
      <c r="H661">
        <f t="shared" ca="1" si="54"/>
        <v>2.346910854702621</v>
      </c>
    </row>
    <row r="662" spans="1:8" x14ac:dyDescent="0.25">
      <c r="A662" s="5">
        <v>41136</v>
      </c>
      <c r="B662">
        <v>332.52419070000002</v>
      </c>
      <c r="C662" s="6">
        <v>1.6750323014941906E-3</v>
      </c>
      <c r="D662" s="6">
        <f t="shared" ca="1" si="52"/>
        <v>-2.1541724134545234E-2</v>
      </c>
      <c r="E662" s="6">
        <f t="shared" ca="1" si="53"/>
        <v>-2.3216756436039425E-2</v>
      </c>
      <c r="F662">
        <f t="shared" ca="1" si="51"/>
        <v>1.2008782985769914E-2</v>
      </c>
      <c r="G662">
        <f t="shared" ca="1" si="50"/>
        <v>-0.74129492234872874</v>
      </c>
      <c r="H662">
        <f t="shared" ca="1" si="54"/>
        <v>2.3511272650025479</v>
      </c>
    </row>
    <row r="663" spans="1:8" x14ac:dyDescent="0.25">
      <c r="A663" s="1">
        <v>41137</v>
      </c>
      <c r="B663">
        <v>335.17925539999999</v>
      </c>
      <c r="C663" s="6">
        <v>-7.9845760827528516E-3</v>
      </c>
      <c r="D663" s="6">
        <f t="shared" ca="1" si="52"/>
        <v>1.0574619246499235E-2</v>
      </c>
      <c r="E663" s="6">
        <f t="shared" ca="1" si="53"/>
        <v>1.8559195329252084E-2</v>
      </c>
      <c r="F663">
        <f t="shared" ca="1" si="51"/>
        <v>1.3847981167058317E-2</v>
      </c>
      <c r="G663">
        <f t="shared" ca="1" si="50"/>
        <v>1.1900330003763673</v>
      </c>
      <c r="H663">
        <f t="shared" ca="1" si="54"/>
        <v>2.5087489277543895</v>
      </c>
    </row>
    <row r="664" spans="1:8" x14ac:dyDescent="0.25">
      <c r="A664" s="5">
        <v>41138</v>
      </c>
      <c r="B664">
        <v>337.30627279999999</v>
      </c>
      <c r="C664" s="6">
        <v>-6.3459100339059941E-3</v>
      </c>
      <c r="D664" s="6">
        <f t="shared" ca="1" si="52"/>
        <v>1.7392242262544613E-2</v>
      </c>
      <c r="E664" s="6">
        <f t="shared" ca="1" si="53"/>
        <v>2.3738152296450606E-2</v>
      </c>
      <c r="F664">
        <f t="shared" ca="1" si="51"/>
        <v>2.0291830728060626E-2</v>
      </c>
      <c r="G664">
        <f t="shared" ca="1" si="50"/>
        <v>0.81991995500536241</v>
      </c>
      <c r="H664">
        <f t="shared" ca="1" si="54"/>
        <v>2.3136890780433355</v>
      </c>
    </row>
    <row r="665" spans="1:8" x14ac:dyDescent="0.25">
      <c r="A665" s="1">
        <v>41141</v>
      </c>
      <c r="B665">
        <v>336.50927460000003</v>
      </c>
      <c r="C665" s="6">
        <v>2.3628324293646571E-3</v>
      </c>
      <c r="D665" s="6">
        <f t="shared" ca="1" si="52"/>
        <v>-7.4496679699240804E-3</v>
      </c>
      <c r="E665" s="6">
        <f t="shared" ca="1" si="53"/>
        <v>-9.8125003992887375E-3</v>
      </c>
      <c r="F665">
        <f t="shared" ca="1" si="51"/>
        <v>1.5474830156684561E-2</v>
      </c>
      <c r="G665">
        <f t="shared" ca="1" si="50"/>
        <v>-0.24892402283224688</v>
      </c>
      <c r="H665">
        <f t="shared" ca="1" si="54"/>
        <v>2.7373117579386679</v>
      </c>
    </row>
    <row r="666" spans="1:8" x14ac:dyDescent="0.25">
      <c r="A666" s="5">
        <v>41142</v>
      </c>
      <c r="B666">
        <v>333.505516</v>
      </c>
      <c r="C666" s="6">
        <v>8.9262282698464018E-3</v>
      </c>
      <c r="D666" s="6">
        <f t="shared" ca="1" si="52"/>
        <v>-1.8191863879722714E-2</v>
      </c>
      <c r="E666" s="6">
        <f t="shared" ca="1" si="53"/>
        <v>-2.7118092149569117E-2</v>
      </c>
      <c r="F666">
        <f t="shared" ca="1" si="51"/>
        <v>8.703239614127797E-3</v>
      </c>
      <c r="G666">
        <f t="shared" ca="1" si="50"/>
        <v>-1.7617243634288289</v>
      </c>
      <c r="H666">
        <f t="shared" ca="1" si="54"/>
        <v>2.179146660181579</v>
      </c>
    </row>
    <row r="667" spans="1:8" x14ac:dyDescent="0.25">
      <c r="A667" s="1">
        <v>41143</v>
      </c>
      <c r="B667">
        <v>337.32620109999999</v>
      </c>
      <c r="C667" s="6">
        <v>-1.1456137655006556E-2</v>
      </c>
      <c r="D667" s="6">
        <f t="shared" ca="1" si="52"/>
        <v>-5.4949114270656463E-2</v>
      </c>
      <c r="E667" s="6">
        <f t="shared" ca="1" si="53"/>
        <v>-4.3492976615649909E-2</v>
      </c>
      <c r="F667">
        <f t="shared" ca="1" si="51"/>
        <v>2.8755444060274783E-2</v>
      </c>
      <c r="G667">
        <f t="shared" ca="1" si="50"/>
        <v>-1.9479390514825203</v>
      </c>
      <c r="H667">
        <f t="shared" ca="1" si="54"/>
        <v>1.164297961414086</v>
      </c>
    </row>
    <row r="668" spans="1:8" x14ac:dyDescent="0.25">
      <c r="A668" s="5">
        <v>41144</v>
      </c>
      <c r="B668">
        <v>337.13690009999999</v>
      </c>
      <c r="C668" s="6">
        <v>5.6118083736958902E-4</v>
      </c>
      <c r="D668" s="6">
        <f t="shared" ca="1" si="52"/>
        <v>-2.2735653112481626E-2</v>
      </c>
      <c r="E668" s="6">
        <f t="shared" ca="1" si="53"/>
        <v>-2.3296833949851214E-2</v>
      </c>
      <c r="F668">
        <f t="shared" ca="1" si="51"/>
        <v>3.2364640883584789E-2</v>
      </c>
      <c r="G668">
        <f t="shared" ca="1" si="50"/>
        <v>-0.82674291518957665</v>
      </c>
      <c r="H668">
        <f t="shared" ca="1" si="54"/>
        <v>2.3478672858383702</v>
      </c>
    </row>
    <row r="669" spans="1:8" x14ac:dyDescent="0.25">
      <c r="A669" s="1">
        <v>41145</v>
      </c>
      <c r="B669">
        <v>338.04849230000002</v>
      </c>
      <c r="C669" s="6">
        <v>-2.7039229456331756E-3</v>
      </c>
      <c r="D669" s="6">
        <f t="shared" ca="1" si="52"/>
        <v>-8.5460021616961604E-3</v>
      </c>
      <c r="E669" s="6">
        <f t="shared" ca="1" si="53"/>
        <v>-5.8420792160629852E-3</v>
      </c>
      <c r="F669">
        <f t="shared" ca="1" si="51"/>
        <v>1.6811020113145066E-2</v>
      </c>
      <c r="G669">
        <f t="shared" ca="1" si="50"/>
        <v>-0.20131849805876989</v>
      </c>
      <c r="H669">
        <f t="shared" ca="1" si="54"/>
        <v>2.7908239641713051</v>
      </c>
    </row>
    <row r="670" spans="1:8" x14ac:dyDescent="0.25">
      <c r="A670" s="5">
        <v>41148</v>
      </c>
      <c r="B670">
        <v>333.36104549999999</v>
      </c>
      <c r="C670" s="6">
        <v>1.3866196438587197E-2</v>
      </c>
      <c r="D670" s="6">
        <f t="shared" ca="1" si="52"/>
        <v>8.4625665770913499E-3</v>
      </c>
      <c r="E670" s="6">
        <f t="shared" ca="1" si="53"/>
        <v>-5.403629861495847E-3</v>
      </c>
      <c r="F670">
        <f t="shared" ca="1" si="51"/>
        <v>8.5508393022295775E-3</v>
      </c>
      <c r="G670">
        <f t="shared" ca="1" si="50"/>
        <v>0.96011246402598027</v>
      </c>
      <c r="H670">
        <f t="shared" ca="1" si="54"/>
        <v>2.7950273597868263</v>
      </c>
    </row>
    <row r="671" spans="1:8" x14ac:dyDescent="0.25">
      <c r="A671" s="1">
        <v>41149</v>
      </c>
      <c r="B671">
        <v>337.36108280000002</v>
      </c>
      <c r="C671" s="6">
        <v>-1.1999114335631129E-2</v>
      </c>
      <c r="D671" s="6">
        <f t="shared" ca="1" si="52"/>
        <v>-1.8691528922460333E-2</v>
      </c>
      <c r="E671" s="6">
        <f t="shared" ca="1" si="53"/>
        <v>-6.692414586829204E-3</v>
      </c>
      <c r="F671">
        <f t="shared" ca="1" si="51"/>
        <v>1.6747066361335296E-2</v>
      </c>
      <c r="G671">
        <f t="shared" ca="1" si="50"/>
        <v>-1.0433759983263813</v>
      </c>
      <c r="H671">
        <f t="shared" ca="1" si="54"/>
        <v>2.7817047211571602</v>
      </c>
    </row>
    <row r="672" spans="1:8" x14ac:dyDescent="0.25">
      <c r="A672" s="5">
        <v>41150</v>
      </c>
      <c r="B672">
        <v>342.72098560000001</v>
      </c>
      <c r="C672" s="6">
        <v>-1.5887732975938818E-2</v>
      </c>
      <c r="D672" s="6">
        <f t="shared" ca="1" si="52"/>
        <v>-2.1387732542593543E-2</v>
      </c>
      <c r="E672" s="6">
        <f t="shared" ca="1" si="53"/>
        <v>-5.4999995666547251E-3</v>
      </c>
      <c r="F672">
        <f t="shared" ca="1" si="51"/>
        <v>1.8313427843807642E-2</v>
      </c>
      <c r="G672">
        <f t="shared" ca="1" si="50"/>
        <v>-1.5090044907109053</v>
      </c>
      <c r="H672">
        <f t="shared" ca="1" si="54"/>
        <v>2.7941325595206128</v>
      </c>
    </row>
    <row r="673" spans="1:8" x14ac:dyDescent="0.25">
      <c r="A673" s="1">
        <v>41151</v>
      </c>
      <c r="B673">
        <v>339.5678125</v>
      </c>
      <c r="C673" s="6">
        <v>9.2004085903282466E-3</v>
      </c>
      <c r="D673" s="6">
        <f t="shared" ca="1" si="52"/>
        <v>-1.0842671795889998E-2</v>
      </c>
      <c r="E673" s="6">
        <f t="shared" ca="1" si="53"/>
        <v>-2.0043080386218243E-2</v>
      </c>
      <c r="F673">
        <f t="shared" ca="1" si="51"/>
        <v>2.5227082966794732E-2</v>
      </c>
      <c r="G673">
        <f t="shared" ca="1" si="50"/>
        <v>-0.21548765571356662</v>
      </c>
      <c r="H673">
        <f t="shared" ca="1" si="54"/>
        <v>2.4712157055152555</v>
      </c>
    </row>
    <row r="674" spans="1:8" x14ac:dyDescent="0.25">
      <c r="A674" s="5">
        <v>41152</v>
      </c>
      <c r="B674">
        <v>341.26642370000002</v>
      </c>
      <c r="C674" s="6">
        <v>-5.0022738830701637E-3</v>
      </c>
      <c r="D674" s="6">
        <f t="shared" ca="1" si="52"/>
        <v>-1.5061529725228109E-2</v>
      </c>
      <c r="E674" s="6">
        <f t="shared" ca="1" si="53"/>
        <v>-1.0059255842157945E-2</v>
      </c>
      <c r="F674">
        <f t="shared" ca="1" si="51"/>
        <v>9.8508325403650603E-3</v>
      </c>
      <c r="G674">
        <f t="shared" ca="1" si="50"/>
        <v>-0.80230313574098877</v>
      </c>
      <c r="H674">
        <f t="shared" ca="1" si="54"/>
        <v>2.7330677356653932</v>
      </c>
    </row>
    <row r="675" spans="1:8" x14ac:dyDescent="0.25">
      <c r="A675" s="1">
        <v>41156</v>
      </c>
      <c r="B675">
        <v>339.24899499999998</v>
      </c>
      <c r="C675" s="6">
        <v>5.9115944607944122E-3</v>
      </c>
      <c r="D675" s="6">
        <f t="shared" ca="1" si="52"/>
        <v>-5.0462121495905444E-3</v>
      </c>
      <c r="E675" s="6">
        <f t="shared" ca="1" si="53"/>
        <v>-1.0957806610384957E-2</v>
      </c>
      <c r="F675">
        <f t="shared" ca="1" si="51"/>
        <v>1.4572264212342758E-2</v>
      </c>
      <c r="G675">
        <f t="shared" ca="1" si="50"/>
        <v>-0.63074873277643684</v>
      </c>
      <c r="H675">
        <f t="shared" ca="1" si="54"/>
        <v>2.716705108325733</v>
      </c>
    </row>
    <row r="676" spans="1:8" x14ac:dyDescent="0.25">
      <c r="A676" s="5">
        <v>41157</v>
      </c>
      <c r="B676">
        <v>339.08960139999999</v>
      </c>
      <c r="C676" s="6">
        <v>4.6984251198735946E-4</v>
      </c>
      <c r="D676" s="6">
        <f t="shared" ca="1" si="52"/>
        <v>-1.9299930442089667E-2</v>
      </c>
      <c r="E676" s="6">
        <f t="shared" ca="1" si="53"/>
        <v>-1.9769772954077027E-2</v>
      </c>
      <c r="F676">
        <f t="shared" ca="1" si="51"/>
        <v>1.2574432094804114E-2</v>
      </c>
      <c r="G676">
        <f t="shared" ca="1" si="50"/>
        <v>-1.3556253651973946</v>
      </c>
      <c r="H676">
        <f t="shared" ca="1" si="54"/>
        <v>2.4807259848020364</v>
      </c>
    </row>
    <row r="677" spans="1:8" x14ac:dyDescent="0.25">
      <c r="A677" s="1">
        <v>41158</v>
      </c>
      <c r="B677">
        <v>348.39473199999998</v>
      </c>
      <c r="C677" s="6">
        <v>-2.7441509741324626E-2</v>
      </c>
      <c r="D677" s="6">
        <f t="shared" ca="1" si="52"/>
        <v>1.9294401631995374E-3</v>
      </c>
      <c r="E677" s="6">
        <f t="shared" ca="1" si="53"/>
        <v>2.9370949904524164E-2</v>
      </c>
      <c r="F677">
        <f t="shared" ca="1" si="51"/>
        <v>2.2697134271372661E-2</v>
      </c>
      <c r="G677">
        <f t="shared" ca="1" si="50"/>
        <v>-3.2342295126836097E-2</v>
      </c>
      <c r="H677">
        <f t="shared" ca="1" si="54"/>
        <v>2.0477921653991031</v>
      </c>
    </row>
    <row r="678" spans="1:8" x14ac:dyDescent="0.25">
      <c r="A678" s="5">
        <v>41159</v>
      </c>
      <c r="B678">
        <v>351.75713389999999</v>
      </c>
      <c r="C678" s="6">
        <v>-9.6511272736466321E-3</v>
      </c>
      <c r="D678" s="6">
        <f t="shared" ca="1" si="52"/>
        <v>-4.9774704493259665E-3</v>
      </c>
      <c r="E678" s="6">
        <f t="shared" ca="1" si="53"/>
        <v>4.6736568243206655E-3</v>
      </c>
      <c r="F678">
        <f t="shared" ca="1" si="51"/>
        <v>8.8308577616601665E-3</v>
      </c>
      <c r="G678">
        <f t="shared" ca="1" si="50"/>
        <v>-0.58756549736599695</v>
      </c>
      <c r="H678">
        <f t="shared" ca="1" si="54"/>
        <v>2.7981209936084488</v>
      </c>
    </row>
    <row r="679" spans="1:8" x14ac:dyDescent="0.25">
      <c r="A679" s="1">
        <v>41162</v>
      </c>
      <c r="B679">
        <v>349.0771671</v>
      </c>
      <c r="C679" s="6">
        <v>7.6187987157123821E-3</v>
      </c>
      <c r="D679" s="6">
        <f t="shared" ca="1" si="52"/>
        <v>-1.942953829002866E-2</v>
      </c>
      <c r="E679" s="6">
        <f t="shared" ca="1" si="53"/>
        <v>-2.7048337005741042E-2</v>
      </c>
      <c r="F679">
        <f t="shared" ca="1" si="51"/>
        <v>1.1679944156881951E-2</v>
      </c>
      <c r="G679">
        <f t="shared" ca="1" si="50"/>
        <v>-0.60491868628262124</v>
      </c>
      <c r="H679">
        <f t="shared" ca="1" si="54"/>
        <v>2.1824575044591783</v>
      </c>
    </row>
    <row r="680" spans="1:8" x14ac:dyDescent="0.25">
      <c r="A680" s="5">
        <v>41163</v>
      </c>
      <c r="B680">
        <v>344.80317309999998</v>
      </c>
      <c r="C680" s="6">
        <v>1.2243693953135716E-2</v>
      </c>
      <c r="D680" s="6">
        <f t="shared" ca="1" si="52"/>
        <v>-2.1511063492665582E-2</v>
      </c>
      <c r="E680" s="6">
        <f t="shared" ca="1" si="53"/>
        <v>-3.3754757445801295E-2</v>
      </c>
      <c r="F680">
        <f t="shared" ca="1" si="51"/>
        <v>1.2054413340999022E-2</v>
      </c>
      <c r="G680">
        <f t="shared" ca="1" si="50"/>
        <v>-1.4237779001351305</v>
      </c>
      <c r="H680">
        <f t="shared" ca="1" si="54"/>
        <v>1.8248674698260281</v>
      </c>
    </row>
    <row r="681" spans="1:8" x14ac:dyDescent="0.25">
      <c r="A681" s="1">
        <v>41164</v>
      </c>
      <c r="B681">
        <v>344.15064489999997</v>
      </c>
      <c r="C681" s="6">
        <v>1.8924657628100179E-3</v>
      </c>
      <c r="D681" s="6">
        <f t="shared" ca="1" si="52"/>
        <v>6.3234441300597938E-3</v>
      </c>
      <c r="E681" s="6">
        <f t="shared" ca="1" si="53"/>
        <v>4.4309783672497761E-3</v>
      </c>
      <c r="F681">
        <f t="shared" ca="1" si="51"/>
        <v>2.3701709555953712E-2</v>
      </c>
      <c r="G681">
        <f t="shared" ca="1" si="50"/>
        <v>0.12195487829784692</v>
      </c>
      <c r="H681">
        <f t="shared" ca="1" si="54"/>
        <v>2.8001526715256673</v>
      </c>
    </row>
    <row r="682" spans="1:8" x14ac:dyDescent="0.25">
      <c r="A682" s="5">
        <v>41165</v>
      </c>
      <c r="B682">
        <v>351.70232429999999</v>
      </c>
      <c r="C682" s="6">
        <v>-2.1942947113158272E-2</v>
      </c>
      <c r="D682" s="6">
        <f t="shared" ca="1" si="52"/>
        <v>-7.4199598116988352E-3</v>
      </c>
      <c r="E682" s="6">
        <f t="shared" ca="1" si="53"/>
        <v>1.4522987301459437E-2</v>
      </c>
      <c r="F682">
        <f t="shared" ca="1" si="51"/>
        <v>9.1870875008739066E-3</v>
      </c>
      <c r="G682">
        <f t="shared" ca="1" si="50"/>
        <v>-1.4081146152184683</v>
      </c>
      <c r="H682">
        <f t="shared" ca="1" si="54"/>
        <v>2.6279449765513228</v>
      </c>
    </row>
    <row r="683" spans="1:8" x14ac:dyDescent="0.25">
      <c r="A683" s="1">
        <v>41166</v>
      </c>
      <c r="B683">
        <v>353.51555990000003</v>
      </c>
      <c r="C683" s="6">
        <v>-5.1555974320299409E-3</v>
      </c>
      <c r="D683" s="6">
        <f t="shared" ca="1" si="52"/>
        <v>1.2863469143797115E-2</v>
      </c>
      <c r="E683" s="6">
        <f t="shared" ca="1" si="53"/>
        <v>1.8019066575827056E-2</v>
      </c>
      <c r="F683">
        <f t="shared" ca="1" si="51"/>
        <v>2.3383804494365112E-2</v>
      </c>
      <c r="G683">
        <f t="shared" ca="1" si="50"/>
        <v>0.51365330895019856</v>
      </c>
      <c r="H683">
        <f t="shared" ca="1" si="54"/>
        <v>2.5263662666237732</v>
      </c>
    </row>
    <row r="684" spans="1:8" x14ac:dyDescent="0.25">
      <c r="A684" s="5">
        <v>41169</v>
      </c>
      <c r="B684">
        <v>353.66497390000001</v>
      </c>
      <c r="C684" s="6">
        <v>-4.2265183473746959E-4</v>
      </c>
      <c r="D684" s="6">
        <f t="shared" ca="1" si="52"/>
        <v>-2.0821446037927765E-2</v>
      </c>
      <c r="E684" s="6">
        <f t="shared" ca="1" si="53"/>
        <v>-2.0398794203190296E-2</v>
      </c>
      <c r="F684">
        <f t="shared" ca="1" si="51"/>
        <v>1.2074093713883556E-2</v>
      </c>
      <c r="G684">
        <f t="shared" ca="1" si="50"/>
        <v>-0.90564263442997739</v>
      </c>
      <c r="H684">
        <f t="shared" ca="1" si="54"/>
        <v>2.4586404739508985</v>
      </c>
    </row>
    <row r="685" spans="1:8" x14ac:dyDescent="0.25">
      <c r="A685" s="1">
        <v>41170</v>
      </c>
      <c r="B685">
        <v>357.79950259999998</v>
      </c>
      <c r="C685" s="6">
        <v>-1.1690523532502904E-2</v>
      </c>
      <c r="D685" s="6">
        <f t="shared" ca="1" si="52"/>
        <v>3.1892984719228646E-3</v>
      </c>
      <c r="E685" s="6">
        <f t="shared" ca="1" si="53"/>
        <v>1.487982200442577E-2</v>
      </c>
      <c r="F685">
        <f t="shared" ca="1" si="51"/>
        <v>1.6113062026964279E-2</v>
      </c>
      <c r="G685">
        <f t="shared" ca="1" si="50"/>
        <v>0.34209485235273296</v>
      </c>
      <c r="H685">
        <f t="shared" ca="1" si="54"/>
        <v>2.6185656821757406</v>
      </c>
    </row>
    <row r="686" spans="1:8" x14ac:dyDescent="0.25">
      <c r="A686" s="5">
        <v>41171</v>
      </c>
      <c r="B686">
        <v>362.39228379999997</v>
      </c>
      <c r="C686" s="6">
        <v>-1.2836186653770912E-2</v>
      </c>
      <c r="D686" s="6">
        <f t="shared" ca="1" si="52"/>
        <v>2.4819170356926404E-3</v>
      </c>
      <c r="E686" s="6">
        <f t="shared" ca="1" si="53"/>
        <v>1.5318103689463552E-2</v>
      </c>
      <c r="F686">
        <f t="shared" ca="1" si="51"/>
        <v>9.5295018671590556E-3</v>
      </c>
      <c r="G686">
        <f t="shared" ca="1" si="50"/>
        <v>0.28044898431339083</v>
      </c>
      <c r="H686">
        <f t="shared" ca="1" si="54"/>
        <v>2.6067380456767575</v>
      </c>
    </row>
    <row r="687" spans="1:8" x14ac:dyDescent="0.25">
      <c r="A687" s="1">
        <v>41172</v>
      </c>
      <c r="B687">
        <v>362.70112260000002</v>
      </c>
      <c r="C687" s="6">
        <v>-8.5222233972975781E-4</v>
      </c>
      <c r="D687" s="6">
        <f t="shared" ca="1" si="52"/>
        <v>2.2435230508819426E-3</v>
      </c>
      <c r="E687" s="6">
        <f t="shared" ca="1" si="53"/>
        <v>3.0957453906117005E-3</v>
      </c>
      <c r="F687">
        <f t="shared" ca="1" si="51"/>
        <v>8.3960752774057835E-3</v>
      </c>
      <c r="G687">
        <f t="shared" ca="1" si="50"/>
        <v>0.89458246039384948</v>
      </c>
      <c r="H687">
        <f t="shared" ca="1" si="54"/>
        <v>2.8094718111999439</v>
      </c>
    </row>
    <row r="688" spans="1:8" x14ac:dyDescent="0.25">
      <c r="A688" s="5">
        <v>41173</v>
      </c>
      <c r="B688">
        <v>365.62516909999999</v>
      </c>
      <c r="C688" s="6">
        <v>-8.0618622821984464E-3</v>
      </c>
      <c r="D688" s="6">
        <f t="shared" ca="1" si="52"/>
        <v>-1.881377340115965E-2</v>
      </c>
      <c r="E688" s="6">
        <f t="shared" ca="1" si="53"/>
        <v>-1.0751911118961203E-2</v>
      </c>
      <c r="F688">
        <f t="shared" ca="1" si="51"/>
        <v>1.5807271869312557E-2</v>
      </c>
      <c r="G688">
        <f t="shared" ca="1" si="50"/>
        <v>-0.82432482077549807</v>
      </c>
      <c r="H688">
        <f t="shared" ca="1" si="54"/>
        <v>2.7205803243972335</v>
      </c>
    </row>
    <row r="689" spans="1:8" x14ac:dyDescent="0.25">
      <c r="A689" s="1">
        <v>41176</v>
      </c>
      <c r="B689">
        <v>373.29144200000002</v>
      </c>
      <c r="C689" s="6">
        <v>-2.0967574302586556E-2</v>
      </c>
      <c r="D689" s="6">
        <f t="shared" ca="1" si="52"/>
        <v>-2.109227651837086E-2</v>
      </c>
      <c r="E689" s="6">
        <f t="shared" ca="1" si="53"/>
        <v>-1.2470221578430446E-4</v>
      </c>
      <c r="F689">
        <f t="shared" ca="1" si="51"/>
        <v>1.5199144941453123E-2</v>
      </c>
      <c r="G689">
        <f t="shared" ca="1" si="50"/>
        <v>-1.3624561494433043</v>
      </c>
      <c r="H689">
        <f t="shared" ca="1" si="54"/>
        <v>2.8190014259427318</v>
      </c>
    </row>
    <row r="690" spans="1:8" x14ac:dyDescent="0.25">
      <c r="A690" s="5">
        <v>41177</v>
      </c>
      <c r="B690">
        <v>373.1818533</v>
      </c>
      <c r="C690" s="6">
        <v>2.9357410234981363E-4</v>
      </c>
      <c r="D690" s="6">
        <f t="shared" ca="1" si="52"/>
        <v>-3.5850592482147671E-3</v>
      </c>
      <c r="E690" s="6">
        <f t="shared" ca="1" si="53"/>
        <v>-3.8786333505645807E-3</v>
      </c>
      <c r="F690">
        <f t="shared" ca="1" si="51"/>
        <v>2.2900492664587026E-2</v>
      </c>
      <c r="G690">
        <f t="shared" ca="1" si="50"/>
        <v>2.0792319915911395E-3</v>
      </c>
      <c r="H690">
        <f t="shared" ca="1" si="54"/>
        <v>2.8070050618879598</v>
      </c>
    </row>
    <row r="691" spans="1:8" x14ac:dyDescent="0.25">
      <c r="A691" s="1">
        <v>41178</v>
      </c>
      <c r="B691">
        <v>375.32385499999998</v>
      </c>
      <c r="C691" s="6">
        <v>-5.739833491523046E-3</v>
      </c>
      <c r="D691" s="6">
        <f t="shared" ca="1" si="52"/>
        <v>6.7471900495544111E-3</v>
      </c>
      <c r="E691" s="6">
        <f t="shared" ca="1" si="53"/>
        <v>1.2487023541077457E-2</v>
      </c>
      <c r="F691">
        <f t="shared" ca="1" si="51"/>
        <v>8.8493770903508868E-3</v>
      </c>
      <c r="G691">
        <f t="shared" ca="1" si="50"/>
        <v>1.8299899276267402</v>
      </c>
      <c r="H691">
        <f t="shared" ca="1" si="54"/>
        <v>2.6771605270100585</v>
      </c>
    </row>
    <row r="692" spans="1:8" x14ac:dyDescent="0.25">
      <c r="A692" s="5">
        <v>41179</v>
      </c>
      <c r="B692">
        <v>376.83817049999999</v>
      </c>
      <c r="C692" s="6">
        <v>-4.0346902543671502E-3</v>
      </c>
      <c r="D692" s="6">
        <f t="shared" ca="1" si="52"/>
        <v>-1.8118904514723615E-3</v>
      </c>
      <c r="E692" s="6">
        <f t="shared" ca="1" si="53"/>
        <v>2.222799802894789E-3</v>
      </c>
      <c r="F692">
        <f t="shared" ca="1" si="51"/>
        <v>2.9806435123101466E-2</v>
      </c>
      <c r="G692">
        <f t="shared" ca="1" si="50"/>
        <v>-6.5223074962010144E-2</v>
      </c>
      <c r="H692">
        <f t="shared" ca="1" si="54"/>
        <v>2.813863363887152</v>
      </c>
    </row>
    <row r="693" spans="1:8" x14ac:dyDescent="0.25">
      <c r="A693" s="1">
        <v>41180</v>
      </c>
      <c r="B693">
        <v>375.84189179999998</v>
      </c>
      <c r="C693" s="6">
        <v>2.6437839316492619E-3</v>
      </c>
      <c r="D693" s="6">
        <f t="shared" ca="1" si="52"/>
        <v>1.0160499131171576E-3</v>
      </c>
      <c r="E693" s="6">
        <f t="shared" ca="1" si="53"/>
        <v>-1.6277340185321043E-3</v>
      </c>
      <c r="F693">
        <f t="shared" ca="1" si="51"/>
        <v>1.0122533912063676E-2</v>
      </c>
      <c r="G693">
        <f t="shared" ca="1" si="50"/>
        <v>0.35586330414249889</v>
      </c>
      <c r="H693">
        <f t="shared" ca="1" si="54"/>
        <v>2.8171838125472801</v>
      </c>
    </row>
    <row r="694" spans="1:8" x14ac:dyDescent="0.25">
      <c r="A694" s="5">
        <v>41183</v>
      </c>
      <c r="B694">
        <v>379.46830210000002</v>
      </c>
      <c r="C694" s="6">
        <v>-9.6487655557294418E-3</v>
      </c>
      <c r="D694" s="6">
        <f t="shared" ca="1" si="52"/>
        <v>1.8079199676288304E-3</v>
      </c>
      <c r="E694" s="6">
        <f t="shared" ca="1" si="53"/>
        <v>1.1456685523358273E-2</v>
      </c>
      <c r="F694">
        <f t="shared" ca="1" si="51"/>
        <v>9.1239965212308542E-3</v>
      </c>
      <c r="G694">
        <f t="shared" ca="1" si="50"/>
        <v>0.39738439749325882</v>
      </c>
      <c r="H694">
        <f t="shared" ca="1" si="54"/>
        <v>2.6992789329880145</v>
      </c>
    </row>
    <row r="695" spans="1:8" x14ac:dyDescent="0.25">
      <c r="A695" s="1">
        <v>41184</v>
      </c>
      <c r="B695">
        <v>377.08225069999997</v>
      </c>
      <c r="C695" s="6">
        <v>6.2878806656458328E-3</v>
      </c>
      <c r="D695" s="6">
        <f t="shared" ca="1" si="52"/>
        <v>1.1998899952997218E-2</v>
      </c>
      <c r="E695" s="6">
        <f t="shared" ca="1" si="53"/>
        <v>5.7110192873513852E-3</v>
      </c>
      <c r="F695">
        <f t="shared" ca="1" si="51"/>
        <v>9.4793602583818325E-3</v>
      </c>
      <c r="G695">
        <f t="shared" ca="1" si="50"/>
        <v>1.1401491353707591</v>
      </c>
      <c r="H695">
        <f t="shared" ca="1" si="54"/>
        <v>2.7882644860677663</v>
      </c>
    </row>
    <row r="696" spans="1:8" x14ac:dyDescent="0.25">
      <c r="A696" s="5">
        <v>41185</v>
      </c>
      <c r="B696">
        <v>379.82697569999999</v>
      </c>
      <c r="C696" s="6">
        <v>-7.278849627381883E-3</v>
      </c>
      <c r="D696" s="6">
        <f t="shared" ca="1" si="52"/>
        <v>4.0462403751625652E-2</v>
      </c>
      <c r="E696" s="6">
        <f t="shared" ca="1" si="53"/>
        <v>4.7741253379007531E-2</v>
      </c>
      <c r="F696">
        <f t="shared" ca="1" si="51"/>
        <v>1.9395682684538514E-2</v>
      </c>
      <c r="G696">
        <f t="shared" ca="1" si="50"/>
        <v>2.3102882525753778</v>
      </c>
      <c r="H696">
        <f t="shared" ca="1" si="54"/>
        <v>0.7914935140449576</v>
      </c>
    </row>
    <row r="697" spans="1:8" x14ac:dyDescent="0.25">
      <c r="A697" s="1">
        <v>41186</v>
      </c>
      <c r="B697">
        <v>382.59159829999999</v>
      </c>
      <c r="C697" s="6">
        <v>-7.2786367921997899E-3</v>
      </c>
      <c r="D697" s="6">
        <f t="shared" ca="1" si="52"/>
        <v>-2.18217996358346E-2</v>
      </c>
      <c r="E697" s="6">
        <f t="shared" ca="1" si="53"/>
        <v>-1.454316284363481E-2</v>
      </c>
      <c r="F697">
        <f t="shared" ca="1" si="51"/>
        <v>3.7485643004585754E-2</v>
      </c>
      <c r="G697">
        <f t="shared" ca="1" si="50"/>
        <v>-0.65771120409198636</v>
      </c>
      <c r="H697">
        <f t="shared" ca="1" si="54"/>
        <v>2.6372285330001888</v>
      </c>
    </row>
    <row r="698" spans="1:8" x14ac:dyDescent="0.25">
      <c r="A698" s="5">
        <v>41187</v>
      </c>
      <c r="B698">
        <v>382.39234859999999</v>
      </c>
      <c r="C698" s="6">
        <v>5.2078953350083478E-4</v>
      </c>
      <c r="D698" s="6">
        <f t="shared" ca="1" si="52"/>
        <v>-7.488431526706741E-3</v>
      </c>
      <c r="E698" s="6">
        <f t="shared" ca="1" si="53"/>
        <v>-8.0092210602075754E-3</v>
      </c>
      <c r="F698">
        <f t="shared" ca="1" si="51"/>
        <v>1.5571837049314223E-2</v>
      </c>
      <c r="G698">
        <f t="shared" ca="1" si="50"/>
        <v>-0.27028121538614769</v>
      </c>
      <c r="H698">
        <f t="shared" ca="1" si="54"/>
        <v>2.7650645569498176</v>
      </c>
    </row>
    <row r="699" spans="1:8" x14ac:dyDescent="0.25">
      <c r="A699" s="1">
        <v>41190</v>
      </c>
      <c r="B699">
        <v>377.50565210000002</v>
      </c>
      <c r="C699" s="6">
        <v>1.2779273743031089E-2</v>
      </c>
      <c r="D699" s="6">
        <f t="shared" ca="1" si="52"/>
        <v>-4.3801919801723342E-3</v>
      </c>
      <c r="E699" s="6">
        <f t="shared" ca="1" si="53"/>
        <v>-1.7159465723203423E-2</v>
      </c>
      <c r="F699">
        <f t="shared" ca="1" si="51"/>
        <v>8.872068025425112E-3</v>
      </c>
      <c r="G699">
        <f t="shared" ca="1" si="50"/>
        <v>-0.12407032939953284</v>
      </c>
      <c r="H699">
        <f t="shared" ca="1" si="54"/>
        <v>2.5649142888189558</v>
      </c>
    </row>
    <row r="700" spans="1:8" x14ac:dyDescent="0.25">
      <c r="A700" s="5">
        <v>41191</v>
      </c>
      <c r="B700">
        <v>370.65633609999998</v>
      </c>
      <c r="C700" s="6">
        <v>1.8143611789382383E-2</v>
      </c>
      <c r="D700" s="6">
        <f t="shared" ca="1" si="52"/>
        <v>-3.2241906058596381E-3</v>
      </c>
      <c r="E700" s="6">
        <f t="shared" ca="1" si="53"/>
        <v>-2.1367802395242021E-2</v>
      </c>
      <c r="F700">
        <f t="shared" ca="1" si="51"/>
        <v>7.3409446439714936E-3</v>
      </c>
      <c r="G700">
        <f t="shared" ca="1" si="50"/>
        <v>-0.47119921021481198</v>
      </c>
      <c r="H700">
        <f t="shared" ca="1" si="54"/>
        <v>2.4232511813937525</v>
      </c>
    </row>
    <row r="701" spans="1:8" x14ac:dyDescent="0.25">
      <c r="A701" s="1">
        <v>41192</v>
      </c>
      <c r="B701">
        <v>370.89043709999999</v>
      </c>
      <c r="C701" s="6">
        <v>-6.3158504846616505E-4</v>
      </c>
      <c r="D701" s="6">
        <f t="shared" ca="1" si="52"/>
        <v>1.7208256038865687E-2</v>
      </c>
      <c r="E701" s="6">
        <f t="shared" ca="1" si="53"/>
        <v>1.7839841087331852E-2</v>
      </c>
      <c r="F701">
        <f t="shared" ca="1" si="51"/>
        <v>1.0200364216216548E-2</v>
      </c>
      <c r="G701">
        <f t="shared" ca="1" si="50"/>
        <v>1.1225251797877807</v>
      </c>
      <c r="H701">
        <f t="shared" ca="1" si="54"/>
        <v>2.5320982752251289</v>
      </c>
    </row>
    <row r="702" spans="1:8" x14ac:dyDescent="0.25">
      <c r="A702" s="5">
        <v>41193</v>
      </c>
      <c r="B702">
        <v>374.33752559999999</v>
      </c>
      <c r="C702" s="6">
        <v>-9.2940883754050463E-3</v>
      </c>
      <c r="D702" s="6">
        <f t="shared" ca="1" si="52"/>
        <v>1.0939360018721804E-2</v>
      </c>
      <c r="E702" s="6">
        <f t="shared" ca="1" si="53"/>
        <v>2.023344839412685E-2</v>
      </c>
      <c r="F702">
        <f t="shared" ca="1" si="51"/>
        <v>1.9160089658750764E-2</v>
      </c>
      <c r="G702">
        <f t="shared" ca="1" si="50"/>
        <v>0.14429163048536287</v>
      </c>
      <c r="H702">
        <f t="shared" ca="1" si="54"/>
        <v>2.4508681895811235</v>
      </c>
    </row>
    <row r="703" spans="1:8" x14ac:dyDescent="0.25">
      <c r="A703" s="1">
        <v>41194</v>
      </c>
      <c r="B703">
        <v>370.98510279999999</v>
      </c>
      <c r="C703" s="6">
        <v>8.9556151086552984E-3</v>
      </c>
      <c r="D703" s="6">
        <f t="shared" ca="1" si="52"/>
        <v>7.9999485763526269E-3</v>
      </c>
      <c r="E703" s="6">
        <f t="shared" ca="1" si="53"/>
        <v>-9.5566653230267154E-4</v>
      </c>
      <c r="F703">
        <f t="shared" ca="1" si="51"/>
        <v>8.5757113197333975E-3</v>
      </c>
      <c r="G703">
        <f t="shared" ca="1" si="50"/>
        <v>0.96606182479019442</v>
      </c>
      <c r="H703">
        <f t="shared" ca="1" si="54"/>
        <v>2.818489377991082</v>
      </c>
    </row>
    <row r="704" spans="1:8" x14ac:dyDescent="0.25">
      <c r="A704" s="5">
        <v>41197</v>
      </c>
      <c r="B704">
        <v>369.10713929999997</v>
      </c>
      <c r="C704" s="6">
        <v>5.0620994908586424E-3</v>
      </c>
      <c r="D704" s="6">
        <f t="shared" ca="1" si="52"/>
        <v>1.0857369971345093E-2</v>
      </c>
      <c r="E704" s="6">
        <f t="shared" ca="1" si="53"/>
        <v>5.7952704804864509E-3</v>
      </c>
      <c r="F704">
        <f t="shared" ca="1" si="51"/>
        <v>1.6833307122128095E-2</v>
      </c>
      <c r="G704">
        <f t="shared" ca="1" si="50"/>
        <v>0.89374818514747623</v>
      </c>
      <c r="H704">
        <f t="shared" ca="1" si="54"/>
        <v>2.7873805803656908</v>
      </c>
    </row>
    <row r="705" spans="1:8" x14ac:dyDescent="0.25">
      <c r="A705" s="1">
        <v>41198</v>
      </c>
      <c r="B705">
        <v>370.96020010000001</v>
      </c>
      <c r="C705" s="6">
        <v>-5.0203873149522607E-3</v>
      </c>
      <c r="D705" s="6">
        <f t="shared" ca="1" si="52"/>
        <v>-4.7158498198249209E-3</v>
      </c>
      <c r="E705" s="6">
        <f t="shared" ca="1" si="53"/>
        <v>3.0453749512733986E-4</v>
      </c>
      <c r="F705">
        <f t="shared" ca="1" si="51"/>
        <v>1.6217267802492615E-2</v>
      </c>
      <c r="G705">
        <f t="shared" ca="1" si="50"/>
        <v>-0.53960679693204627</v>
      </c>
      <c r="H705">
        <f t="shared" ca="1" si="54"/>
        <v>2.818788565794609</v>
      </c>
    </row>
    <row r="706" spans="1:8" x14ac:dyDescent="0.25">
      <c r="A706" s="5">
        <v>41199</v>
      </c>
      <c r="B706">
        <v>376.33505680000002</v>
      </c>
      <c r="C706" s="6">
        <v>-1.4489038712376976E-2</v>
      </c>
      <c r="D706" s="6">
        <f t="shared" ca="1" si="52"/>
        <v>1.5398538701615064E-2</v>
      </c>
      <c r="E706" s="6">
        <f t="shared" ca="1" si="53"/>
        <v>2.9887577413992041E-2</v>
      </c>
      <c r="F706">
        <f t="shared" ca="1" si="51"/>
        <v>1.1602760774460198E-2</v>
      </c>
      <c r="G706">
        <f t="shared" ca="1" si="50"/>
        <v>1.1305807326305943</v>
      </c>
      <c r="H706">
        <f t="shared" ca="1" si="54"/>
        <v>2.0206010815975937</v>
      </c>
    </row>
    <row r="707" spans="1:8" x14ac:dyDescent="0.25">
      <c r="A707" s="1">
        <v>41200</v>
      </c>
      <c r="B707">
        <v>346.20295579999998</v>
      </c>
      <c r="C707" s="6">
        <v>8.006721791005901E-2</v>
      </c>
      <c r="D707" s="6">
        <f t="shared" ca="1" si="52"/>
        <v>7.5419564934292079E-3</v>
      </c>
      <c r="E707" s="6">
        <f t="shared" ca="1" si="53"/>
        <v>-7.2525261416629808E-2</v>
      </c>
      <c r="F707">
        <f t="shared" ca="1" si="51"/>
        <v>1.9328546258934477E-2</v>
      </c>
      <c r="G707">
        <f t="shared" ref="G707:G770" ca="1" si="55">_xlfn.NORM.INV(RAND(),0,1)</f>
        <v>0.50723765173298241</v>
      </c>
      <c r="H707">
        <f t="shared" ca="1" si="54"/>
        <v>-1.7983603210540415</v>
      </c>
    </row>
    <row r="708" spans="1:8" x14ac:dyDescent="0.25">
      <c r="A708" s="5">
        <v>41201</v>
      </c>
      <c r="B708">
        <v>339.62259160000002</v>
      </c>
      <c r="C708" s="6">
        <v>1.900724442052832E-2</v>
      </c>
      <c r="D708" s="6">
        <f t="shared" ca="1" si="52"/>
        <v>1.8630870776647223E-2</v>
      </c>
      <c r="E708" s="6">
        <f t="shared" ca="1" si="53"/>
        <v>-3.7637364388109704E-4</v>
      </c>
      <c r="F708">
        <f t="shared" ref="F708:F771" ca="1" si="56">SQRT($K$6+$K$7*POWER($G707,2)+$K$8*POWER($F707,2))</f>
        <v>1.1539332165958375E-2</v>
      </c>
      <c r="G708">
        <f t="shared" ca="1" si="55"/>
        <v>2.1801680292983505</v>
      </c>
      <c r="H708">
        <f t="shared" ca="1" si="54"/>
        <v>2.8189750022834881</v>
      </c>
    </row>
    <row r="709" spans="1:8" x14ac:dyDescent="0.25">
      <c r="A709" s="1">
        <v>41204</v>
      </c>
      <c r="B709">
        <v>338.06842010000003</v>
      </c>
      <c r="C709" s="6">
        <v>4.5761723113828196E-3</v>
      </c>
      <c r="D709" s="6">
        <f t="shared" ref="D709:D772" ca="1" si="57">($K$10*$C708)+($K$11*$C707)+($F709*$G709)</f>
        <v>2.5159615609440012E-2</v>
      </c>
      <c r="E709" s="6">
        <f t="shared" ca="1" si="53"/>
        <v>2.0583443298057193E-2</v>
      </c>
      <c r="F709">
        <f t="shared" ca="1" si="56"/>
        <v>3.5262902981320211E-2</v>
      </c>
      <c r="G709">
        <f t="shared" ca="1" si="55"/>
        <v>-0.30954734731446348</v>
      </c>
      <c r="H709">
        <f t="shared" ca="1" si="54"/>
        <v>2.4381432683807409</v>
      </c>
    </row>
    <row r="710" spans="1:8" x14ac:dyDescent="0.25">
      <c r="A710" s="5">
        <v>41205</v>
      </c>
      <c r="B710">
        <v>338.90527479999997</v>
      </c>
      <c r="C710" s="6">
        <v>-2.4754003930695643E-3</v>
      </c>
      <c r="D710" s="6">
        <f t="shared" ca="1" si="57"/>
        <v>-3.6486221315176134E-3</v>
      </c>
      <c r="E710" s="6">
        <f t="shared" ref="E710:E773" ca="1" si="58">$D710-$C710</f>
        <v>-1.1732217384480491E-3</v>
      </c>
      <c r="F710">
        <f t="shared" ca="1" si="56"/>
        <v>1.2161941471331263E-2</v>
      </c>
      <c r="G710">
        <f t="shared" ca="1" si="55"/>
        <v>-1.0041606765079736</v>
      </c>
      <c r="H710">
        <f t="shared" ref="H710:H773" ca="1" si="59">LN(_xlfn.NORM.DIST($E710,AVERAGE($E$5:$E$1763),_xlfn.STDEV.S($E$5:$E$1763),FALSE))</f>
        <v>2.818154014274457</v>
      </c>
    </row>
    <row r="711" spans="1:8" x14ac:dyDescent="0.25">
      <c r="A711" s="1">
        <v>41206</v>
      </c>
      <c r="B711">
        <v>337.38598500000001</v>
      </c>
      <c r="C711" s="6">
        <v>4.4829334712968225E-3</v>
      </c>
      <c r="D711" s="6">
        <f t="shared" ca="1" si="57"/>
        <v>3.137197899022854E-2</v>
      </c>
      <c r="E711" s="6">
        <f t="shared" ca="1" si="58"/>
        <v>2.6889045518931717E-2</v>
      </c>
      <c r="F711">
        <f t="shared" ca="1" si="56"/>
        <v>1.7517723608387589E-2</v>
      </c>
      <c r="G711">
        <f t="shared" ca="1" si="55"/>
        <v>1.673173665619496</v>
      </c>
      <c r="H711">
        <f t="shared" ca="1" si="59"/>
        <v>2.1718519852344755</v>
      </c>
    </row>
    <row r="712" spans="1:8" x14ac:dyDescent="0.25">
      <c r="A712" s="5">
        <v>41207</v>
      </c>
      <c r="B712">
        <v>337.6151112</v>
      </c>
      <c r="C712" s="6">
        <v>-6.7912186690266953E-4</v>
      </c>
      <c r="D712" s="6">
        <f t="shared" ca="1" si="57"/>
        <v>-1.2796317724577832E-2</v>
      </c>
      <c r="E712" s="6">
        <f t="shared" ca="1" si="58"/>
        <v>-1.2117195857675163E-2</v>
      </c>
      <c r="F712">
        <f t="shared" ca="1" si="56"/>
        <v>2.7665643131896782E-2</v>
      </c>
      <c r="G712">
        <f t="shared" ca="1" si="55"/>
        <v>-0.42222344294521469</v>
      </c>
      <c r="H712">
        <f t="shared" ca="1" si="59"/>
        <v>2.6934870416073999</v>
      </c>
    </row>
    <row r="713" spans="1:8" x14ac:dyDescent="0.25">
      <c r="A713" s="1">
        <v>41208</v>
      </c>
      <c r="B713">
        <v>336.31499930000001</v>
      </c>
      <c r="C713" s="6">
        <v>3.8508699903240301E-3</v>
      </c>
      <c r="D713" s="6">
        <f t="shared" ca="1" si="57"/>
        <v>1.1750784793533855E-3</v>
      </c>
      <c r="E713" s="6">
        <f t="shared" ca="1" si="58"/>
        <v>-2.6757915109706445E-3</v>
      </c>
      <c r="F713">
        <f t="shared" ca="1" si="56"/>
        <v>1.1757024892035542E-2</v>
      </c>
      <c r="G713">
        <f t="shared" ca="1" si="55"/>
        <v>-7.1848703482063597E-2</v>
      </c>
      <c r="H713">
        <f t="shared" ca="1" si="59"/>
        <v>2.8135569119429973</v>
      </c>
    </row>
    <row r="714" spans="1:8" x14ac:dyDescent="0.25">
      <c r="A714" s="5">
        <v>41213</v>
      </c>
      <c r="B714">
        <v>338.88037220000001</v>
      </c>
      <c r="C714" s="6">
        <v>-7.6278872644381631E-3</v>
      </c>
      <c r="D714" s="6">
        <f t="shared" ca="1" si="57"/>
        <v>-2.5121470994649612E-3</v>
      </c>
      <c r="E714" s="6">
        <f t="shared" ca="1" si="58"/>
        <v>5.1157401649732023E-3</v>
      </c>
      <c r="F714">
        <f t="shared" ca="1" si="56"/>
        <v>7.4231638186204119E-3</v>
      </c>
      <c r="G714">
        <f t="shared" ca="1" si="55"/>
        <v>-0.29720854782496725</v>
      </c>
      <c r="H714">
        <f t="shared" ca="1" si="59"/>
        <v>2.7941527723829749</v>
      </c>
    </row>
    <row r="715" spans="1:8" x14ac:dyDescent="0.25">
      <c r="A715" s="1">
        <v>41214</v>
      </c>
      <c r="B715">
        <v>342.5117568</v>
      </c>
      <c r="C715" s="6">
        <v>-1.0715830416571969E-2</v>
      </c>
      <c r="D715" s="6">
        <f t="shared" ca="1" si="57"/>
        <v>6.1543709425097145E-3</v>
      </c>
      <c r="E715" s="6">
        <f t="shared" ca="1" si="58"/>
        <v>1.6870201359081682E-2</v>
      </c>
      <c r="F715">
        <f t="shared" ca="1" si="56"/>
        <v>8.4055146177788378E-3</v>
      </c>
      <c r="G715">
        <f t="shared" ca="1" si="55"/>
        <v>0.52578113128716797</v>
      </c>
      <c r="H715">
        <f t="shared" ca="1" si="59"/>
        <v>2.5621263218553012</v>
      </c>
    </row>
    <row r="716" spans="1:8" x14ac:dyDescent="0.25">
      <c r="A716" s="5">
        <v>41215</v>
      </c>
      <c r="B716">
        <v>342.67615510000002</v>
      </c>
      <c r="C716" s="6">
        <v>-4.7997856054912566E-4</v>
      </c>
      <c r="D716" s="6">
        <f t="shared" ca="1" si="57"/>
        <v>-9.7962747784172792E-3</v>
      </c>
      <c r="E716" s="6">
        <f t="shared" ca="1" si="58"/>
        <v>-9.316296217868154E-3</v>
      </c>
      <c r="F716">
        <f t="shared" ca="1" si="56"/>
        <v>1.0896539110682729E-2</v>
      </c>
      <c r="G716">
        <f t="shared" ca="1" si="55"/>
        <v>-0.58360733184209534</v>
      </c>
      <c r="H716">
        <f t="shared" ca="1" si="59"/>
        <v>2.7455207890877049</v>
      </c>
    </row>
    <row r="717" spans="1:8" x14ac:dyDescent="0.25">
      <c r="A717" s="1">
        <v>41218</v>
      </c>
      <c r="B717">
        <v>340.20541759999998</v>
      </c>
      <c r="C717" s="6">
        <v>7.2101237953922665E-3</v>
      </c>
      <c r="D717" s="6">
        <f t="shared" ca="1" si="57"/>
        <v>7.741977141244037E-3</v>
      </c>
      <c r="E717" s="6">
        <f t="shared" ca="1" si="58"/>
        <v>5.318533458517705E-4</v>
      </c>
      <c r="F717">
        <f t="shared" ca="1" si="56"/>
        <v>1.1740765655633348E-2</v>
      </c>
      <c r="G717">
        <f t="shared" ca="1" si="55"/>
        <v>1.0706351717228417</v>
      </c>
      <c r="H717">
        <f t="shared" ca="1" si="59"/>
        <v>2.8185441330376806</v>
      </c>
    </row>
    <row r="718" spans="1:8" x14ac:dyDescent="0.25">
      <c r="A718" s="5">
        <v>41219</v>
      </c>
      <c r="B718">
        <v>339.58774030000001</v>
      </c>
      <c r="C718" s="6">
        <v>1.8156010105818154E-3</v>
      </c>
      <c r="D718" s="6">
        <f t="shared" ca="1" si="57"/>
        <v>-1.0861003035976405E-2</v>
      </c>
      <c r="E718" s="6">
        <f t="shared" ca="1" si="58"/>
        <v>-1.267660404655822E-2</v>
      </c>
      <c r="F718">
        <f t="shared" ca="1" si="56"/>
        <v>1.8459728854216116E-2</v>
      </c>
      <c r="G718">
        <f t="shared" ca="1" si="55"/>
        <v>-0.57665335825563258</v>
      </c>
      <c r="H718">
        <f t="shared" ca="1" si="59"/>
        <v>2.6814357503006501</v>
      </c>
    </row>
    <row r="719" spans="1:8" x14ac:dyDescent="0.25">
      <c r="A719" s="1">
        <v>41220</v>
      </c>
      <c r="B719">
        <v>332.31496190000001</v>
      </c>
      <c r="C719" s="6">
        <v>2.1416492814419756E-2</v>
      </c>
      <c r="D719" s="6">
        <f t="shared" ca="1" si="57"/>
        <v>3.9152729577321393E-3</v>
      </c>
      <c r="E719" s="6">
        <f t="shared" ca="1" si="58"/>
        <v>-1.7501219856687615E-2</v>
      </c>
      <c r="F719">
        <f t="shared" ca="1" si="56"/>
        <v>1.2243781046343926E-2</v>
      </c>
      <c r="G719">
        <f t="shared" ca="1" si="55"/>
        <v>5.4449825256726529E-2</v>
      </c>
      <c r="H719">
        <f t="shared" ca="1" si="59"/>
        <v>2.5545761247253798</v>
      </c>
    </row>
    <row r="720" spans="1:8" x14ac:dyDescent="0.25">
      <c r="A720" s="5">
        <v>41221</v>
      </c>
      <c r="B720">
        <v>324.9276509</v>
      </c>
      <c r="C720" s="6">
        <v>2.222984772567356E-2</v>
      </c>
      <c r="D720" s="6">
        <f t="shared" ca="1" si="57"/>
        <v>-1.4613836697933325E-3</v>
      </c>
      <c r="E720" s="6">
        <f t="shared" ca="1" si="58"/>
        <v>-2.3691231395466892E-2</v>
      </c>
      <c r="F720">
        <f t="shared" ca="1" si="56"/>
        <v>7.4360143800477245E-3</v>
      </c>
      <c r="G720">
        <f t="shared" ca="1" si="55"/>
        <v>-0.30658487317683852</v>
      </c>
      <c r="H720">
        <f t="shared" ca="1" si="59"/>
        <v>2.3316461089896938</v>
      </c>
    </row>
    <row r="721" spans="1:8" x14ac:dyDescent="0.25">
      <c r="A721" s="1">
        <v>41222</v>
      </c>
      <c r="B721">
        <v>330.27760499999999</v>
      </c>
      <c r="C721" s="6">
        <v>-1.6465062561408467E-2</v>
      </c>
      <c r="D721" s="6">
        <f t="shared" ca="1" si="57"/>
        <v>1.4700552964934537E-2</v>
      </c>
      <c r="E721" s="6">
        <f t="shared" ca="1" si="58"/>
        <v>3.1165615526343005E-2</v>
      </c>
      <c r="F721">
        <f t="shared" ca="1" si="56"/>
        <v>8.4901210076893715E-3</v>
      </c>
      <c r="G721">
        <f t="shared" ca="1" si="55"/>
        <v>0.59490744167700427</v>
      </c>
      <c r="H721">
        <f t="shared" ca="1" si="59"/>
        <v>1.9513114063529426</v>
      </c>
    </row>
    <row r="722" spans="1:8" x14ac:dyDescent="0.25">
      <c r="A722" s="5">
        <v>41225</v>
      </c>
      <c r="B722">
        <v>331.7072642</v>
      </c>
      <c r="C722" s="6">
        <v>-4.3286592198705188E-3</v>
      </c>
      <c r="D722" s="6">
        <f t="shared" ca="1" si="57"/>
        <v>9.4043536110477166E-3</v>
      </c>
      <c r="E722" s="6">
        <f t="shared" ca="1" si="58"/>
        <v>1.3733012830918236E-2</v>
      </c>
      <c r="F722">
        <f t="shared" ca="1" si="56"/>
        <v>1.1756709503692028E-2</v>
      </c>
      <c r="G722">
        <f t="shared" ca="1" si="55"/>
        <v>-5.1986128847962845E-2</v>
      </c>
      <c r="H722">
        <f t="shared" ca="1" si="59"/>
        <v>2.6479097350709853</v>
      </c>
    </row>
    <row r="723" spans="1:8" x14ac:dyDescent="0.25">
      <c r="A723" s="1">
        <v>41226</v>
      </c>
      <c r="B723">
        <v>328.29502710000003</v>
      </c>
      <c r="C723" s="6">
        <v>1.0286892897053325E-2</v>
      </c>
      <c r="D723" s="6">
        <f t="shared" ca="1" si="57"/>
        <v>-2.3412388572262431E-2</v>
      </c>
      <c r="E723" s="6">
        <f t="shared" ca="1" si="58"/>
        <v>-3.3699281469315757E-2</v>
      </c>
      <c r="F723">
        <f t="shared" ca="1" si="56"/>
        <v>7.3815371908039834E-3</v>
      </c>
      <c r="G723">
        <f t="shared" ca="1" si="55"/>
        <v>-2.1667396158244521</v>
      </c>
      <c r="H723">
        <f t="shared" ca="1" si="59"/>
        <v>1.8281510874606608</v>
      </c>
    </row>
    <row r="724" spans="1:8" x14ac:dyDescent="0.25">
      <c r="A724" s="5">
        <v>41227</v>
      </c>
      <c r="B724">
        <v>325.05716740000003</v>
      </c>
      <c r="C724" s="6">
        <v>9.8626522874918111E-3</v>
      </c>
      <c r="D724" s="6">
        <f t="shared" ca="1" si="57"/>
        <v>-1.1290337974861267E-2</v>
      </c>
      <c r="E724" s="6">
        <f t="shared" ca="1" si="58"/>
        <v>-2.115299026235308E-2</v>
      </c>
      <c r="F724">
        <f t="shared" ca="1" si="56"/>
        <v>3.4983824127206992E-2</v>
      </c>
      <c r="G724">
        <f t="shared" ca="1" si="55"/>
        <v>-0.26698627117578183</v>
      </c>
      <c r="H724">
        <f t="shared" ca="1" si="59"/>
        <v>2.4312393389252529</v>
      </c>
    </row>
    <row r="725" spans="1:8" x14ac:dyDescent="0.25">
      <c r="A725" s="1">
        <v>41228</v>
      </c>
      <c r="B725">
        <v>322.42203110000003</v>
      </c>
      <c r="C725" s="6">
        <v>8.1066857287823615E-3</v>
      </c>
      <c r="D725" s="6">
        <f t="shared" ca="1" si="57"/>
        <v>-1.8104434216885228E-2</v>
      </c>
      <c r="E725" s="6">
        <f t="shared" ca="1" si="58"/>
        <v>-2.6211119945667591E-2</v>
      </c>
      <c r="F725">
        <f t="shared" ca="1" si="56"/>
        <v>1.1854363811724937E-2</v>
      </c>
      <c r="G725">
        <f t="shared" ca="1" si="55"/>
        <v>-1.91823268812116</v>
      </c>
      <c r="H725">
        <f t="shared" ca="1" si="59"/>
        <v>2.221524909768041</v>
      </c>
    </row>
    <row r="726" spans="1:8" x14ac:dyDescent="0.25">
      <c r="A726" s="5">
        <v>41229</v>
      </c>
      <c r="B726">
        <v>322.38217500000002</v>
      </c>
      <c r="C726" s="6">
        <v>1.2361469178775547E-4</v>
      </c>
      <c r="D726" s="6">
        <f t="shared" ca="1" si="57"/>
        <v>-1.6676777629409868E-2</v>
      </c>
      <c r="E726" s="6">
        <f t="shared" ca="1" si="58"/>
        <v>-1.6800392321197625E-2</v>
      </c>
      <c r="F726">
        <f t="shared" ca="1" si="56"/>
        <v>3.1227822590559506E-2</v>
      </c>
      <c r="G726">
        <f t="shared" ca="1" si="55"/>
        <v>-0.67633911787486523</v>
      </c>
      <c r="H726">
        <f t="shared" ca="1" si="59"/>
        <v>2.575554290166385</v>
      </c>
    </row>
    <row r="727" spans="1:8" x14ac:dyDescent="0.25">
      <c r="A727" s="1">
        <v>41232</v>
      </c>
      <c r="B727">
        <v>332.85793180000002</v>
      </c>
      <c r="C727" s="6">
        <v>-3.2494838773266539E-2</v>
      </c>
      <c r="D727" s="6">
        <f t="shared" ca="1" si="57"/>
        <v>1.2881276303318367E-2</v>
      </c>
      <c r="E727" s="6">
        <f t="shared" ca="1" si="58"/>
        <v>4.5376115076584907E-2</v>
      </c>
      <c r="F727">
        <f t="shared" ca="1" si="56"/>
        <v>1.4880397300362998E-2</v>
      </c>
      <c r="G727">
        <f t="shared" ca="1" si="55"/>
        <v>0.62019519369217679</v>
      </c>
      <c r="H727">
        <f t="shared" ca="1" si="59"/>
        <v>0.9866452712662388</v>
      </c>
    </row>
    <row r="728" spans="1:8" x14ac:dyDescent="0.25">
      <c r="A728" s="5">
        <v>41233</v>
      </c>
      <c r="B728">
        <v>333.73464209999997</v>
      </c>
      <c r="C728" s="6">
        <v>-2.6338873622718233E-3</v>
      </c>
      <c r="D728" s="6">
        <f t="shared" ca="1" si="57"/>
        <v>1.1088256919188794E-2</v>
      </c>
      <c r="E728" s="6">
        <f t="shared" ca="1" si="58"/>
        <v>1.3722144281460617E-2</v>
      </c>
      <c r="F728">
        <f t="shared" ca="1" si="56"/>
        <v>1.246542643008453E-2</v>
      </c>
      <c r="G728">
        <f t="shared" ca="1" si="55"/>
        <v>0.88509599139738881</v>
      </c>
      <c r="H728">
        <f t="shared" ca="1" si="59"/>
        <v>2.6481767311166826</v>
      </c>
    </row>
    <row r="729" spans="1:8" x14ac:dyDescent="0.25">
      <c r="A729" s="1">
        <v>41234</v>
      </c>
      <c r="B729">
        <v>331.69231079999997</v>
      </c>
      <c r="C729" s="6">
        <v>6.1196263209260674E-3</v>
      </c>
      <c r="D729" s="6">
        <f t="shared" ca="1" si="57"/>
        <v>-2.7097017768174105E-2</v>
      </c>
      <c r="E729" s="6">
        <f t="shared" ca="1" si="58"/>
        <v>-3.3216644089100175E-2</v>
      </c>
      <c r="F729">
        <f t="shared" ca="1" si="56"/>
        <v>1.5843875122092337E-2</v>
      </c>
      <c r="G729">
        <f t="shared" ca="1" si="55"/>
        <v>-0.78618390727094078</v>
      </c>
      <c r="H729">
        <f t="shared" ca="1" si="59"/>
        <v>1.8564891538178367</v>
      </c>
    </row>
    <row r="730" spans="1:8" x14ac:dyDescent="0.25">
      <c r="A730" s="5">
        <v>41236</v>
      </c>
      <c r="B730">
        <v>332.73839379999998</v>
      </c>
      <c r="C730" s="6">
        <v>-3.1537752487448079E-3</v>
      </c>
      <c r="D730" s="6">
        <f t="shared" ca="1" si="57"/>
        <v>-5.9381164165711008E-3</v>
      </c>
      <c r="E730" s="6">
        <f t="shared" ca="1" si="58"/>
        <v>-2.7843411678262929E-3</v>
      </c>
      <c r="F730">
        <f t="shared" ca="1" si="56"/>
        <v>1.4687033838602839E-2</v>
      </c>
      <c r="G730">
        <f t="shared" ca="1" si="55"/>
        <v>-0.32351675023441057</v>
      </c>
      <c r="H730">
        <f t="shared" ca="1" si="59"/>
        <v>2.8130704705016121</v>
      </c>
    </row>
    <row r="731" spans="1:8" x14ac:dyDescent="0.25">
      <c r="A731" s="1">
        <v>41239</v>
      </c>
      <c r="B731">
        <v>329.3411102</v>
      </c>
      <c r="C731" s="6">
        <v>1.0210073929857325E-2</v>
      </c>
      <c r="D731" s="6">
        <f t="shared" ca="1" si="57"/>
        <v>-1.3957196232943383E-2</v>
      </c>
      <c r="E731" s="6">
        <f t="shared" ca="1" si="58"/>
        <v>-2.4167270162800708E-2</v>
      </c>
      <c r="F731">
        <f t="shared" ca="1" si="56"/>
        <v>9.215709065464258E-3</v>
      </c>
      <c r="G731">
        <f t="shared" ca="1" si="55"/>
        <v>-1.8136839985507978</v>
      </c>
      <c r="H731">
        <f t="shared" ca="1" si="59"/>
        <v>2.3117014380938063</v>
      </c>
    </row>
    <row r="732" spans="1:8" x14ac:dyDescent="0.25">
      <c r="A732" s="5">
        <v>41240</v>
      </c>
      <c r="B732">
        <v>334.1032644</v>
      </c>
      <c r="C732" s="6">
        <v>-1.4459640939171152E-2</v>
      </c>
      <c r="D732" s="6">
        <f t="shared" ca="1" si="57"/>
        <v>1.3012542267435846E-2</v>
      </c>
      <c r="E732" s="6">
        <f t="shared" ca="1" si="58"/>
        <v>2.7472183206607E-2</v>
      </c>
      <c r="F732">
        <f t="shared" ca="1" si="56"/>
        <v>2.9562962708708278E-2</v>
      </c>
      <c r="G732">
        <f t="shared" ca="1" si="55"/>
        <v>0.48822334871519318</v>
      </c>
      <c r="H732">
        <f t="shared" ca="1" si="59"/>
        <v>2.1436805417271585</v>
      </c>
    </row>
    <row r="733" spans="1:8" x14ac:dyDescent="0.25">
      <c r="A733" s="1">
        <v>41241</v>
      </c>
      <c r="B733">
        <v>340.55908590000001</v>
      </c>
      <c r="C733" s="6">
        <v>-1.932283275230403E-2</v>
      </c>
      <c r="D733" s="6">
        <f t="shared" ca="1" si="57"/>
        <v>1.042299500031451E-2</v>
      </c>
      <c r="E733" s="6">
        <f t="shared" ca="1" si="58"/>
        <v>2.9745827752618539E-2</v>
      </c>
      <c r="F733">
        <f t="shared" ca="1" si="56"/>
        <v>1.265541214262096E-2</v>
      </c>
      <c r="G733">
        <f t="shared" ca="1" si="55"/>
        <v>0.46012051017073929</v>
      </c>
      <c r="H733">
        <f t="shared" ca="1" si="59"/>
        <v>2.0281085287492133</v>
      </c>
    </row>
    <row r="734" spans="1:8" x14ac:dyDescent="0.25">
      <c r="A734" s="5">
        <v>41242</v>
      </c>
      <c r="B734">
        <v>344.6537586</v>
      </c>
      <c r="C734" s="6">
        <v>-1.2023384104344019E-2</v>
      </c>
      <c r="D734" s="6">
        <f t="shared" ca="1" si="57"/>
        <v>-5.6172891494435202E-3</v>
      </c>
      <c r="E734" s="6">
        <f t="shared" ca="1" si="58"/>
        <v>6.4060949549004991E-3</v>
      </c>
      <c r="F734">
        <f t="shared" ca="1" si="56"/>
        <v>1.0402195384158465E-2</v>
      </c>
      <c r="G734">
        <f t="shared" ca="1" si="55"/>
        <v>8.6320412040318331E-2</v>
      </c>
      <c r="H734">
        <f t="shared" ca="1" si="59"/>
        <v>2.7805975536553755</v>
      </c>
    </row>
    <row r="735" spans="1:8" x14ac:dyDescent="0.25">
      <c r="A735" s="1">
        <v>41243</v>
      </c>
      <c r="B735">
        <v>347.8816392</v>
      </c>
      <c r="C735" s="6">
        <v>-9.3655749268825514E-3</v>
      </c>
      <c r="D735" s="6">
        <f t="shared" ca="1" si="57"/>
        <v>-1.4731354999532327E-2</v>
      </c>
      <c r="E735" s="6">
        <f t="shared" ca="1" si="58"/>
        <v>-5.3657800726497756E-3</v>
      </c>
      <c r="F735">
        <f t="shared" ca="1" si="56"/>
        <v>7.332935271877057E-3</v>
      </c>
      <c r="G735">
        <f t="shared" ca="1" si="55"/>
        <v>-0.82165188149263568</v>
      </c>
      <c r="H735">
        <f t="shared" ca="1" si="59"/>
        <v>2.795374314866613</v>
      </c>
    </row>
    <row r="736" spans="1:8" x14ac:dyDescent="0.25">
      <c r="A736" s="5">
        <v>41246</v>
      </c>
      <c r="B736">
        <v>346.32746759999998</v>
      </c>
      <c r="C736" s="6">
        <v>4.4675298287487715E-3</v>
      </c>
      <c r="D736" s="6">
        <f t="shared" ca="1" si="57"/>
        <v>-7.313694694738377E-3</v>
      </c>
      <c r="E736" s="6">
        <f t="shared" ca="1" si="58"/>
        <v>-1.1781224523487149E-2</v>
      </c>
      <c r="F736">
        <f t="shared" ca="1" si="56"/>
        <v>1.4746958885378556E-2</v>
      </c>
      <c r="G736">
        <f t="shared" ca="1" si="55"/>
        <v>-0.12859063715677072</v>
      </c>
      <c r="H736">
        <f t="shared" ca="1" si="59"/>
        <v>2.7004593780210371</v>
      </c>
    </row>
    <row r="737" spans="1:8" x14ac:dyDescent="0.25">
      <c r="A737" s="1">
        <v>41247</v>
      </c>
      <c r="B737">
        <v>344.22535240000002</v>
      </c>
      <c r="C737" s="6">
        <v>6.0697328299349641E-3</v>
      </c>
      <c r="D737" s="6">
        <f t="shared" ca="1" si="57"/>
        <v>2.2362547125676611E-3</v>
      </c>
      <c r="E737" s="6">
        <f t="shared" ca="1" si="58"/>
        <v>-3.8334781173673029E-3</v>
      </c>
      <c r="F737">
        <f t="shared" ca="1" si="56"/>
        <v>7.9358542454195033E-3</v>
      </c>
      <c r="G737">
        <f t="shared" ca="1" si="55"/>
        <v>0.81351108909964576</v>
      </c>
      <c r="H737">
        <f t="shared" ca="1" si="59"/>
        <v>2.8072971537190856</v>
      </c>
    </row>
    <row r="738" spans="1:8" x14ac:dyDescent="0.25">
      <c r="A738" s="5">
        <v>41248</v>
      </c>
      <c r="B738">
        <v>342.62635030000001</v>
      </c>
      <c r="C738" s="6">
        <v>4.6452188627347799E-3</v>
      </c>
      <c r="D738" s="6">
        <f t="shared" ca="1" si="57"/>
        <v>-1.3019878735198736E-2</v>
      </c>
      <c r="E738" s="6">
        <f t="shared" ca="1" si="58"/>
        <v>-1.7665097597933516E-2</v>
      </c>
      <c r="F738">
        <f t="shared" ca="1" si="56"/>
        <v>1.4653468539188518E-2</v>
      </c>
      <c r="G738">
        <f t="shared" ca="1" si="55"/>
        <v>-1.0258905995749867</v>
      </c>
      <c r="H738">
        <f t="shared" ca="1" si="59"/>
        <v>2.5495456501446854</v>
      </c>
    </row>
    <row r="739" spans="1:8" x14ac:dyDescent="0.25">
      <c r="A739" s="1">
        <v>41249</v>
      </c>
      <c r="B739">
        <v>344.27515720000002</v>
      </c>
      <c r="C739" s="6">
        <v>-4.8122594732026101E-3</v>
      </c>
      <c r="D739" s="6">
        <f t="shared" ca="1" si="57"/>
        <v>9.9742632439789591E-3</v>
      </c>
      <c r="E739" s="6">
        <f t="shared" ca="1" si="58"/>
        <v>1.4786522717181569E-2</v>
      </c>
      <c r="F739">
        <f t="shared" ca="1" si="56"/>
        <v>1.7948618299146211E-2</v>
      </c>
      <c r="G739">
        <f t="shared" ca="1" si="55"/>
        <v>0.40334170256304153</v>
      </c>
      <c r="H739">
        <f t="shared" ca="1" si="59"/>
        <v>2.6210397244991905</v>
      </c>
    </row>
    <row r="740" spans="1:8" x14ac:dyDescent="0.25">
      <c r="A740" s="5">
        <v>41250</v>
      </c>
      <c r="B740">
        <v>340.82806870000002</v>
      </c>
      <c r="C740" s="6">
        <v>1.0012597272586493E-2</v>
      </c>
      <c r="D740" s="6">
        <f t="shared" ca="1" si="57"/>
        <v>-5.9764590706838554E-3</v>
      </c>
      <c r="E740" s="6">
        <f t="shared" ca="1" si="58"/>
        <v>-1.5989056343270348E-2</v>
      </c>
      <c r="F740">
        <f t="shared" ca="1" si="56"/>
        <v>1.0305717889659007E-2</v>
      </c>
      <c r="G740">
        <f t="shared" ca="1" si="55"/>
        <v>-0.78299397204762777</v>
      </c>
      <c r="H740">
        <f t="shared" ca="1" si="59"/>
        <v>2.5987576559714367</v>
      </c>
    </row>
    <row r="741" spans="1:8" x14ac:dyDescent="0.25">
      <c r="A741" s="1">
        <v>41253</v>
      </c>
      <c r="B741">
        <v>341.43082249999998</v>
      </c>
      <c r="C741" s="6">
        <v>-1.7684981236991632E-3</v>
      </c>
      <c r="D741" s="6">
        <f t="shared" ca="1" si="57"/>
        <v>3.0456133919549004E-3</v>
      </c>
      <c r="E741" s="6">
        <f t="shared" ca="1" si="58"/>
        <v>4.814111515654064E-3</v>
      </c>
      <c r="F741">
        <f t="shared" ca="1" si="56"/>
        <v>1.4327208001578506E-2</v>
      </c>
      <c r="G741">
        <f t="shared" ca="1" si="55"/>
        <v>0.36389815726861352</v>
      </c>
      <c r="H741">
        <f t="shared" ca="1" si="59"/>
        <v>2.7968976330828834</v>
      </c>
    </row>
    <row r="742" spans="1:8" x14ac:dyDescent="0.25">
      <c r="A742" s="5">
        <v>41254</v>
      </c>
      <c r="B742">
        <v>347.13941970000002</v>
      </c>
      <c r="C742" s="6">
        <v>-1.6719630519005185E-2</v>
      </c>
      <c r="D742" s="6">
        <f t="shared" ca="1" si="57"/>
        <v>5.9078096155760051E-3</v>
      </c>
      <c r="E742" s="6">
        <f t="shared" ca="1" si="58"/>
        <v>2.2627440134581192E-2</v>
      </c>
      <c r="F742">
        <f t="shared" ca="1" si="56"/>
        <v>9.5507400909727817E-3</v>
      </c>
      <c r="G742">
        <f t="shared" ca="1" si="55"/>
        <v>0.14622886215931188</v>
      </c>
      <c r="H742">
        <f t="shared" ca="1" si="59"/>
        <v>2.3595104930578334</v>
      </c>
    </row>
    <row r="743" spans="1:8" x14ac:dyDescent="0.25">
      <c r="A743" s="1">
        <v>41255</v>
      </c>
      <c r="B743">
        <v>347.47816549999999</v>
      </c>
      <c r="C743" s="6">
        <v>-9.7582060917401957E-4</v>
      </c>
      <c r="D743" s="6">
        <f t="shared" ca="1" si="57"/>
        <v>-9.3604318642908878E-3</v>
      </c>
      <c r="E743" s="6">
        <f t="shared" ca="1" si="58"/>
        <v>-8.3846112551168687E-3</v>
      </c>
      <c r="F743">
        <f t="shared" ca="1" si="56"/>
        <v>7.4954730641743237E-3</v>
      </c>
      <c r="G743">
        <f t="shared" ca="1" si="55"/>
        <v>-1.1424690820867316</v>
      </c>
      <c r="H743">
        <f t="shared" ca="1" si="59"/>
        <v>2.7597602582627383</v>
      </c>
    </row>
    <row r="744" spans="1:8" x14ac:dyDescent="0.25">
      <c r="A744" s="5">
        <v>41256</v>
      </c>
      <c r="B744">
        <v>350.03856400000001</v>
      </c>
      <c r="C744" s="6">
        <v>-7.3685162240791774E-3</v>
      </c>
      <c r="D744" s="6">
        <f t="shared" ca="1" si="57"/>
        <v>1.8877394113702598E-2</v>
      </c>
      <c r="E744" s="6">
        <f t="shared" ca="1" si="58"/>
        <v>2.6245910337781776E-2</v>
      </c>
      <c r="F744">
        <f t="shared" ca="1" si="56"/>
        <v>1.9374777316536147E-2</v>
      </c>
      <c r="G744">
        <f t="shared" ca="1" si="55"/>
        <v>1.3631411134886022</v>
      </c>
      <c r="H744">
        <f t="shared" ca="1" si="59"/>
        <v>2.2022259349703583</v>
      </c>
    </row>
    <row r="745" spans="1:8" x14ac:dyDescent="0.25">
      <c r="A745" s="1">
        <v>41257</v>
      </c>
      <c r="B745">
        <v>349.66994169999998</v>
      </c>
      <c r="C745" s="6">
        <v>1.0530905389042416E-3</v>
      </c>
      <c r="D745" s="6">
        <f t="shared" ca="1" si="57"/>
        <v>-4.5881827136503477E-3</v>
      </c>
      <c r="E745" s="6">
        <f t="shared" ca="1" si="58"/>
        <v>-5.6412732525545888E-3</v>
      </c>
      <c r="F745">
        <f t="shared" ca="1" si="56"/>
        <v>2.3109698102834655E-2</v>
      </c>
      <c r="G745">
        <f t="shared" ca="1" si="55"/>
        <v>-0.17950896984432316</v>
      </c>
      <c r="H745">
        <f t="shared" ca="1" si="59"/>
        <v>2.7927911948563704</v>
      </c>
    </row>
    <row r="746" spans="1:8" x14ac:dyDescent="0.25">
      <c r="A746" s="5">
        <v>41260</v>
      </c>
      <c r="B746">
        <v>359.04483579999999</v>
      </c>
      <c r="C746" s="6">
        <v>-2.6810694835311909E-2</v>
      </c>
      <c r="D746" s="6">
        <f t="shared" ca="1" si="57"/>
        <v>1.6052512941662645E-3</v>
      </c>
      <c r="E746" s="6">
        <f t="shared" ca="1" si="58"/>
        <v>2.8415946129478176E-2</v>
      </c>
      <c r="F746">
        <f t="shared" ca="1" si="56"/>
        <v>9.3267570220765018E-3</v>
      </c>
      <c r="G746">
        <f t="shared" ca="1" si="55"/>
        <v>0.52806885133625925</v>
      </c>
      <c r="H746">
        <f t="shared" ca="1" si="59"/>
        <v>2.0968155672261677</v>
      </c>
    </row>
    <row r="747" spans="1:8" x14ac:dyDescent="0.25">
      <c r="A747" s="1">
        <v>41261</v>
      </c>
      <c r="B747">
        <v>359.18927539999999</v>
      </c>
      <c r="C747" s="6">
        <v>-4.0228847653014574E-4</v>
      </c>
      <c r="D747" s="6">
        <f t="shared" ca="1" si="57"/>
        <v>2.0075209734513433E-2</v>
      </c>
      <c r="E747" s="6">
        <f t="shared" ca="1" si="58"/>
        <v>2.0477498211043579E-2</v>
      </c>
      <c r="F747">
        <f t="shared" ca="1" si="56"/>
        <v>1.097152833459094E-2</v>
      </c>
      <c r="G747">
        <f t="shared" ca="1" si="55"/>
        <v>1.7865492739767102</v>
      </c>
      <c r="H747">
        <f t="shared" ca="1" si="59"/>
        <v>2.4420179786721286</v>
      </c>
    </row>
    <row r="748" spans="1:8" x14ac:dyDescent="0.25">
      <c r="A748" s="5">
        <v>41262</v>
      </c>
      <c r="B748">
        <v>358.71109480000001</v>
      </c>
      <c r="C748" s="6">
        <v>1.3312774983814935E-3</v>
      </c>
      <c r="D748" s="6">
        <f t="shared" ca="1" si="57"/>
        <v>-2.1742471401199004E-2</v>
      </c>
      <c r="E748" s="6">
        <f t="shared" ca="1" si="58"/>
        <v>-2.3073748899580498E-2</v>
      </c>
      <c r="F748">
        <f t="shared" ca="1" si="56"/>
        <v>2.9184919080767389E-2</v>
      </c>
      <c r="G748">
        <f t="shared" ca="1" si="55"/>
        <v>-0.33108608484527641</v>
      </c>
      <c r="H748">
        <f t="shared" ca="1" si="59"/>
        <v>2.3569209901722656</v>
      </c>
    </row>
    <row r="749" spans="1:8" x14ac:dyDescent="0.25">
      <c r="A749" s="1">
        <v>41263</v>
      </c>
      <c r="B749">
        <v>359.83188530000001</v>
      </c>
      <c r="C749" s="6">
        <v>-3.124493544379766E-3</v>
      </c>
      <c r="D749" s="6">
        <f t="shared" ca="1" si="57"/>
        <v>-1.1149365682485493E-2</v>
      </c>
      <c r="E749" s="6">
        <f t="shared" ca="1" si="58"/>
        <v>-8.0248721381057271E-3</v>
      </c>
      <c r="F749">
        <f t="shared" ca="1" si="56"/>
        <v>1.124804545360086E-2</v>
      </c>
      <c r="G749">
        <f t="shared" ca="1" si="55"/>
        <v>-0.97511464463963216</v>
      </c>
      <c r="H749">
        <f t="shared" ca="1" si="59"/>
        <v>2.7648483744034307</v>
      </c>
    </row>
    <row r="750" spans="1:8" x14ac:dyDescent="0.25">
      <c r="A750" s="5">
        <v>41264</v>
      </c>
      <c r="B750">
        <v>356.4794321</v>
      </c>
      <c r="C750" s="6">
        <v>9.3167207714374648E-3</v>
      </c>
      <c r="D750" s="6">
        <f t="shared" ca="1" si="57"/>
        <v>1.7397148557103273E-3</v>
      </c>
      <c r="E750" s="6">
        <f t="shared" ca="1" si="58"/>
        <v>-7.5770059157271377E-3</v>
      </c>
      <c r="F750">
        <f t="shared" ca="1" si="56"/>
        <v>1.7062250136935631E-2</v>
      </c>
      <c r="G750">
        <f t="shared" ca="1" si="55"/>
        <v>6.6811249196324585E-2</v>
      </c>
      <c r="H750">
        <f t="shared" ca="1" si="59"/>
        <v>2.7708637583436251</v>
      </c>
    </row>
    <row r="751" spans="1:8" x14ac:dyDescent="0.25">
      <c r="A751" s="1">
        <v>41267</v>
      </c>
      <c r="B751">
        <v>353.4258686</v>
      </c>
      <c r="C751" s="6">
        <v>8.5658897120981913E-3</v>
      </c>
      <c r="D751" s="6">
        <f t="shared" ca="1" si="57"/>
        <v>-6.5294734302496016E-3</v>
      </c>
      <c r="E751" s="6">
        <f t="shared" ca="1" si="58"/>
        <v>-1.5095363142347794E-2</v>
      </c>
      <c r="F751">
        <f t="shared" ca="1" si="56"/>
        <v>8.0391198471730183E-3</v>
      </c>
      <c r="G751">
        <f t="shared" ca="1" si="55"/>
        <v>-0.63711767469912173</v>
      </c>
      <c r="H751">
        <f t="shared" ca="1" si="59"/>
        <v>2.6229716476906755</v>
      </c>
    </row>
    <row r="752" spans="1:8" x14ac:dyDescent="0.25">
      <c r="A752" s="5">
        <v>41269</v>
      </c>
      <c r="B752">
        <v>353.11205580000001</v>
      </c>
      <c r="C752" s="6">
        <v>8.8791689539613342E-4</v>
      </c>
      <c r="D752" s="6">
        <f t="shared" ca="1" si="57"/>
        <v>1.1647601219767094E-2</v>
      </c>
      <c r="E752" s="6">
        <f t="shared" ca="1" si="58"/>
        <v>1.0759684324370961E-2</v>
      </c>
      <c r="F752">
        <f t="shared" ca="1" si="56"/>
        <v>1.2278718767630916E-2</v>
      </c>
      <c r="G752">
        <f t="shared" ca="1" si="55"/>
        <v>0.60672018262460303</v>
      </c>
      <c r="H752">
        <f t="shared" ca="1" si="59"/>
        <v>2.7131790791910149</v>
      </c>
    </row>
    <row r="753" spans="1:8" x14ac:dyDescent="0.25">
      <c r="A753" s="1">
        <v>41270</v>
      </c>
      <c r="B753">
        <v>351.82686649999999</v>
      </c>
      <c r="C753" s="6">
        <v>3.639607537863093E-3</v>
      </c>
      <c r="D753" s="6">
        <f t="shared" ca="1" si="57"/>
        <v>-1.0123230739241986E-2</v>
      </c>
      <c r="E753" s="6">
        <f t="shared" ca="1" si="58"/>
        <v>-1.3762838277105078E-2</v>
      </c>
      <c r="F753">
        <f t="shared" ca="1" si="56"/>
        <v>1.2114677060133684E-2</v>
      </c>
      <c r="G753">
        <f t="shared" ca="1" si="55"/>
        <v>-1.1541922465703016</v>
      </c>
      <c r="H753">
        <f t="shared" ca="1" si="59"/>
        <v>2.6564575957995284</v>
      </c>
    </row>
    <row r="754" spans="1:8" x14ac:dyDescent="0.25">
      <c r="A754" s="5">
        <v>41271</v>
      </c>
      <c r="B754">
        <v>348.69859609999997</v>
      </c>
      <c r="C754" s="6">
        <v>8.8915051630942439E-3</v>
      </c>
      <c r="D754" s="6">
        <f t="shared" ca="1" si="57"/>
        <v>2.1011536943974E-2</v>
      </c>
      <c r="E754" s="6">
        <f t="shared" ca="1" si="58"/>
        <v>1.2120031780879757E-2</v>
      </c>
      <c r="F754">
        <f t="shared" ca="1" si="56"/>
        <v>1.9694388392434512E-2</v>
      </c>
      <c r="G754">
        <f t="shared" ca="1" si="55"/>
        <v>1.046563073016016</v>
      </c>
      <c r="H754">
        <f t="shared" ca="1" si="59"/>
        <v>2.6852536230801531</v>
      </c>
    </row>
    <row r="755" spans="1:8" x14ac:dyDescent="0.25">
      <c r="A755" s="1">
        <v>41274</v>
      </c>
      <c r="B755">
        <v>352.36983629999997</v>
      </c>
      <c r="C755" s="6">
        <v>-1.0528405451185583E-2</v>
      </c>
      <c r="D755" s="6">
        <f t="shared" ca="1" si="57"/>
        <v>-1.1470383495293831E-2</v>
      </c>
      <c r="E755" s="6">
        <f t="shared" ca="1" si="58"/>
        <v>-9.4197804410824787E-4</v>
      </c>
      <c r="F755">
        <f t="shared" ca="1" si="56"/>
        <v>1.8543532118271599E-2</v>
      </c>
      <c r="G755">
        <f t="shared" ca="1" si="55"/>
        <v>-0.70700559407184072</v>
      </c>
      <c r="H755">
        <f t="shared" ca="1" si="59"/>
        <v>2.8185076855507596</v>
      </c>
    </row>
    <row r="756" spans="1:8" x14ac:dyDescent="0.25">
      <c r="A756" s="5">
        <v>41276</v>
      </c>
      <c r="B756">
        <v>360.275215</v>
      </c>
      <c r="C756" s="6">
        <v>-2.2434890520168026E-2</v>
      </c>
      <c r="D756" s="6">
        <f t="shared" ca="1" si="57"/>
        <v>-7.7318905971158584E-3</v>
      </c>
      <c r="E756" s="6">
        <f t="shared" ca="1" si="58"/>
        <v>1.4702999923052167E-2</v>
      </c>
      <c r="F756">
        <f t="shared" ca="1" si="56"/>
        <v>1.3856359095676757E-2</v>
      </c>
      <c r="G756">
        <f t="shared" ca="1" si="55"/>
        <v>-0.84710893867122028</v>
      </c>
      <c r="H756">
        <f t="shared" ca="1" si="59"/>
        <v>2.6232414878053021</v>
      </c>
    </row>
    <row r="757" spans="1:8" x14ac:dyDescent="0.25">
      <c r="A757" s="1">
        <v>41277</v>
      </c>
      <c r="B757">
        <v>360.48444380000001</v>
      </c>
      <c r="C757" s="6">
        <v>-5.8074713799006496E-4</v>
      </c>
      <c r="D757" s="6">
        <f t="shared" ca="1" si="57"/>
        <v>1.2959000204474436E-2</v>
      </c>
      <c r="E757" s="6">
        <f t="shared" ca="1" si="58"/>
        <v>1.3539747342464501E-2</v>
      </c>
      <c r="F757">
        <f t="shared" ca="1" si="56"/>
        <v>1.5390809820963473E-2</v>
      </c>
      <c r="G757">
        <f t="shared" ca="1" si="55"/>
        <v>1.1502329939589899</v>
      </c>
      <c r="H757">
        <f t="shared" ca="1" si="59"/>
        <v>2.6526263734282862</v>
      </c>
    </row>
    <row r="758" spans="1:8" x14ac:dyDescent="0.25">
      <c r="A758" s="5">
        <v>41278</v>
      </c>
      <c r="B758">
        <v>367.6077469</v>
      </c>
      <c r="C758" s="6">
        <v>-1.9760361986527385E-2</v>
      </c>
      <c r="D758" s="6">
        <f t="shared" ca="1" si="57"/>
        <v>-5.5874824517748077E-2</v>
      </c>
      <c r="E758" s="6">
        <f t="shared" ca="1" si="58"/>
        <v>-3.6114462531220692E-2</v>
      </c>
      <c r="F758">
        <f t="shared" ca="1" si="56"/>
        <v>1.9781331468768214E-2</v>
      </c>
      <c r="G758">
        <f t="shared" ca="1" si="55"/>
        <v>-2.3136268535341995</v>
      </c>
      <c r="H758">
        <f t="shared" ca="1" si="59"/>
        <v>1.6801673790161149</v>
      </c>
    </row>
    <row r="759" spans="1:8" x14ac:dyDescent="0.25">
      <c r="A759" s="1">
        <v>41281</v>
      </c>
      <c r="B759">
        <v>366.00377099999997</v>
      </c>
      <c r="C759" s="6">
        <v>4.3632810067964949E-3</v>
      </c>
      <c r="D759" s="6">
        <f t="shared" ca="1" si="57"/>
        <v>-3.8931145532280928E-2</v>
      </c>
      <c r="E759" s="6">
        <f t="shared" ca="1" si="58"/>
        <v>-4.3294426539077425E-2</v>
      </c>
      <c r="F759">
        <f t="shared" ca="1" si="56"/>
        <v>3.7549923262570235E-2</v>
      </c>
      <c r="G759">
        <f t="shared" ca="1" si="55"/>
        <v>-1.0298066060128701</v>
      </c>
      <c r="H759">
        <f t="shared" ca="1" si="59"/>
        <v>1.1794376597801151</v>
      </c>
    </row>
    <row r="760" spans="1:8" x14ac:dyDescent="0.25">
      <c r="A760" s="5">
        <v>41282</v>
      </c>
      <c r="B760">
        <v>365.28144900000001</v>
      </c>
      <c r="C760" s="6">
        <v>1.9735370431469214E-3</v>
      </c>
      <c r="D760" s="6">
        <f t="shared" ca="1" si="57"/>
        <v>-5.5683438821714677E-3</v>
      </c>
      <c r="E760" s="6">
        <f t="shared" ca="1" si="58"/>
        <v>-7.5418809253183887E-3</v>
      </c>
      <c r="F760">
        <f t="shared" ca="1" si="56"/>
        <v>1.9999801425111052E-2</v>
      </c>
      <c r="G760">
        <f t="shared" ca="1" si="55"/>
        <v>0.16673924682091562</v>
      </c>
      <c r="H760">
        <f t="shared" ca="1" si="59"/>
        <v>2.771320557967345</v>
      </c>
    </row>
    <row r="761" spans="1:8" x14ac:dyDescent="0.25">
      <c r="A761" s="1">
        <v>41283</v>
      </c>
      <c r="B761">
        <v>367.68245439999998</v>
      </c>
      <c r="C761" s="6">
        <v>-6.5730285689924919E-3</v>
      </c>
      <c r="D761" s="6">
        <f t="shared" ca="1" si="57"/>
        <v>3.438651165235472E-3</v>
      </c>
      <c r="E761" s="6">
        <f t="shared" ca="1" si="58"/>
        <v>1.0011679734227964E-2</v>
      </c>
      <c r="F761">
        <f t="shared" ca="1" si="56"/>
        <v>8.7964070193255767E-3</v>
      </c>
      <c r="G761">
        <f t="shared" ca="1" si="55"/>
        <v>0.16742200032625132</v>
      </c>
      <c r="H761">
        <f t="shared" ca="1" si="59"/>
        <v>2.7271425239550489</v>
      </c>
    </row>
    <row r="762" spans="1:8" x14ac:dyDescent="0.25">
      <c r="A762" s="5">
        <v>41284</v>
      </c>
      <c r="B762">
        <v>369.35619380000003</v>
      </c>
      <c r="C762" s="6">
        <v>-4.552132906998037E-3</v>
      </c>
      <c r="D762" s="6">
        <f t="shared" ca="1" si="57"/>
        <v>-7.6859885661850723E-3</v>
      </c>
      <c r="E762" s="6">
        <f t="shared" ca="1" si="58"/>
        <v>-3.1338556591870353E-3</v>
      </c>
      <c r="F762">
        <f t="shared" ca="1" si="56"/>
        <v>7.5477383977225832E-3</v>
      </c>
      <c r="G762">
        <f t="shared" ca="1" si="55"/>
        <v>-1.1361112648057579</v>
      </c>
      <c r="H762">
        <f t="shared" ca="1" si="59"/>
        <v>2.8113629123706554</v>
      </c>
    </row>
    <row r="763" spans="1:8" x14ac:dyDescent="0.25">
      <c r="A763" s="1">
        <v>41285</v>
      </c>
      <c r="B763">
        <v>368.6139743</v>
      </c>
      <c r="C763" s="6">
        <v>2.0094952039762786E-3</v>
      </c>
      <c r="D763" s="6">
        <f t="shared" ca="1" si="57"/>
        <v>-2.2912624950161716E-2</v>
      </c>
      <c r="E763" s="6">
        <f t="shared" ca="1" si="58"/>
        <v>-2.4922120154137993E-2</v>
      </c>
      <c r="F763">
        <f t="shared" ca="1" si="56"/>
        <v>1.928224550441961E-2</v>
      </c>
      <c r="G763">
        <f t="shared" ca="1" si="55"/>
        <v>-1.0346837522397194</v>
      </c>
      <c r="H763">
        <f t="shared" ca="1" si="59"/>
        <v>2.2792554217621563</v>
      </c>
    </row>
    <row r="764" spans="1:8" x14ac:dyDescent="0.25">
      <c r="A764" s="5">
        <v>41288</v>
      </c>
      <c r="B764">
        <v>360.275215</v>
      </c>
      <c r="C764" s="6">
        <v>2.2621929393304589E-2</v>
      </c>
      <c r="D764" s="6">
        <f t="shared" ca="1" si="57"/>
        <v>1.6157981813816509E-2</v>
      </c>
      <c r="E764" s="6">
        <f t="shared" ca="1" si="58"/>
        <v>-6.4639475794880802E-3</v>
      </c>
      <c r="F764">
        <f t="shared" ca="1" si="56"/>
        <v>1.8348126698561819E-2</v>
      </c>
      <c r="G764">
        <f t="shared" ca="1" si="55"/>
        <v>0.99241431381896816</v>
      </c>
      <c r="H764">
        <f t="shared" ca="1" si="59"/>
        <v>2.7842802477070023</v>
      </c>
    </row>
    <row r="765" spans="1:8" x14ac:dyDescent="0.25">
      <c r="A765" s="1">
        <v>41289</v>
      </c>
      <c r="B765">
        <v>361.11209969999999</v>
      </c>
      <c r="C765" s="6">
        <v>-2.3229038944574208E-3</v>
      </c>
      <c r="D765" s="6">
        <f t="shared" ca="1" si="57"/>
        <v>1.2896039296464285E-2</v>
      </c>
      <c r="E765" s="6">
        <f t="shared" ca="1" si="58"/>
        <v>1.5218943190921706E-2</v>
      </c>
      <c r="F765">
        <f t="shared" ca="1" si="56"/>
        <v>1.7691019414950652E-2</v>
      </c>
      <c r="G765">
        <f t="shared" ca="1" si="55"/>
        <v>0.67776044156004966</v>
      </c>
      <c r="H765">
        <f t="shared" ca="1" si="59"/>
        <v>2.6094437043226417</v>
      </c>
    </row>
    <row r="766" spans="1:8" x14ac:dyDescent="0.25">
      <c r="A766" s="5">
        <v>41290</v>
      </c>
      <c r="B766">
        <v>356.2602546</v>
      </c>
      <c r="C766" s="6">
        <v>1.3435841956087165E-2</v>
      </c>
      <c r="D766" s="6">
        <f t="shared" ca="1" si="57"/>
        <v>2.2508518088333769E-2</v>
      </c>
      <c r="E766" s="6">
        <f t="shared" ca="1" si="58"/>
        <v>9.0726761322466043E-3</v>
      </c>
      <c r="F766">
        <f t="shared" ca="1" si="56"/>
        <v>1.341268819154688E-2</v>
      </c>
      <c r="G766">
        <f t="shared" ca="1" si="55"/>
        <v>0.91824170144160167</v>
      </c>
      <c r="H766">
        <f t="shared" ca="1" si="59"/>
        <v>2.7432735117442619</v>
      </c>
    </row>
    <row r="767" spans="1:8" x14ac:dyDescent="0.25">
      <c r="A767" s="1">
        <v>41291</v>
      </c>
      <c r="B767">
        <v>354.33248639999999</v>
      </c>
      <c r="C767" s="6">
        <v>5.4111233995620756E-3</v>
      </c>
      <c r="D767" s="6">
        <f t="shared" ca="1" si="57"/>
        <v>1.4969029124640497E-3</v>
      </c>
      <c r="E767" s="6">
        <f t="shared" ca="1" si="58"/>
        <v>-3.9142204870980263E-3</v>
      </c>
      <c r="F767">
        <f t="shared" ca="1" si="56"/>
        <v>1.6356895214067552E-2</v>
      </c>
      <c r="G767">
        <f t="shared" ca="1" si="55"/>
        <v>0.15548678800659604</v>
      </c>
      <c r="H767">
        <f t="shared" ca="1" si="59"/>
        <v>2.8067723266729643</v>
      </c>
    </row>
    <row r="768" spans="1:8" x14ac:dyDescent="0.25">
      <c r="A768" s="5">
        <v>41292</v>
      </c>
      <c r="B768">
        <v>350.94020740000002</v>
      </c>
      <c r="C768" s="6">
        <v>9.5737171447793437E-3</v>
      </c>
      <c r="D768" s="6">
        <f t="shared" ca="1" si="57"/>
        <v>2.5982986058805842E-2</v>
      </c>
      <c r="E768" s="6">
        <f t="shared" ca="1" si="58"/>
        <v>1.6409268914026498E-2</v>
      </c>
      <c r="F768">
        <f t="shared" ca="1" si="56"/>
        <v>8.2502880398432552E-3</v>
      </c>
      <c r="G768">
        <f t="shared" ca="1" si="55"/>
        <v>2.415586565620786</v>
      </c>
      <c r="H768">
        <f t="shared" ca="1" si="59"/>
        <v>2.5758186862485459</v>
      </c>
    </row>
    <row r="769" spans="1:8" x14ac:dyDescent="0.25">
      <c r="A769" s="1">
        <v>41296</v>
      </c>
      <c r="B769">
        <v>350.12325060000001</v>
      </c>
      <c r="C769" s="6">
        <v>2.3279088083197333E-3</v>
      </c>
      <c r="D769" s="6">
        <f t="shared" ca="1" si="57"/>
        <v>5.9265933521296221E-2</v>
      </c>
      <c r="E769" s="6">
        <f t="shared" ca="1" si="58"/>
        <v>5.6938024712976487E-2</v>
      </c>
      <c r="F769">
        <f t="shared" ca="1" si="56"/>
        <v>3.8861442585833378E-2</v>
      </c>
      <c r="G769">
        <f t="shared" ca="1" si="55"/>
        <v>1.4623172037546852</v>
      </c>
      <c r="H769">
        <f t="shared" ca="1" si="59"/>
        <v>-6.1184889844795136E-2</v>
      </c>
    </row>
    <row r="770" spans="1:8" x14ac:dyDescent="0.25">
      <c r="A770" s="5">
        <v>41297</v>
      </c>
      <c r="B770">
        <v>369.36617289999998</v>
      </c>
      <c r="C770" s="6">
        <v>-5.4960423985050182E-2</v>
      </c>
      <c r="D770" s="6">
        <f t="shared" ca="1" si="57"/>
        <v>1.3786418055910854E-2</v>
      </c>
      <c r="E770" s="6">
        <f t="shared" ca="1" si="58"/>
        <v>6.8746842040961043E-2</v>
      </c>
      <c r="F770">
        <f t="shared" ca="1" si="56"/>
        <v>2.6003890360144447E-2</v>
      </c>
      <c r="G770">
        <f t="shared" ca="1" si="55"/>
        <v>0.36428683885536112</v>
      </c>
      <c r="H770">
        <f t="shared" ca="1" si="59"/>
        <v>-1.3749402132569801</v>
      </c>
    </row>
    <row r="771" spans="1:8" x14ac:dyDescent="0.25">
      <c r="A771" s="1">
        <v>41298</v>
      </c>
      <c r="B771">
        <v>375.69745219999999</v>
      </c>
      <c r="C771" s="6">
        <v>-1.7140928879034352E-2</v>
      </c>
      <c r="D771" s="6">
        <f t="shared" ca="1" si="57"/>
        <v>-2.7311352382151335E-2</v>
      </c>
      <c r="E771" s="6">
        <f t="shared" ca="1" si="58"/>
        <v>-1.0170423503116983E-2</v>
      </c>
      <c r="F771">
        <f t="shared" ca="1" si="56"/>
        <v>1.1007352087138905E-2</v>
      </c>
      <c r="G771">
        <f t="shared" ref="G771:G834" ca="1" si="60">_xlfn.NORM.INV(RAND(),0,1)</f>
        <v>-2.5763960742137324</v>
      </c>
      <c r="H771">
        <f t="shared" ca="1" si="59"/>
        <v>2.7311206155213146</v>
      </c>
    </row>
    <row r="772" spans="1:8" x14ac:dyDescent="0.25">
      <c r="A772" s="5">
        <v>41299</v>
      </c>
      <c r="B772">
        <v>375.42843900000003</v>
      </c>
      <c r="C772" s="6">
        <v>7.1603679616318884E-4</v>
      </c>
      <c r="D772" s="6">
        <f t="shared" ca="1" si="57"/>
        <v>-3.6394852615536849E-2</v>
      </c>
      <c r="E772" s="6">
        <f t="shared" ca="1" si="58"/>
        <v>-3.7110889411700036E-2</v>
      </c>
      <c r="F772">
        <f t="shared" ref="F772:F835" ca="1" si="61">SQRT($K$6+$K$7*POWER($G771,2)+$K$8*POWER($F771,2))</f>
        <v>4.1407203658750065E-2</v>
      </c>
      <c r="G772">
        <f t="shared" ca="1" si="60"/>
        <v>-0.28091173937089386</v>
      </c>
      <c r="H772">
        <f t="shared" ca="1" si="59"/>
        <v>1.6161140767798108</v>
      </c>
    </row>
    <row r="773" spans="1:8" x14ac:dyDescent="0.25">
      <c r="A773" s="1">
        <v>41302</v>
      </c>
      <c r="B773">
        <v>373.96392839999999</v>
      </c>
      <c r="C773" s="6">
        <v>3.9009048006617302E-3</v>
      </c>
      <c r="D773" s="6">
        <f t="shared" ref="D773:D836" ca="1" si="62">($K$10*$C772)+($K$11*$C771)+($F773*$G773)</f>
        <v>-6.5786672065701584E-3</v>
      </c>
      <c r="E773" s="6">
        <f t="shared" ca="1" si="58"/>
        <v>-1.0479572007231888E-2</v>
      </c>
      <c r="F773">
        <f t="shared" ca="1" si="61"/>
        <v>1.3174353982433138E-2</v>
      </c>
      <c r="G773">
        <f t="shared" ca="1" si="60"/>
        <v>8.6857018828733062E-2</v>
      </c>
      <c r="H773">
        <f t="shared" ca="1" si="59"/>
        <v>2.7255911577972443</v>
      </c>
    </row>
    <row r="774" spans="1:8" x14ac:dyDescent="0.25">
      <c r="A774" s="5">
        <v>41303</v>
      </c>
      <c r="B774">
        <v>375.43344430000002</v>
      </c>
      <c r="C774" s="6">
        <v>-3.9295658976718382E-3</v>
      </c>
      <c r="D774" s="6">
        <f t="shared" ca="1" si="62"/>
        <v>1.0261950144614086E-3</v>
      </c>
      <c r="E774" s="6">
        <f t="shared" ref="E774:E837" ca="1" si="63">$D774-$C774</f>
        <v>4.9557609121332466E-3</v>
      </c>
      <c r="F774">
        <f t="shared" ca="1" si="61"/>
        <v>7.6119166257016535E-3</v>
      </c>
      <c r="G774">
        <f t="shared" ca="1" si="60"/>
        <v>9.242286649007575E-2</v>
      </c>
      <c r="H774">
        <f t="shared" ref="H774:H837" ca="1" si="64">LN(_xlfn.NORM.DIST($E774,AVERAGE($E$5:$E$1763),_xlfn.STDEV.S($E$5:$E$1763),FALSE))</f>
        <v>2.7956286027301704</v>
      </c>
    </row>
    <row r="775" spans="1:8" x14ac:dyDescent="0.25">
      <c r="A775" s="1">
        <v>41304</v>
      </c>
      <c r="B775">
        <v>375.50815130000001</v>
      </c>
      <c r="C775" s="6">
        <v>-1.9898866532597139E-4</v>
      </c>
      <c r="D775" s="6">
        <f t="shared" ca="1" si="62"/>
        <v>9.2919272772399621E-3</v>
      </c>
      <c r="E775" s="6">
        <f t="shared" ca="1" si="63"/>
        <v>9.4909159425659341E-3</v>
      </c>
      <c r="F775">
        <f t="shared" ca="1" si="61"/>
        <v>7.1313696130345166E-3</v>
      </c>
      <c r="G775">
        <f t="shared" ca="1" si="60"/>
        <v>1.0565169138479391</v>
      </c>
      <c r="H775">
        <f t="shared" ca="1" si="64"/>
        <v>2.7362808477687892</v>
      </c>
    </row>
    <row r="776" spans="1:8" x14ac:dyDescent="0.25">
      <c r="A776" s="5">
        <v>41305</v>
      </c>
      <c r="B776">
        <v>376.43466649999999</v>
      </c>
      <c r="C776" s="6">
        <v>-2.4673637490755132E-3</v>
      </c>
      <c r="D776" s="6">
        <f t="shared" ca="1" si="62"/>
        <v>-7.5069101084818436E-3</v>
      </c>
      <c r="E776" s="6">
        <f t="shared" ca="1" si="63"/>
        <v>-5.03954635940633E-3</v>
      </c>
      <c r="F776">
        <f t="shared" ca="1" si="61"/>
        <v>1.8103166937368066E-2</v>
      </c>
      <c r="G776">
        <f t="shared" ca="1" si="60"/>
        <v>-0.31687349068172582</v>
      </c>
      <c r="H776">
        <f t="shared" ca="1" si="64"/>
        <v>2.7982599610317291</v>
      </c>
    </row>
    <row r="777" spans="1:8" x14ac:dyDescent="0.25">
      <c r="A777" s="1">
        <v>41306</v>
      </c>
      <c r="B777">
        <v>386.35253039999998</v>
      </c>
      <c r="C777" s="6">
        <v>-2.6346839923681649E-2</v>
      </c>
      <c r="D777" s="6">
        <f t="shared" ca="1" si="62"/>
        <v>3.5706625248694388E-3</v>
      </c>
      <c r="E777" s="6">
        <f t="shared" ca="1" si="63"/>
        <v>2.9917502448551087E-2</v>
      </c>
      <c r="F777">
        <f t="shared" ca="1" si="61"/>
        <v>9.537823157435097E-3</v>
      </c>
      <c r="G777">
        <f t="shared" ca="1" si="60"/>
        <v>0.38377300543192339</v>
      </c>
      <c r="H777">
        <f t="shared" ca="1" si="64"/>
        <v>2.019011636824068</v>
      </c>
    </row>
    <row r="778" spans="1:8" x14ac:dyDescent="0.25">
      <c r="A778" s="5">
        <v>41309</v>
      </c>
      <c r="B778">
        <v>378.09345239999999</v>
      </c>
      <c r="C778" s="6">
        <v>2.1377051656550995E-2</v>
      </c>
      <c r="D778" s="6">
        <f t="shared" ca="1" si="62"/>
        <v>-9.8294737813243022E-3</v>
      </c>
      <c r="E778" s="6">
        <f t="shared" ca="1" si="63"/>
        <v>-3.1206525437875297E-2</v>
      </c>
      <c r="F778">
        <f t="shared" ca="1" si="61"/>
        <v>9.3640916267296592E-3</v>
      </c>
      <c r="G778">
        <f t="shared" ca="1" si="60"/>
        <v>-0.93093388083308271</v>
      </c>
      <c r="H778">
        <f t="shared" ca="1" si="64"/>
        <v>1.970091429665414</v>
      </c>
    </row>
    <row r="779" spans="1:8" x14ac:dyDescent="0.25">
      <c r="A779" s="1">
        <v>41310</v>
      </c>
      <c r="B779">
        <v>381.44093120000002</v>
      </c>
      <c r="C779" s="6">
        <v>-8.8535751644241729E-3</v>
      </c>
      <c r="D779" s="6">
        <f t="shared" ca="1" si="62"/>
        <v>1.0484184965269334E-2</v>
      </c>
      <c r="E779" s="6">
        <f t="shared" ca="1" si="63"/>
        <v>1.9337760129693508E-2</v>
      </c>
      <c r="F779">
        <f t="shared" ca="1" si="61"/>
        <v>1.6357695790036295E-2</v>
      </c>
      <c r="G779">
        <f t="shared" ca="1" si="60"/>
        <v>1.3666095006820191</v>
      </c>
      <c r="H779">
        <f t="shared" ca="1" si="64"/>
        <v>2.4824485023630927</v>
      </c>
    </row>
    <row r="780" spans="1:8" x14ac:dyDescent="0.25">
      <c r="A780" s="5">
        <v>41311</v>
      </c>
      <c r="B780">
        <v>383.64766090000001</v>
      </c>
      <c r="C780" s="6">
        <v>-5.7852462059005752E-3</v>
      </c>
      <c r="D780" s="6">
        <f t="shared" ca="1" si="62"/>
        <v>5.8253715638497093E-2</v>
      </c>
      <c r="E780" s="6">
        <f t="shared" ca="1" si="63"/>
        <v>6.4038961844397668E-2</v>
      </c>
      <c r="F780">
        <f t="shared" ca="1" si="61"/>
        <v>2.3012812879000116E-2</v>
      </c>
      <c r="G780">
        <f t="shared" ca="1" si="60"/>
        <v>2.1128353034459066</v>
      </c>
      <c r="H780">
        <f t="shared" ca="1" si="64"/>
        <v>-0.82167706093757387</v>
      </c>
    </row>
    <row r="781" spans="1:8" x14ac:dyDescent="0.25">
      <c r="A781" s="1">
        <v>41312</v>
      </c>
      <c r="B781">
        <v>385.53059869999998</v>
      </c>
      <c r="C781" s="6">
        <v>-4.9079871765223089E-3</v>
      </c>
      <c r="D781" s="6">
        <f t="shared" ca="1" si="62"/>
        <v>-5.794925840906609E-2</v>
      </c>
      <c r="E781" s="6">
        <f t="shared" ca="1" si="63"/>
        <v>-5.3041271232543784E-2</v>
      </c>
      <c r="F781">
        <f t="shared" ca="1" si="61"/>
        <v>3.4586880953565068E-2</v>
      </c>
      <c r="G781">
        <f t="shared" ca="1" si="60"/>
        <v>-1.5601326760004</v>
      </c>
      <c r="H781">
        <f t="shared" ca="1" si="64"/>
        <v>0.35409921431697061</v>
      </c>
    </row>
    <row r="782" spans="1:8" x14ac:dyDescent="0.25">
      <c r="A782" s="5">
        <v>41313</v>
      </c>
      <c r="B782">
        <v>391.21929849999998</v>
      </c>
      <c r="C782" s="6">
        <v>-1.4755507913463044E-2</v>
      </c>
      <c r="D782" s="6">
        <f t="shared" ca="1" si="62"/>
        <v>3.123950998851438E-2</v>
      </c>
      <c r="E782" s="6">
        <f t="shared" ca="1" si="63"/>
        <v>4.5995017901977422E-2</v>
      </c>
      <c r="F782">
        <f t="shared" ca="1" si="61"/>
        <v>2.7024103997936744E-2</v>
      </c>
      <c r="G782">
        <f t="shared" ca="1" si="60"/>
        <v>1.2524438886239322</v>
      </c>
      <c r="H782">
        <f t="shared" ca="1" si="64"/>
        <v>0.9365322456759565</v>
      </c>
    </row>
    <row r="783" spans="1:8" x14ac:dyDescent="0.25">
      <c r="A783" s="1">
        <v>41316</v>
      </c>
      <c r="B783">
        <v>389.7497831</v>
      </c>
      <c r="C783" s="6">
        <v>3.7562446577516615E-3</v>
      </c>
      <c r="D783" s="6">
        <f t="shared" ca="1" si="62"/>
        <v>5.9630419615921918E-3</v>
      </c>
      <c r="E783" s="6">
        <f t="shared" ca="1" si="63"/>
        <v>2.2067973038405304E-3</v>
      </c>
      <c r="F783">
        <f t="shared" ca="1" si="61"/>
        <v>2.2001930416609632E-2</v>
      </c>
      <c r="G783">
        <f t="shared" ca="1" si="60"/>
        <v>0.37154074558077099</v>
      </c>
      <c r="H783">
        <f t="shared" ca="1" si="64"/>
        <v>2.8139313144453002</v>
      </c>
    </row>
    <row r="784" spans="1:8" x14ac:dyDescent="0.25">
      <c r="A784" s="5">
        <v>41317</v>
      </c>
      <c r="B784">
        <v>388.89300109999999</v>
      </c>
      <c r="C784" s="6">
        <v>2.1982873041912149E-3</v>
      </c>
      <c r="D784" s="6">
        <f t="shared" ca="1" si="62"/>
        <v>2.4058492437670966E-3</v>
      </c>
      <c r="E784" s="6">
        <f t="shared" ca="1" si="63"/>
        <v>2.0756193957588171E-4</v>
      </c>
      <c r="F784">
        <f t="shared" ca="1" si="61"/>
        <v>1.0502899002539251E-2</v>
      </c>
      <c r="G784">
        <f t="shared" ca="1" si="60"/>
        <v>0.86204612106184086</v>
      </c>
      <c r="H784">
        <f t="shared" ca="1" si="64"/>
        <v>2.818865090967098</v>
      </c>
    </row>
    <row r="785" spans="1:8" x14ac:dyDescent="0.25">
      <c r="A785" s="1">
        <v>41318</v>
      </c>
      <c r="B785">
        <v>389.9689611</v>
      </c>
      <c r="C785" s="6">
        <v>-2.7667250296524023E-3</v>
      </c>
      <c r="D785" s="6">
        <f t="shared" ca="1" si="62"/>
        <v>1.627493349259538E-2</v>
      </c>
      <c r="E785" s="6">
        <f t="shared" ca="1" si="63"/>
        <v>1.9041658522247783E-2</v>
      </c>
      <c r="F785">
        <f t="shared" ca="1" si="61"/>
        <v>1.5430057379024469E-2</v>
      </c>
      <c r="G785">
        <f t="shared" ca="1" si="60"/>
        <v>0.94507069802779453</v>
      </c>
      <c r="H785">
        <f t="shared" ca="1" si="64"/>
        <v>2.4925770772598703</v>
      </c>
    </row>
    <row r="786" spans="1:8" x14ac:dyDescent="0.25">
      <c r="A786" s="5">
        <v>41319</v>
      </c>
      <c r="B786">
        <v>392.4397295</v>
      </c>
      <c r="C786" s="6">
        <v>-6.3358078371945513E-3</v>
      </c>
      <c r="D786" s="6">
        <f t="shared" ca="1" si="62"/>
        <v>1.7021074321146076E-2</v>
      </c>
      <c r="E786" s="6">
        <f t="shared" ca="1" si="63"/>
        <v>2.3356882158340628E-2</v>
      </c>
      <c r="F786">
        <f t="shared" ca="1" si="61"/>
        <v>1.6845021172602136E-2</v>
      </c>
      <c r="G786">
        <f t="shared" ca="1" si="60"/>
        <v>0.95165606259930635</v>
      </c>
      <c r="H786">
        <f t="shared" ca="1" si="64"/>
        <v>2.3296634606240767</v>
      </c>
    </row>
    <row r="787" spans="1:8" x14ac:dyDescent="0.25">
      <c r="A787" s="1">
        <v>41320</v>
      </c>
      <c r="B787">
        <v>394.96524629999999</v>
      </c>
      <c r="C787" s="6">
        <v>-6.4354259014949991E-3</v>
      </c>
      <c r="D787" s="6">
        <f t="shared" ca="1" si="62"/>
        <v>-2.7900287926558498E-3</v>
      </c>
      <c r="E787" s="6">
        <f t="shared" ca="1" si="63"/>
        <v>3.6453971088391494E-3</v>
      </c>
      <c r="F787">
        <f t="shared" ca="1" si="61"/>
        <v>1.7022892850132126E-2</v>
      </c>
      <c r="G787">
        <f t="shared" ca="1" si="60"/>
        <v>-9.066360756674284E-2</v>
      </c>
      <c r="H787">
        <f t="shared" ca="1" si="64"/>
        <v>2.8060166190541782</v>
      </c>
    </row>
    <row r="788" spans="1:8" x14ac:dyDescent="0.25">
      <c r="A788" s="5">
        <v>41324</v>
      </c>
      <c r="B788">
        <v>401.91920709999999</v>
      </c>
      <c r="C788" s="6">
        <v>-1.7606513142976763E-2</v>
      </c>
      <c r="D788" s="6">
        <f t="shared" ca="1" si="62"/>
        <v>-2.0399152648162828E-3</v>
      </c>
      <c r="E788" s="6">
        <f t="shared" ca="1" si="63"/>
        <v>1.556659787816048E-2</v>
      </c>
      <c r="F788">
        <f t="shared" ca="1" si="61"/>
        <v>8.0921398995381609E-3</v>
      </c>
      <c r="G788">
        <f t="shared" ca="1" si="60"/>
        <v>0.10069441139502523</v>
      </c>
      <c r="H788">
        <f t="shared" ca="1" si="64"/>
        <v>2.599881482314101</v>
      </c>
    </row>
    <row r="789" spans="1:8" x14ac:dyDescent="0.25">
      <c r="A789" s="1">
        <v>41325</v>
      </c>
      <c r="B789">
        <v>394.75104320000003</v>
      </c>
      <c r="C789" s="6">
        <v>1.7834837881277179E-2</v>
      </c>
      <c r="D789" s="6">
        <f t="shared" ca="1" si="62"/>
        <v>-2.222487590717253E-2</v>
      </c>
      <c r="E789" s="6">
        <f t="shared" ca="1" si="63"/>
        <v>-4.0059713788449705E-2</v>
      </c>
      <c r="F789">
        <f t="shared" ca="1" si="61"/>
        <v>7.1926873140851482E-3</v>
      </c>
      <c r="G789">
        <f t="shared" ca="1" si="60"/>
        <v>-2.6867647853837386</v>
      </c>
      <c r="H789">
        <f t="shared" ca="1" si="64"/>
        <v>1.4162881322013647</v>
      </c>
    </row>
    <row r="790" spans="1:8" x14ac:dyDescent="0.25">
      <c r="A790" s="5">
        <v>41326</v>
      </c>
      <c r="B790">
        <v>396.2803121</v>
      </c>
      <c r="C790" s="6">
        <v>-3.8740085082566203E-3</v>
      </c>
      <c r="D790" s="6">
        <f t="shared" ca="1" si="62"/>
        <v>1.5564370338784059E-2</v>
      </c>
      <c r="E790" s="6">
        <f t="shared" ca="1" si="63"/>
        <v>1.943837884704068E-2</v>
      </c>
      <c r="F790">
        <f t="shared" ca="1" si="61"/>
        <v>4.3076468474413945E-2</v>
      </c>
      <c r="G790">
        <f t="shared" ca="1" si="60"/>
        <v>0.54546745679876707</v>
      </c>
      <c r="H790">
        <f t="shared" ca="1" si="64"/>
        <v>2.4789714700733918</v>
      </c>
    </row>
    <row r="791" spans="1:8" x14ac:dyDescent="0.25">
      <c r="A791" s="1">
        <v>41327</v>
      </c>
      <c r="B791">
        <v>398.36252990000003</v>
      </c>
      <c r="C791" s="6">
        <v>-5.2544063795795714E-3</v>
      </c>
      <c r="D791" s="6">
        <f t="shared" ca="1" si="62"/>
        <v>2.0570926605443383E-2</v>
      </c>
      <c r="E791" s="6">
        <f t="shared" ca="1" si="63"/>
        <v>2.5825332985022955E-2</v>
      </c>
      <c r="F791">
        <f t="shared" ca="1" si="61"/>
        <v>1.5402719891096471E-2</v>
      </c>
      <c r="G791">
        <f t="shared" ca="1" si="60"/>
        <v>0.8138420426679609</v>
      </c>
      <c r="H791">
        <f t="shared" ca="1" si="64"/>
        <v>2.2216941371350343</v>
      </c>
    </row>
    <row r="792" spans="1:8" x14ac:dyDescent="0.25">
      <c r="A792" s="5">
        <v>41330</v>
      </c>
      <c r="B792">
        <v>393.90921409999999</v>
      </c>
      <c r="C792" s="6">
        <v>1.117905291222532E-2</v>
      </c>
      <c r="D792" s="6">
        <f t="shared" ca="1" si="62"/>
        <v>4.249712827198486E-3</v>
      </c>
      <c r="E792" s="6">
        <f t="shared" ca="1" si="63"/>
        <v>-6.9293400850268336E-3</v>
      </c>
      <c r="F792">
        <f t="shared" ca="1" si="61"/>
        <v>1.5030428429714098E-2</v>
      </c>
      <c r="G792">
        <f t="shared" ca="1" si="60"/>
        <v>0.39887493025461285</v>
      </c>
      <c r="H792">
        <f t="shared" ca="1" si="64"/>
        <v>2.7789365357458067</v>
      </c>
    </row>
    <row r="793" spans="1:8" x14ac:dyDescent="0.25">
      <c r="A793" s="1">
        <v>41331</v>
      </c>
      <c r="B793">
        <v>393.59039660000002</v>
      </c>
      <c r="C793" s="6">
        <v>8.0936796751098395E-4</v>
      </c>
      <c r="D793" s="6">
        <f t="shared" ca="1" si="62"/>
        <v>-7.5846045457416585E-3</v>
      </c>
      <c r="E793" s="6">
        <f t="shared" ca="1" si="63"/>
        <v>-8.3939725132526431E-3</v>
      </c>
      <c r="F793">
        <f t="shared" ca="1" si="61"/>
        <v>9.9602033112439134E-3</v>
      </c>
      <c r="G793">
        <f t="shared" ca="1" si="60"/>
        <v>-0.52382266999552618</v>
      </c>
      <c r="H793">
        <f t="shared" ca="1" si="64"/>
        <v>2.7596248043136238</v>
      </c>
    </row>
    <row r="794" spans="1:8" x14ac:dyDescent="0.25">
      <c r="A794" s="5">
        <v>41332</v>
      </c>
      <c r="B794">
        <v>398.39738130000001</v>
      </c>
      <c r="C794" s="6">
        <v>-1.2213165619701979E-2</v>
      </c>
      <c r="D794" s="6">
        <f t="shared" ca="1" si="62"/>
        <v>6.1882490916848869E-3</v>
      </c>
      <c r="E794" s="6">
        <f t="shared" ca="1" si="63"/>
        <v>1.8401414711386864E-2</v>
      </c>
      <c r="F794">
        <f t="shared" ca="1" si="61"/>
        <v>1.095587623980121E-2</v>
      </c>
      <c r="G794">
        <f t="shared" ca="1" si="60"/>
        <v>0.10509757534388708</v>
      </c>
      <c r="H794">
        <f t="shared" ca="1" si="64"/>
        <v>2.5139484839982802</v>
      </c>
    </row>
    <row r="795" spans="1:8" x14ac:dyDescent="0.25">
      <c r="A795" s="1">
        <v>41333</v>
      </c>
      <c r="B795">
        <v>399.1047494</v>
      </c>
      <c r="C795" s="6">
        <v>-1.7755340100173407E-3</v>
      </c>
      <c r="D795" s="6">
        <f t="shared" ca="1" si="62"/>
        <v>6.8565861978703117E-3</v>
      </c>
      <c r="E795" s="6">
        <f t="shared" ca="1" si="63"/>
        <v>8.6321202078876516E-3</v>
      </c>
      <c r="F795">
        <f t="shared" ca="1" si="61"/>
        <v>7.4445931466018776E-3</v>
      </c>
      <c r="G795">
        <f t="shared" ca="1" si="60"/>
        <v>0.87205865366274604</v>
      </c>
      <c r="H795">
        <f t="shared" ca="1" si="64"/>
        <v>2.7503053992298874</v>
      </c>
    </row>
    <row r="796" spans="1:8" x14ac:dyDescent="0.25">
      <c r="A796" s="5">
        <v>41334</v>
      </c>
      <c r="B796">
        <v>401.59044089999998</v>
      </c>
      <c r="C796" s="6">
        <v>-6.2281681782461219E-3</v>
      </c>
      <c r="D796" s="6">
        <f t="shared" ca="1" si="62"/>
        <v>1.1526842358811537E-2</v>
      </c>
      <c r="E796" s="6">
        <f t="shared" ca="1" si="63"/>
        <v>1.7755010537057657E-2</v>
      </c>
      <c r="F796">
        <f t="shared" ca="1" si="61"/>
        <v>1.5458060097779766E-2</v>
      </c>
      <c r="G796">
        <f t="shared" ca="1" si="60"/>
        <v>1.1016646289720053</v>
      </c>
      <c r="H796">
        <f t="shared" ca="1" si="64"/>
        <v>2.5347915672349788</v>
      </c>
    </row>
    <row r="797" spans="1:8" x14ac:dyDescent="0.25">
      <c r="A797" s="1">
        <v>41337</v>
      </c>
      <c r="B797">
        <v>409.21685780000001</v>
      </c>
      <c r="C797" s="6">
        <v>-1.8990533945251679E-2</v>
      </c>
      <c r="D797" s="6">
        <f t="shared" ca="1" si="62"/>
        <v>-3.4400409465619647E-2</v>
      </c>
      <c r="E797" s="6">
        <f t="shared" ca="1" si="63"/>
        <v>-1.5409875520367967E-2</v>
      </c>
      <c r="F797">
        <f t="shared" ca="1" si="61"/>
        <v>1.908011575509241E-2</v>
      </c>
      <c r="G797">
        <f t="shared" ca="1" si="60"/>
        <v>-1.7610127599351029</v>
      </c>
      <c r="H797">
        <f t="shared" ca="1" si="64"/>
        <v>2.6146109078113073</v>
      </c>
    </row>
    <row r="798" spans="1:8" x14ac:dyDescent="0.25">
      <c r="A798" s="5">
        <v>41338</v>
      </c>
      <c r="B798">
        <v>417.73493889999997</v>
      </c>
      <c r="C798" s="6">
        <v>-2.0815567437261037E-2</v>
      </c>
      <c r="D798" s="6">
        <f t="shared" ca="1" si="62"/>
        <v>-1.2241308273134762E-2</v>
      </c>
      <c r="E798" s="6">
        <f t="shared" ca="1" si="63"/>
        <v>8.5742591641262741E-3</v>
      </c>
      <c r="F798">
        <f t="shared" ca="1" si="61"/>
        <v>2.9060917982154079E-2</v>
      </c>
      <c r="G798">
        <f t="shared" ca="1" si="60"/>
        <v>-0.32465766801389745</v>
      </c>
      <c r="H798">
        <f t="shared" ca="1" si="64"/>
        <v>2.751203492364473</v>
      </c>
    </row>
    <row r="799" spans="1:8" x14ac:dyDescent="0.25">
      <c r="A799" s="1">
        <v>41339</v>
      </c>
      <c r="B799">
        <v>414.1384056</v>
      </c>
      <c r="C799" s="6">
        <v>8.6096061523379952E-3</v>
      </c>
      <c r="D799" s="6">
        <f t="shared" ca="1" si="62"/>
        <v>1.1591769093791242E-2</v>
      </c>
      <c r="E799" s="6">
        <f t="shared" ca="1" si="63"/>
        <v>2.982162941453247E-3</v>
      </c>
      <c r="F799">
        <f t="shared" ca="1" si="61"/>
        <v>1.118056341154549E-2</v>
      </c>
      <c r="G799">
        <f t="shared" ca="1" si="60"/>
        <v>1.802094330420174</v>
      </c>
      <c r="H799">
        <f t="shared" ca="1" si="64"/>
        <v>2.8101193282416794</v>
      </c>
    </row>
    <row r="800" spans="1:8" x14ac:dyDescent="0.25">
      <c r="A800" s="5">
        <v>41340</v>
      </c>
      <c r="B800">
        <v>414.74613369999997</v>
      </c>
      <c r="C800" s="6">
        <v>-1.4674516822932742E-3</v>
      </c>
      <c r="D800" s="6">
        <f t="shared" ca="1" si="62"/>
        <v>-3.8568687744897974E-2</v>
      </c>
      <c r="E800" s="6">
        <f t="shared" ca="1" si="63"/>
        <v>-3.7101236062604702E-2</v>
      </c>
      <c r="F800">
        <f t="shared" ca="1" si="61"/>
        <v>2.9428211228803496E-2</v>
      </c>
      <c r="G800">
        <f t="shared" ca="1" si="60"/>
        <v>-0.99191323346460092</v>
      </c>
      <c r="H800">
        <f t="shared" ca="1" si="64"/>
        <v>1.616743029202196</v>
      </c>
    </row>
    <row r="801" spans="1:8" x14ac:dyDescent="0.25">
      <c r="A801" s="1">
        <v>41341</v>
      </c>
      <c r="B801">
        <v>414.20816860000002</v>
      </c>
      <c r="C801" s="6">
        <v>1.2970949124967125E-3</v>
      </c>
      <c r="D801" s="6">
        <f t="shared" ca="1" si="62"/>
        <v>-1.0066905829993637E-2</v>
      </c>
      <c r="E801" s="6">
        <f t="shared" ca="1" si="63"/>
        <v>-1.136400074249035E-2</v>
      </c>
      <c r="F801">
        <f t="shared" ca="1" si="61"/>
        <v>1.8609252572969436E-2</v>
      </c>
      <c r="G801">
        <f t="shared" ca="1" si="60"/>
        <v>-0.74941210846444561</v>
      </c>
      <c r="H801">
        <f t="shared" ca="1" si="64"/>
        <v>2.708840606556052</v>
      </c>
    </row>
    <row r="802" spans="1:8" x14ac:dyDescent="0.25">
      <c r="A802" s="5">
        <v>41344</v>
      </c>
      <c r="B802">
        <v>415.8520011</v>
      </c>
      <c r="C802" s="6">
        <v>-3.968614393955662E-3</v>
      </c>
      <c r="D802" s="6">
        <f t="shared" ca="1" si="62"/>
        <v>-1.3706039168230153E-3</v>
      </c>
      <c r="E802" s="6">
        <f t="shared" ca="1" si="63"/>
        <v>2.5980104771326467E-3</v>
      </c>
      <c r="F802">
        <f t="shared" ca="1" si="61"/>
        <v>1.4408888507276299E-2</v>
      </c>
      <c r="G802">
        <f t="shared" ca="1" si="60"/>
        <v>-4.9237306411022759E-2</v>
      </c>
      <c r="H802">
        <f t="shared" ca="1" si="64"/>
        <v>2.8121405893394291</v>
      </c>
    </row>
    <row r="803" spans="1:8" x14ac:dyDescent="0.25">
      <c r="A803" s="1">
        <v>41345</v>
      </c>
      <c r="B803">
        <v>412.2604422</v>
      </c>
      <c r="C803" s="6">
        <v>8.6366276716228485E-3</v>
      </c>
      <c r="D803" s="6">
        <f t="shared" ca="1" si="62"/>
        <v>-1.3227825694650707E-2</v>
      </c>
      <c r="E803" s="6">
        <f t="shared" ca="1" si="63"/>
        <v>-2.1864453366273556E-2</v>
      </c>
      <c r="F803">
        <f t="shared" ca="1" si="61"/>
        <v>7.6693970359584624E-3</v>
      </c>
      <c r="G803">
        <f t="shared" ca="1" si="60"/>
        <v>-1.8009466815284219</v>
      </c>
      <c r="H803">
        <f t="shared" ca="1" si="64"/>
        <v>2.4044705387034249</v>
      </c>
    </row>
    <row r="804" spans="1:8" x14ac:dyDescent="0.25">
      <c r="A804" s="5">
        <v>41346</v>
      </c>
      <c r="B804">
        <v>411.11474900000002</v>
      </c>
      <c r="C804" s="6">
        <v>2.7790519844350528E-3</v>
      </c>
      <c r="D804" s="6">
        <f t="shared" ca="1" si="62"/>
        <v>7.5329020101376721E-3</v>
      </c>
      <c r="E804" s="6">
        <f t="shared" ca="1" si="63"/>
        <v>4.7538500257026193E-3</v>
      </c>
      <c r="F804">
        <f t="shared" ca="1" si="61"/>
        <v>2.9339151707806207E-2</v>
      </c>
      <c r="G804">
        <f t="shared" ca="1" si="60"/>
        <v>0.31769309253196398</v>
      </c>
      <c r="H804">
        <f t="shared" ca="1" si="64"/>
        <v>2.7974267753885691</v>
      </c>
    </row>
    <row r="805" spans="1:8" x14ac:dyDescent="0.25">
      <c r="A805" s="1">
        <v>41347</v>
      </c>
      <c r="B805">
        <v>409.23678560000002</v>
      </c>
      <c r="C805" s="6">
        <v>4.5679786594082974E-3</v>
      </c>
      <c r="D805" s="6">
        <f t="shared" ca="1" si="62"/>
        <v>-6.1240270010593043E-4</v>
      </c>
      <c r="E805" s="6">
        <f t="shared" ca="1" si="63"/>
        <v>-5.1803813595142278E-3</v>
      </c>
      <c r="F805">
        <f t="shared" ca="1" si="61"/>
        <v>1.1176571133286684E-2</v>
      </c>
      <c r="G805">
        <f t="shared" ca="1" si="60"/>
        <v>-0.40296267955967102</v>
      </c>
      <c r="H805">
        <f t="shared" ca="1" si="64"/>
        <v>2.7970372706205908</v>
      </c>
    </row>
    <row r="806" spans="1:8" x14ac:dyDescent="0.25">
      <c r="A806" s="5">
        <v>41348</v>
      </c>
      <c r="B806">
        <v>405.63030350000002</v>
      </c>
      <c r="C806" s="6">
        <v>8.8127026379419236E-3</v>
      </c>
      <c r="D806" s="6">
        <f t="shared" ca="1" si="62"/>
        <v>-6.8072146737168477E-3</v>
      </c>
      <c r="E806" s="6">
        <f t="shared" ca="1" si="63"/>
        <v>-1.5619917311658772E-2</v>
      </c>
      <c r="F806">
        <f t="shared" ca="1" si="61"/>
        <v>9.675706783968686E-3</v>
      </c>
      <c r="G806">
        <f t="shared" ca="1" si="60"/>
        <v>-0.83295324282551753</v>
      </c>
      <c r="H806">
        <f t="shared" ca="1" si="64"/>
        <v>2.6089300980136896</v>
      </c>
    </row>
    <row r="807" spans="1:8" x14ac:dyDescent="0.25">
      <c r="A807" s="1">
        <v>41351</v>
      </c>
      <c r="B807">
        <v>402.38743909999999</v>
      </c>
      <c r="C807" s="6">
        <v>7.9946305096508415E-3</v>
      </c>
      <c r="D807" s="6">
        <f t="shared" ca="1" si="62"/>
        <v>-1.623227786733844E-2</v>
      </c>
      <c r="E807" s="6">
        <f t="shared" ca="1" si="63"/>
        <v>-2.4226908376989282E-2</v>
      </c>
      <c r="F807">
        <f t="shared" ca="1" si="61"/>
        <v>1.498939886803248E-2</v>
      </c>
      <c r="G807">
        <f t="shared" ca="1" si="60"/>
        <v>-1.220232926377937</v>
      </c>
      <c r="H807">
        <f t="shared" ca="1" si="64"/>
        <v>2.3091745739284435</v>
      </c>
    </row>
    <row r="808" spans="1:8" x14ac:dyDescent="0.25">
      <c r="A808" s="5">
        <v>41352</v>
      </c>
      <c r="B808">
        <v>404.14586509999998</v>
      </c>
      <c r="C808" s="6">
        <v>-4.3699823332780221E-3</v>
      </c>
      <c r="D808" s="6">
        <f t="shared" ca="1" si="62"/>
        <v>-1.1630559478453994E-2</v>
      </c>
      <c r="E808" s="6">
        <f t="shared" ca="1" si="63"/>
        <v>-7.2605771451759718E-3</v>
      </c>
      <c r="F808">
        <f t="shared" ca="1" si="61"/>
        <v>2.0786291869033323E-2</v>
      </c>
      <c r="G808">
        <f t="shared" ca="1" si="60"/>
        <v>-0.75055791553011697</v>
      </c>
      <c r="H808">
        <f t="shared" ca="1" si="64"/>
        <v>2.7749003544164963</v>
      </c>
    </row>
    <row r="809" spans="1:8" x14ac:dyDescent="0.25">
      <c r="A809" s="1">
        <v>41353</v>
      </c>
      <c r="B809">
        <v>405.8345276</v>
      </c>
      <c r="C809" s="6">
        <v>-4.1783490710270805E-3</v>
      </c>
      <c r="D809" s="6">
        <f t="shared" ca="1" si="62"/>
        <v>2.1987332167471521E-2</v>
      </c>
      <c r="E809" s="6">
        <f t="shared" ca="1" si="63"/>
        <v>2.6165681238498602E-2</v>
      </c>
      <c r="F809">
        <f t="shared" ca="1" si="61"/>
        <v>1.4611194772830863E-2</v>
      </c>
      <c r="G809">
        <f t="shared" ca="1" si="60"/>
        <v>1.2583069776019769</v>
      </c>
      <c r="H809">
        <f t="shared" ca="1" si="64"/>
        <v>2.2059637752243564</v>
      </c>
    </row>
    <row r="810" spans="1:8" x14ac:dyDescent="0.25">
      <c r="A810" s="5">
        <v>41354</v>
      </c>
      <c r="B810">
        <v>404.11595770000002</v>
      </c>
      <c r="C810" s="6">
        <v>4.2346566965683115E-3</v>
      </c>
      <c r="D810" s="6">
        <f t="shared" ca="1" si="62"/>
        <v>-5.7009596485580669E-2</v>
      </c>
      <c r="E810" s="6">
        <f t="shared" ca="1" si="63"/>
        <v>-6.1244253182148982E-2</v>
      </c>
      <c r="F810">
        <f t="shared" ca="1" si="61"/>
        <v>2.1330389572451397E-2</v>
      </c>
      <c r="G810">
        <f t="shared" ca="1" si="60"/>
        <v>-2.5803842631758047</v>
      </c>
      <c r="H810">
        <f t="shared" ca="1" si="64"/>
        <v>-0.470447574279796</v>
      </c>
    </row>
    <row r="811" spans="1:8" x14ac:dyDescent="0.25">
      <c r="A811" s="1">
        <v>41355</v>
      </c>
      <c r="B811">
        <v>403.64275140000001</v>
      </c>
      <c r="C811" s="6">
        <v>1.1709666272355056E-3</v>
      </c>
      <c r="D811" s="6">
        <f t="shared" ca="1" si="62"/>
        <v>-7.2832801984909157E-2</v>
      </c>
      <c r="E811" s="6">
        <f t="shared" ca="1" si="63"/>
        <v>-7.4003768612144666E-2</v>
      </c>
      <c r="F811">
        <f t="shared" ca="1" si="61"/>
        <v>4.1723877899647363E-2</v>
      </c>
      <c r="G811">
        <f t="shared" ca="1" si="60"/>
        <v>-1.700472043929758</v>
      </c>
      <c r="H811">
        <f t="shared" ca="1" si="64"/>
        <v>-1.9890468040011577</v>
      </c>
    </row>
    <row r="812" spans="1:8" x14ac:dyDescent="0.25">
      <c r="A812" s="5">
        <v>41358</v>
      </c>
      <c r="B812">
        <v>403.3089799</v>
      </c>
      <c r="C812" s="6">
        <v>8.2689828776152691E-4</v>
      </c>
      <c r="D812" s="6">
        <f t="shared" ca="1" si="62"/>
        <v>-2.4977419163262737E-2</v>
      </c>
      <c r="E812" s="6">
        <f t="shared" ca="1" si="63"/>
        <v>-2.5804317451024263E-2</v>
      </c>
      <c r="F812">
        <f t="shared" ca="1" si="61"/>
        <v>2.9654898042702802E-2</v>
      </c>
      <c r="G812">
        <f t="shared" ca="1" si="60"/>
        <v>-0.90660883008838056</v>
      </c>
      <c r="H812">
        <f t="shared" ca="1" si="64"/>
        <v>2.2400611036805729</v>
      </c>
    </row>
    <row r="813" spans="1:8" x14ac:dyDescent="0.25">
      <c r="A813" s="1">
        <v>41359</v>
      </c>
      <c r="B813">
        <v>404.6938093</v>
      </c>
      <c r="C813" s="6">
        <v>-3.4336686486459286E-3</v>
      </c>
      <c r="D813" s="6">
        <f t="shared" ca="1" si="62"/>
        <v>3.5249794671765672E-2</v>
      </c>
      <c r="E813" s="6">
        <f t="shared" ca="1" si="63"/>
        <v>3.8683463320411601E-2</v>
      </c>
      <c r="F813">
        <f t="shared" ca="1" si="61"/>
        <v>1.7510223110268723E-2</v>
      </c>
      <c r="G813">
        <f t="shared" ca="1" si="60"/>
        <v>1.982966959102878</v>
      </c>
      <c r="H813">
        <f t="shared" ca="1" si="64"/>
        <v>1.4853711088301838</v>
      </c>
    </row>
    <row r="814" spans="1:8" x14ac:dyDescent="0.25">
      <c r="A814" s="5">
        <v>41360</v>
      </c>
      <c r="B814">
        <v>399.83201489999999</v>
      </c>
      <c r="C814" s="6">
        <v>1.201351315061989E-2</v>
      </c>
      <c r="D814" s="6">
        <f t="shared" ca="1" si="62"/>
        <v>6.8688618733480132E-3</v>
      </c>
      <c r="E814" s="6">
        <f t="shared" ca="1" si="63"/>
        <v>-5.1446512772718766E-3</v>
      </c>
      <c r="F814">
        <f t="shared" ca="1" si="61"/>
        <v>3.238731524481564E-2</v>
      </c>
      <c r="G814">
        <f t="shared" ca="1" si="60"/>
        <v>0.20058328000410244</v>
      </c>
      <c r="H814">
        <f t="shared" ca="1" si="64"/>
        <v>2.7973507833714883</v>
      </c>
    </row>
    <row r="815" spans="1:8" x14ac:dyDescent="0.25">
      <c r="A815" s="1">
        <v>41361</v>
      </c>
      <c r="B815">
        <v>395.61283049999997</v>
      </c>
      <c r="C815" s="6">
        <v>1.0552392611820383E-2</v>
      </c>
      <c r="D815" s="6">
        <f t="shared" ca="1" si="62"/>
        <v>2.4591699539497237E-3</v>
      </c>
      <c r="E815" s="6">
        <f t="shared" ca="1" si="63"/>
        <v>-8.0932226578706596E-3</v>
      </c>
      <c r="F815">
        <f t="shared" ca="1" si="61"/>
        <v>1.1029774472825427E-2</v>
      </c>
      <c r="G815">
        <f t="shared" ca="1" si="60"/>
        <v>0.36320184297202701</v>
      </c>
      <c r="H815">
        <f t="shared" ca="1" si="64"/>
        <v>2.763899207143357</v>
      </c>
    </row>
    <row r="816" spans="1:8" x14ac:dyDescent="0.25">
      <c r="A816" s="5">
        <v>41365</v>
      </c>
      <c r="B816">
        <v>399.09977509999999</v>
      </c>
      <c r="C816" s="6">
        <v>-8.8140331434473414E-3</v>
      </c>
      <c r="D816" s="6">
        <f t="shared" ca="1" si="62"/>
        <v>1.0344091459361257E-2</v>
      </c>
      <c r="E816" s="6">
        <f t="shared" ca="1" si="63"/>
        <v>1.91581246028086E-2</v>
      </c>
      <c r="F816">
        <f t="shared" ca="1" si="61"/>
        <v>9.2620613364575461E-3</v>
      </c>
      <c r="G816">
        <f t="shared" ca="1" si="60"/>
        <v>0.53240258512158423</v>
      </c>
      <c r="H816">
        <f t="shared" ca="1" si="64"/>
        <v>2.4886116528438649</v>
      </c>
    </row>
    <row r="817" spans="1:8" x14ac:dyDescent="0.25">
      <c r="A817" s="1">
        <v>41366</v>
      </c>
      <c r="B817">
        <v>405.00264759999999</v>
      </c>
      <c r="C817" s="6">
        <v>-1.4790468119208923E-2</v>
      </c>
      <c r="D817" s="6">
        <f t="shared" ca="1" si="62"/>
        <v>-4.2694075605501135E-3</v>
      </c>
      <c r="E817" s="6">
        <f t="shared" ca="1" si="63"/>
        <v>1.0521060558658809E-2</v>
      </c>
      <c r="F817">
        <f t="shared" ca="1" si="61"/>
        <v>1.1020378317831791E-2</v>
      </c>
      <c r="G817">
        <f t="shared" ca="1" si="60"/>
        <v>-0.81882082860411165</v>
      </c>
      <c r="H817">
        <f t="shared" ca="1" si="64"/>
        <v>2.7177408766151081</v>
      </c>
    </row>
    <row r="818" spans="1:8" x14ac:dyDescent="0.25">
      <c r="A818" s="5">
        <v>41367</v>
      </c>
      <c r="B818">
        <v>401.59541530000001</v>
      </c>
      <c r="C818" s="6">
        <v>8.4128642619766807E-3</v>
      </c>
      <c r="D818" s="6">
        <f t="shared" ca="1" si="62"/>
        <v>-2.7063208573051705E-2</v>
      </c>
      <c r="E818" s="6">
        <f t="shared" ca="1" si="63"/>
        <v>-3.5476072835028384E-2</v>
      </c>
      <c r="F818">
        <f t="shared" ca="1" si="61"/>
        <v>1.4852718242619318E-2</v>
      </c>
      <c r="G818">
        <f t="shared" ca="1" si="60"/>
        <v>-1.5547147598449655</v>
      </c>
      <c r="H818">
        <f t="shared" ca="1" si="64"/>
        <v>1.7202839750834471</v>
      </c>
    </row>
    <row r="819" spans="1:8" x14ac:dyDescent="0.25">
      <c r="A819" s="1">
        <v>41368</v>
      </c>
      <c r="B819">
        <v>396.05118590000001</v>
      </c>
      <c r="C819" s="6">
        <v>1.380550969651472E-2</v>
      </c>
      <c r="D819" s="6">
        <f t="shared" ca="1" si="62"/>
        <v>3.5275428419500182E-3</v>
      </c>
      <c r="E819" s="6">
        <f t="shared" ca="1" si="63"/>
        <v>-1.0277966854564701E-2</v>
      </c>
      <c r="F819">
        <f t="shared" ca="1" si="61"/>
        <v>2.5771797260567306E-2</v>
      </c>
      <c r="G819">
        <f t="shared" ca="1" si="60"/>
        <v>0.39544589681903242</v>
      </c>
      <c r="H819">
        <f t="shared" ca="1" si="64"/>
        <v>2.7292162189352407</v>
      </c>
    </row>
    <row r="820" spans="1:8" x14ac:dyDescent="0.25">
      <c r="A820" s="5">
        <v>41369</v>
      </c>
      <c r="B820">
        <v>390.06362680000001</v>
      </c>
      <c r="C820" s="6">
        <v>1.5118144606469663E-2</v>
      </c>
      <c r="D820" s="6">
        <f t="shared" ca="1" si="62"/>
        <v>-5.9007712963628101E-3</v>
      </c>
      <c r="E820" s="6">
        <f t="shared" ca="1" si="63"/>
        <v>-2.1018915902832475E-2</v>
      </c>
      <c r="F820">
        <f t="shared" ca="1" si="61"/>
        <v>1.1239488625482762E-2</v>
      </c>
      <c r="G820">
        <f t="shared" ca="1" si="60"/>
        <v>-0.86227000247505547</v>
      </c>
      <c r="H820">
        <f t="shared" ca="1" si="64"/>
        <v>2.4361838441888648</v>
      </c>
    </row>
    <row r="821" spans="1:8" x14ac:dyDescent="0.25">
      <c r="A821" s="1">
        <v>41372</v>
      </c>
      <c r="B821">
        <v>385.97893319999997</v>
      </c>
      <c r="C821" s="6">
        <v>1.0471864894222525E-2</v>
      </c>
      <c r="D821" s="6">
        <f t="shared" ca="1" si="62"/>
        <v>-7.6031379685074655E-3</v>
      </c>
      <c r="E821" s="6">
        <f t="shared" ca="1" si="63"/>
        <v>-1.8075002862729991E-2</v>
      </c>
      <c r="F821">
        <f t="shared" ca="1" si="61"/>
        <v>1.5466068230792695E-2</v>
      </c>
      <c r="G821">
        <f t="shared" ca="1" si="60"/>
        <v>-0.89379897939667829</v>
      </c>
      <c r="H821">
        <f t="shared" ca="1" si="64"/>
        <v>2.5367554321693513</v>
      </c>
    </row>
    <row r="822" spans="1:8" x14ac:dyDescent="0.25">
      <c r="A822" s="5">
        <v>41373</v>
      </c>
      <c r="B822">
        <v>387.37368029999999</v>
      </c>
      <c r="C822" s="6">
        <v>-3.613531672406876E-3</v>
      </c>
      <c r="D822" s="6">
        <f t="shared" ca="1" si="62"/>
        <v>-9.7126230040013965E-3</v>
      </c>
      <c r="E822" s="6">
        <f t="shared" ca="1" si="63"/>
        <v>-6.0990913315945201E-3</v>
      </c>
      <c r="F822">
        <f t="shared" ca="1" si="61"/>
        <v>1.6131369930472001E-2</v>
      </c>
      <c r="G822">
        <f t="shared" ca="1" si="60"/>
        <v>-1.0243631506414035</v>
      </c>
      <c r="H822">
        <f t="shared" ca="1" si="64"/>
        <v>2.7882022628220255</v>
      </c>
    </row>
    <row r="823" spans="1:8" x14ac:dyDescent="0.25">
      <c r="A823" s="1">
        <v>41374</v>
      </c>
      <c r="B823">
        <v>393.61529869999998</v>
      </c>
      <c r="C823" s="6">
        <v>-1.6112654827674912E-2</v>
      </c>
      <c r="D823" s="6">
        <f t="shared" ca="1" si="62"/>
        <v>4.0155297594633779E-2</v>
      </c>
      <c r="E823" s="6">
        <f t="shared" ca="1" si="63"/>
        <v>5.6267952422308691E-2</v>
      </c>
      <c r="F823">
        <f t="shared" ca="1" si="61"/>
        <v>1.8007082657107969E-2</v>
      </c>
      <c r="G823">
        <f t="shared" ca="1" si="60"/>
        <v>1.9679582097144319</v>
      </c>
      <c r="H823">
        <f t="shared" ca="1" si="64"/>
        <v>5.9829201182200172E-3</v>
      </c>
    </row>
    <row r="824" spans="1:8" x14ac:dyDescent="0.25">
      <c r="A824" s="5">
        <v>41375</v>
      </c>
      <c r="B824">
        <v>393.71991359999998</v>
      </c>
      <c r="C824" s="6">
        <v>-2.6577955771921169E-4</v>
      </c>
      <c r="D824" s="6">
        <f t="shared" ca="1" si="62"/>
        <v>8.7085230577545504E-3</v>
      </c>
      <c r="E824" s="6">
        <f t="shared" ca="1" si="63"/>
        <v>8.9743026154737622E-3</v>
      </c>
      <c r="F824">
        <f t="shared" ca="1" si="61"/>
        <v>3.2174708053165982E-2</v>
      </c>
      <c r="G824">
        <f t="shared" ca="1" si="60"/>
        <v>0.32127381764852453</v>
      </c>
      <c r="H824">
        <f t="shared" ca="1" si="64"/>
        <v>2.7448733962783454</v>
      </c>
    </row>
    <row r="825" spans="1:8" x14ac:dyDescent="0.25">
      <c r="A825" s="1">
        <v>41376</v>
      </c>
      <c r="B825">
        <v>393.55054050000001</v>
      </c>
      <c r="C825" s="6">
        <v>4.3018677529236605E-4</v>
      </c>
      <c r="D825" s="6">
        <f t="shared" ca="1" si="62"/>
        <v>-2.1959480392846533E-2</v>
      </c>
      <c r="E825" s="6">
        <f t="shared" ca="1" si="63"/>
        <v>-2.2389667168138901E-2</v>
      </c>
      <c r="F825">
        <f t="shared" ca="1" si="61"/>
        <v>1.168561098514239E-2</v>
      </c>
      <c r="G825">
        <f t="shared" ca="1" si="60"/>
        <v>-1.2579408851352156</v>
      </c>
      <c r="H825">
        <f t="shared" ca="1" si="64"/>
        <v>2.3841361779902122</v>
      </c>
    </row>
    <row r="826" spans="1:8" x14ac:dyDescent="0.25">
      <c r="A826" s="5">
        <v>41379</v>
      </c>
      <c r="B826">
        <v>389.50570349999998</v>
      </c>
      <c r="C826" s="6">
        <v>1.0277808270473025E-2</v>
      </c>
      <c r="D826" s="6">
        <f t="shared" ca="1" si="62"/>
        <v>5.2185738331253055E-3</v>
      </c>
      <c r="E826" s="6">
        <f t="shared" ca="1" si="63"/>
        <v>-5.0592344373477198E-3</v>
      </c>
      <c r="F826">
        <f t="shared" ca="1" si="61"/>
        <v>2.1210245470310939E-2</v>
      </c>
      <c r="G826">
        <f t="shared" ca="1" si="60"/>
        <v>0.2516857027607336</v>
      </c>
      <c r="H826">
        <f t="shared" ca="1" si="64"/>
        <v>2.7980911394558556</v>
      </c>
    </row>
    <row r="827" spans="1:8" x14ac:dyDescent="0.25">
      <c r="A827" s="1">
        <v>41380</v>
      </c>
      <c r="B827">
        <v>395.20435209999999</v>
      </c>
      <c r="C827" s="6">
        <v>-1.4630462529286205E-2</v>
      </c>
      <c r="D827" s="6">
        <f t="shared" ca="1" si="62"/>
        <v>5.1027677310452072E-3</v>
      </c>
      <c r="E827" s="6">
        <f t="shared" ca="1" si="63"/>
        <v>1.9733230260331414E-2</v>
      </c>
      <c r="F827">
        <f t="shared" ca="1" si="61"/>
        <v>9.4572606612893448E-3</v>
      </c>
      <c r="G827">
        <f t="shared" ca="1" si="60"/>
        <v>0.51904819705398753</v>
      </c>
      <c r="H827">
        <f t="shared" ca="1" si="64"/>
        <v>2.4686795306023757</v>
      </c>
    </row>
    <row r="828" spans="1:8" x14ac:dyDescent="0.25">
      <c r="A828" s="5">
        <v>41381</v>
      </c>
      <c r="B828">
        <v>389.81954660000002</v>
      </c>
      <c r="C828" s="6">
        <v>1.3625369941871069E-2</v>
      </c>
      <c r="D828" s="6">
        <f t="shared" ca="1" si="62"/>
        <v>6.7966874557062115E-3</v>
      </c>
      <c r="E828" s="6">
        <f t="shared" ca="1" si="63"/>
        <v>-6.8286824861648575E-3</v>
      </c>
      <c r="F828">
        <f t="shared" ca="1" si="61"/>
        <v>1.0870379128400007E-2</v>
      </c>
      <c r="G828">
        <f t="shared" ca="1" si="60"/>
        <v>0.19927472361519136</v>
      </c>
      <c r="H828">
        <f t="shared" ca="1" si="64"/>
        <v>2.780124701493508</v>
      </c>
    </row>
    <row r="829" spans="1:8" x14ac:dyDescent="0.25">
      <c r="A829" s="1">
        <v>41382</v>
      </c>
      <c r="B829">
        <v>381.52561780000002</v>
      </c>
      <c r="C829" s="6">
        <v>2.1276328681666994E-2</v>
      </c>
      <c r="D829" s="6">
        <f t="shared" ca="1" si="62"/>
        <v>-2.3558254039514155E-3</v>
      </c>
      <c r="E829" s="6">
        <f t="shared" ca="1" si="63"/>
        <v>-2.3632154085618411E-2</v>
      </c>
      <c r="F829">
        <f t="shared" ca="1" si="61"/>
        <v>7.9044335831907706E-3</v>
      </c>
      <c r="G829">
        <f t="shared" ca="1" si="60"/>
        <v>0.53587715592117946</v>
      </c>
      <c r="H829">
        <f t="shared" ca="1" si="64"/>
        <v>2.3340933821508503</v>
      </c>
    </row>
    <row r="830" spans="1:8" x14ac:dyDescent="0.25">
      <c r="A830" s="5">
        <v>41383</v>
      </c>
      <c r="B830">
        <v>398.4422118</v>
      </c>
      <c r="C830" s="6">
        <v>-4.4339339773686814E-2</v>
      </c>
      <c r="D830" s="6">
        <f t="shared" ca="1" si="62"/>
        <v>-1.1437999195119865E-2</v>
      </c>
      <c r="E830" s="6">
        <f t="shared" ca="1" si="63"/>
        <v>3.2901340578566945E-2</v>
      </c>
      <c r="F830">
        <f t="shared" ca="1" si="61"/>
        <v>1.0995434946355794E-2</v>
      </c>
      <c r="G830">
        <f t="shared" ca="1" si="60"/>
        <v>-1.5986048721119357</v>
      </c>
      <c r="H830">
        <f t="shared" ca="1" si="64"/>
        <v>1.852591603423172</v>
      </c>
    </row>
    <row r="831" spans="1:8" x14ac:dyDescent="0.25">
      <c r="A831" s="1">
        <v>41386</v>
      </c>
      <c r="B831">
        <v>398.56177960000002</v>
      </c>
      <c r="C831" s="6">
        <v>-3.0008818458232214E-4</v>
      </c>
      <c r="D831" s="6">
        <f t="shared" ca="1" si="62"/>
        <v>4.3437617212102764E-2</v>
      </c>
      <c r="E831" s="6">
        <f t="shared" ca="1" si="63"/>
        <v>4.3737705396685089E-2</v>
      </c>
      <c r="F831">
        <f t="shared" ca="1" si="61"/>
        <v>2.6315586309533189E-2</v>
      </c>
      <c r="G831">
        <f t="shared" ca="1" si="60"/>
        <v>1.2863917628423254</v>
      </c>
      <c r="H831">
        <f t="shared" ca="1" si="64"/>
        <v>1.1160447502252917</v>
      </c>
    </row>
    <row r="832" spans="1:8" x14ac:dyDescent="0.25">
      <c r="A832" s="5">
        <v>41387</v>
      </c>
      <c r="B832">
        <v>402.44224919999999</v>
      </c>
      <c r="C832" s="6">
        <v>-9.7361809350972935E-3</v>
      </c>
      <c r="D832" s="6">
        <f t="shared" ca="1" si="62"/>
        <v>-6.9984714685864327E-2</v>
      </c>
      <c r="E832" s="6">
        <f t="shared" ca="1" si="63"/>
        <v>-6.0248533750767032E-2</v>
      </c>
      <c r="F832">
        <f t="shared" ca="1" si="61"/>
        <v>2.2433577304044914E-2</v>
      </c>
      <c r="G832">
        <f t="shared" ca="1" si="60"/>
        <v>-2.229127908377079</v>
      </c>
      <c r="H832">
        <f t="shared" ca="1" si="64"/>
        <v>-0.36402684813507785</v>
      </c>
    </row>
    <row r="833" spans="1:8" x14ac:dyDescent="0.25">
      <c r="A833" s="1">
        <v>41388</v>
      </c>
      <c r="B833">
        <v>405.20687170000002</v>
      </c>
      <c r="C833" s="6">
        <v>-6.8696129829701538E-3</v>
      </c>
      <c r="D833" s="6">
        <f t="shared" ca="1" si="62"/>
        <v>2.1842795257101748E-2</v>
      </c>
      <c r="E833" s="6">
        <f t="shared" ca="1" si="63"/>
        <v>2.8712408240071902E-2</v>
      </c>
      <c r="F833">
        <f t="shared" ca="1" si="61"/>
        <v>3.634553020089383E-2</v>
      </c>
      <c r="G833">
        <f t="shared" ca="1" si="60"/>
        <v>0.6047005778044352</v>
      </c>
      <c r="H833">
        <f t="shared" ca="1" si="64"/>
        <v>2.0817695074422247</v>
      </c>
    </row>
    <row r="834" spans="1:8" x14ac:dyDescent="0.25">
      <c r="A834" s="5">
        <v>41389</v>
      </c>
      <c r="B834">
        <v>403.03999759999999</v>
      </c>
      <c r="C834" s="6">
        <v>5.3475749088586584E-3</v>
      </c>
      <c r="D834" s="6">
        <f t="shared" ca="1" si="62"/>
        <v>-8.9540465799901759E-3</v>
      </c>
      <c r="E834" s="6">
        <f t="shared" ca="1" si="63"/>
        <v>-1.4301621488848833E-2</v>
      </c>
      <c r="F834">
        <f t="shared" ca="1" si="61"/>
        <v>1.4845472523311445E-2</v>
      </c>
      <c r="G834">
        <f t="shared" ca="1" si="60"/>
        <v>-0.30765132090064939</v>
      </c>
      <c r="H834">
        <f t="shared" ca="1" si="64"/>
        <v>2.6432955344842539</v>
      </c>
    </row>
    <row r="835" spans="1:8" x14ac:dyDescent="0.25">
      <c r="A835" s="1">
        <v>41390</v>
      </c>
      <c r="B835">
        <v>399.21433819999999</v>
      </c>
      <c r="C835" s="6">
        <v>9.4920092863756168E-3</v>
      </c>
      <c r="D835" s="6">
        <f t="shared" ca="1" si="62"/>
        <v>-4.5591252753420736E-3</v>
      </c>
      <c r="E835" s="6">
        <f t="shared" ca="1" si="63"/>
        <v>-1.405113456171769E-2</v>
      </c>
      <c r="F835">
        <f t="shared" ca="1" si="61"/>
        <v>9.0950040501523912E-3</v>
      </c>
      <c r="G835">
        <f t="shared" ref="G835:G898" ca="1" si="65">_xlfn.NORM.INV(RAND(),0,1)</f>
        <v>-0.16097431495923101</v>
      </c>
      <c r="H835">
        <f t="shared" ca="1" si="64"/>
        <v>2.6494784664030728</v>
      </c>
    </row>
    <row r="836" spans="1:8" x14ac:dyDescent="0.25">
      <c r="A836" s="5">
        <v>41393</v>
      </c>
      <c r="B836">
        <v>408.00140160000001</v>
      </c>
      <c r="C836" s="6">
        <v>-2.2010891291178634E-2</v>
      </c>
      <c r="D836" s="6">
        <f t="shared" ca="1" si="62"/>
        <v>8.7472182000491623E-3</v>
      </c>
      <c r="E836" s="6">
        <f t="shared" ca="1" si="63"/>
        <v>3.0758109491227797E-2</v>
      </c>
      <c r="F836">
        <f t="shared" ref="F836:F899" ca="1" si="66">SQRT($K$6+$K$7*POWER($G835,2)+$K$8*POWER($F835,2))</f>
        <v>7.5350611224517189E-3</v>
      </c>
      <c r="G836">
        <f t="shared" ca="1" si="65"/>
        <v>0.84109129251638892</v>
      </c>
      <c r="H836">
        <f t="shared" ca="1" si="64"/>
        <v>1.973717672129655</v>
      </c>
    </row>
    <row r="837" spans="1:8" x14ac:dyDescent="0.25">
      <c r="A837" s="1">
        <v>41394</v>
      </c>
      <c r="B837">
        <v>410.74612669999999</v>
      </c>
      <c r="C837" s="6">
        <v>-6.7272442918979974E-3</v>
      </c>
      <c r="D837" s="6">
        <f t="shared" ref="D837:D900" ca="1" si="67">($K$10*$C836)+($K$11*$C835)+($F837*$G837)</f>
        <v>3.2761762094796525E-2</v>
      </c>
      <c r="E837" s="6">
        <f t="shared" ca="1" si="63"/>
        <v>3.9489006386694524E-2</v>
      </c>
      <c r="F837">
        <f t="shared" ca="1" si="66"/>
        <v>1.5025168310144671E-2</v>
      </c>
      <c r="G837">
        <f t="shared" ca="1" si="65"/>
        <v>1.8958480264427271</v>
      </c>
      <c r="H837">
        <f t="shared" ca="1" si="64"/>
        <v>1.4295283324431223</v>
      </c>
    </row>
    <row r="838" spans="1:8" x14ac:dyDescent="0.25">
      <c r="A838" s="5">
        <v>41395</v>
      </c>
      <c r="B838">
        <v>408.68386700000002</v>
      </c>
      <c r="C838" s="6">
        <v>5.0207648129721736E-3</v>
      </c>
      <c r="D838" s="6">
        <f t="shared" ca="1" si="67"/>
        <v>-4.392893159151613E-3</v>
      </c>
      <c r="E838" s="6">
        <f t="shared" ref="E838:E901" ca="1" si="68">$D838-$C838</f>
        <v>-9.4136579721237866E-3</v>
      </c>
      <c r="F838">
        <f t="shared" ca="1" si="66"/>
        <v>3.0971096325674366E-2</v>
      </c>
      <c r="G838">
        <f t="shared" ca="1" si="65"/>
        <v>0.17837203752145095</v>
      </c>
      <c r="H838">
        <f t="shared" ref="H838:H901" ca="1" si="69">LN(_xlfn.NORM.DIST($E838,AVERAGE($E$5:$E$1763),_xlfn.STDEV.S($E$5:$E$1763),FALSE))</f>
        <v>2.7439443383561506</v>
      </c>
    </row>
    <row r="839" spans="1:8" x14ac:dyDescent="0.25">
      <c r="A839" s="1">
        <v>41396</v>
      </c>
      <c r="B839">
        <v>413.25672040000001</v>
      </c>
      <c r="C839" s="6">
        <v>-1.1189219270062317E-2</v>
      </c>
      <c r="D839" s="6">
        <f t="shared" ca="1" si="67"/>
        <v>-4.4295582957622794E-3</v>
      </c>
      <c r="E839" s="6">
        <f t="shared" ca="1" si="68"/>
        <v>6.7596609743000372E-3</v>
      </c>
      <c r="F839">
        <f t="shared" ca="1" si="66"/>
        <v>1.0670358089722477E-2</v>
      </c>
      <c r="G839">
        <f t="shared" ca="1" si="65"/>
        <v>-0.13107665634840557</v>
      </c>
      <c r="H839">
        <f t="shared" ca="1" si="69"/>
        <v>2.7763704011051051</v>
      </c>
    </row>
    <row r="840" spans="1:8" x14ac:dyDescent="0.25">
      <c r="A840" s="5">
        <v>41397</v>
      </c>
      <c r="B840">
        <v>421.2816674</v>
      </c>
      <c r="C840" s="6">
        <v>-1.9418793703421155E-2</v>
      </c>
      <c r="D840" s="6">
        <f t="shared" ca="1" si="67"/>
        <v>1.6801993679664384E-3</v>
      </c>
      <c r="E840" s="6">
        <f t="shared" ca="1" si="68"/>
        <v>2.1098993071387594E-2</v>
      </c>
      <c r="F840">
        <f t="shared" ca="1" si="66"/>
        <v>7.5210610581086359E-3</v>
      </c>
      <c r="G840">
        <f t="shared" ca="1" si="65"/>
        <v>-7.7350241905035602E-2</v>
      </c>
      <c r="H840">
        <f t="shared" ca="1" si="69"/>
        <v>2.4190054027981724</v>
      </c>
    </row>
    <row r="841" spans="1:8" x14ac:dyDescent="0.25">
      <c r="A841" s="1">
        <v>41400</v>
      </c>
      <c r="B841">
        <v>429.16711780000003</v>
      </c>
      <c r="C841" s="6">
        <v>-1.8717762984243318E-2</v>
      </c>
      <c r="D841" s="6">
        <f t="shared" ca="1" si="67"/>
        <v>8.275917777376289E-3</v>
      </c>
      <c r="E841" s="6">
        <f t="shared" ca="1" si="68"/>
        <v>2.6993680761619607E-2</v>
      </c>
      <c r="F841">
        <f t="shared" ca="1" si="66"/>
        <v>7.0801529761841441E-3</v>
      </c>
      <c r="G841">
        <f t="shared" ca="1" si="65"/>
        <v>1.8809790167634166</v>
      </c>
      <c r="H841">
        <f t="shared" ca="1" si="69"/>
        <v>2.1668412299642372</v>
      </c>
    </row>
    <row r="842" spans="1:8" x14ac:dyDescent="0.25">
      <c r="A842" s="5">
        <v>41401</v>
      </c>
      <c r="B842">
        <v>427.01516679999997</v>
      </c>
      <c r="C842" s="6">
        <v>5.0142494863805089E-3</v>
      </c>
      <c r="D842" s="6">
        <f t="shared" ca="1" si="67"/>
        <v>-2.6154833700151058E-2</v>
      </c>
      <c r="E842" s="6">
        <f t="shared" ca="1" si="68"/>
        <v>-3.1169083186531568E-2</v>
      </c>
      <c r="F842">
        <f t="shared" ca="1" si="66"/>
        <v>3.0561547047381819E-2</v>
      </c>
      <c r="G842">
        <f t="shared" ca="1" si="65"/>
        <v>-0.56951476093376574</v>
      </c>
      <c r="H842">
        <f t="shared" ca="1" si="69"/>
        <v>1.9721398304469646</v>
      </c>
    </row>
    <row r="843" spans="1:8" x14ac:dyDescent="0.25">
      <c r="A843" s="1">
        <v>41402</v>
      </c>
      <c r="B843">
        <v>435.18458429999998</v>
      </c>
      <c r="C843" s="6">
        <v>-1.9131445754539903E-2</v>
      </c>
      <c r="D843" s="6">
        <f t="shared" ca="1" si="67"/>
        <v>-1.7331837280224844E-3</v>
      </c>
      <c r="E843" s="6">
        <f t="shared" ca="1" si="68"/>
        <v>1.7398262026517418E-2</v>
      </c>
      <c r="F843">
        <f t="shared" ca="1" si="66"/>
        <v>1.3619660257045287E-2</v>
      </c>
      <c r="G843">
        <f t="shared" ca="1" si="65"/>
        <v>0.49194700076268111</v>
      </c>
      <c r="H843">
        <f t="shared" ca="1" si="69"/>
        <v>2.5459789845422653</v>
      </c>
    </row>
    <row r="844" spans="1:8" x14ac:dyDescent="0.25">
      <c r="A844" s="5">
        <v>41403</v>
      </c>
      <c r="B844">
        <v>434.1135678</v>
      </c>
      <c r="C844" s="6">
        <v>2.4610625896198243E-3</v>
      </c>
      <c r="D844" s="6">
        <f t="shared" ca="1" si="67"/>
        <v>1.1729110808194273E-2</v>
      </c>
      <c r="E844" s="6">
        <f t="shared" ca="1" si="68"/>
        <v>9.2680482185744477E-3</v>
      </c>
      <c r="F844">
        <f t="shared" ca="1" si="66"/>
        <v>1.0835079680112991E-2</v>
      </c>
      <c r="G844">
        <f t="shared" ca="1" si="65"/>
        <v>0.87403348440590345</v>
      </c>
      <c r="H844">
        <f t="shared" ca="1" si="69"/>
        <v>2.7400454584695777</v>
      </c>
    </row>
    <row r="845" spans="1:8" x14ac:dyDescent="0.25">
      <c r="A845" s="1">
        <v>41404</v>
      </c>
      <c r="B845">
        <v>438.47224840000001</v>
      </c>
      <c r="C845" s="6">
        <v>-1.0040415511749444E-2</v>
      </c>
      <c r="D845" s="6">
        <f t="shared" ca="1" si="67"/>
        <v>-1.0848447104365848E-2</v>
      </c>
      <c r="E845" s="6">
        <f t="shared" ca="1" si="68"/>
        <v>-8.0803159261640459E-4</v>
      </c>
      <c r="F845">
        <f t="shared" ca="1" si="66"/>
        <v>1.5612383191658278E-2</v>
      </c>
      <c r="G845">
        <f t="shared" ca="1" si="65"/>
        <v>-0.14275094748752687</v>
      </c>
      <c r="H845">
        <f t="shared" ca="1" si="69"/>
        <v>2.8186693798930573</v>
      </c>
    </row>
    <row r="846" spans="1:8" x14ac:dyDescent="0.25">
      <c r="A846" s="5">
        <v>41407</v>
      </c>
      <c r="B846">
        <v>437.12730599999998</v>
      </c>
      <c r="C846" s="6">
        <v>3.0673375679025898E-3</v>
      </c>
      <c r="D846" s="6">
        <f t="shared" ca="1" si="67"/>
        <v>1.7362339413066554E-2</v>
      </c>
      <c r="E846" s="6">
        <f t="shared" ca="1" si="68"/>
        <v>1.4295001845163965E-2</v>
      </c>
      <c r="F846">
        <f t="shared" ca="1" si="66"/>
        <v>8.0997799871889882E-3</v>
      </c>
      <c r="G846">
        <f t="shared" ca="1" si="65"/>
        <v>2.0066787902975851</v>
      </c>
      <c r="H846">
        <f t="shared" ca="1" si="69"/>
        <v>2.6338198446713608</v>
      </c>
    </row>
    <row r="847" spans="1:8" x14ac:dyDescent="0.25">
      <c r="A847" s="1">
        <v>41408</v>
      </c>
      <c r="B847">
        <v>441.89443469999998</v>
      </c>
      <c r="C847" s="6">
        <v>-1.0905584333365807E-2</v>
      </c>
      <c r="D847" s="6">
        <f t="shared" ca="1" si="67"/>
        <v>-1.7471215857844738E-3</v>
      </c>
      <c r="E847" s="6">
        <f t="shared" ca="1" si="68"/>
        <v>9.1584627475813328E-3</v>
      </c>
      <c r="F847">
        <f t="shared" ca="1" si="66"/>
        <v>3.251667597565569E-2</v>
      </c>
      <c r="G847">
        <f t="shared" ca="1" si="65"/>
        <v>8.5390228434914478E-2</v>
      </c>
      <c r="H847">
        <f t="shared" ca="1" si="69"/>
        <v>2.7418643906996225</v>
      </c>
    </row>
    <row r="848" spans="1:8" x14ac:dyDescent="0.25">
      <c r="A848" s="5">
        <v>41409</v>
      </c>
      <c r="B848">
        <v>456.23570660000001</v>
      </c>
      <c r="C848" s="6">
        <v>-3.2454067699984178E-2</v>
      </c>
      <c r="D848" s="6">
        <f t="shared" ca="1" si="67"/>
        <v>-9.8269683839377901E-4</v>
      </c>
      <c r="E848" s="6">
        <f t="shared" ca="1" si="68"/>
        <v>3.1471370861590402E-2</v>
      </c>
      <c r="F848">
        <f t="shared" ca="1" si="66"/>
        <v>1.0674325111149961E-2</v>
      </c>
      <c r="G848">
        <f t="shared" ca="1" si="65"/>
        <v>-0.22151532747619274</v>
      </c>
      <c r="H848">
        <f t="shared" ca="1" si="69"/>
        <v>1.9343073344140944</v>
      </c>
    </row>
    <row r="849" spans="1:8" x14ac:dyDescent="0.25">
      <c r="A849" s="1">
        <v>41410</v>
      </c>
      <c r="B849">
        <v>450.24814739999999</v>
      </c>
      <c r="C849" s="6">
        <v>1.3123828567958956E-2</v>
      </c>
      <c r="D849" s="6">
        <f t="shared" ca="1" si="67"/>
        <v>-8.7320158472012702E-3</v>
      </c>
      <c r="E849" s="6">
        <f t="shared" ca="1" si="68"/>
        <v>-2.1855844415160225E-2</v>
      </c>
      <c r="F849">
        <f t="shared" ca="1" si="66"/>
        <v>8.0346202792166178E-3</v>
      </c>
      <c r="G849">
        <f t="shared" ca="1" si="65"/>
        <v>-0.4751802044985366</v>
      </c>
      <c r="H849">
        <f t="shared" ca="1" si="69"/>
        <v>2.4047997902664697</v>
      </c>
    </row>
    <row r="850" spans="1:8" x14ac:dyDescent="0.25">
      <c r="A850" s="5">
        <v>41411</v>
      </c>
      <c r="B850">
        <v>452.89323250000001</v>
      </c>
      <c r="C850" s="6">
        <v>-5.8747273370791378E-3</v>
      </c>
      <c r="D850" s="6">
        <f t="shared" ca="1" si="67"/>
        <v>-2.6478618170018616E-3</v>
      </c>
      <c r="E850" s="6">
        <f t="shared" ca="1" si="68"/>
        <v>3.2268655200772762E-3</v>
      </c>
      <c r="F850">
        <f t="shared" ca="1" si="66"/>
        <v>1.0279457704577834E-2</v>
      </c>
      <c r="G850">
        <f t="shared" ca="1" si="65"/>
        <v>1.164879150857921</v>
      </c>
      <c r="H850">
        <f t="shared" ca="1" si="69"/>
        <v>2.808695999512921</v>
      </c>
    </row>
    <row r="851" spans="1:8" x14ac:dyDescent="0.25">
      <c r="A851" s="1">
        <v>41414</v>
      </c>
      <c r="B851">
        <v>452.56944060000001</v>
      </c>
      <c r="C851" s="6">
        <v>7.1494091049374058E-4</v>
      </c>
      <c r="D851" s="6">
        <f t="shared" ca="1" si="67"/>
        <v>-1.4833541075301996E-2</v>
      </c>
      <c r="E851" s="6">
        <f t="shared" ca="1" si="68"/>
        <v>-1.5548481985795736E-2</v>
      </c>
      <c r="F851">
        <f t="shared" ca="1" si="66"/>
        <v>1.9785515009440802E-2</v>
      </c>
      <c r="G851">
        <f t="shared" ca="1" si="65"/>
        <v>-1.0485689000478078</v>
      </c>
      <c r="H851">
        <f t="shared" ca="1" si="69"/>
        <v>2.6108708822964828</v>
      </c>
    </row>
    <row r="852" spans="1:8" x14ac:dyDescent="0.25">
      <c r="A852" s="5">
        <v>41415</v>
      </c>
      <c r="B852">
        <v>451.7923394</v>
      </c>
      <c r="C852" s="6">
        <v>1.7170872142178929E-3</v>
      </c>
      <c r="D852" s="6">
        <f t="shared" ca="1" si="67"/>
        <v>3.2174450974458278E-2</v>
      </c>
      <c r="E852" s="6">
        <f t="shared" ca="1" si="68"/>
        <v>3.0457363760240386E-2</v>
      </c>
      <c r="F852">
        <f t="shared" ca="1" si="66"/>
        <v>1.8578022704322877E-2</v>
      </c>
      <c r="G852">
        <f t="shared" ca="1" si="65"/>
        <v>1.8743296190115812</v>
      </c>
      <c r="H852">
        <f t="shared" ca="1" si="69"/>
        <v>1.9900658690861972</v>
      </c>
    </row>
    <row r="853" spans="1:8" x14ac:dyDescent="0.25">
      <c r="A853" s="1">
        <v>41416</v>
      </c>
      <c r="B853">
        <v>443.0501064</v>
      </c>
      <c r="C853" s="6">
        <v>1.9350113398580567E-2</v>
      </c>
      <c r="D853" s="6">
        <f t="shared" ca="1" si="67"/>
        <v>-6.4599945848401842E-3</v>
      </c>
      <c r="E853" s="6">
        <f t="shared" ca="1" si="68"/>
        <v>-2.581010798342075E-2</v>
      </c>
      <c r="F853">
        <f t="shared" ca="1" si="66"/>
        <v>3.0764772561771722E-2</v>
      </c>
      <c r="G853">
        <f t="shared" ca="1" si="65"/>
        <v>-0.22045163994121375</v>
      </c>
      <c r="H853">
        <f t="shared" ca="1" si="69"/>
        <v>2.2397993038724451</v>
      </c>
    </row>
    <row r="854" spans="1:8" x14ac:dyDescent="0.25">
      <c r="A854" s="5">
        <v>41417</v>
      </c>
      <c r="B854">
        <v>439.74748849999997</v>
      </c>
      <c r="C854" s="6">
        <v>7.4542762822819844E-3</v>
      </c>
      <c r="D854" s="6">
        <f t="shared" ca="1" si="67"/>
        <v>-1.2074446765710324E-2</v>
      </c>
      <c r="E854" s="6">
        <f t="shared" ca="1" si="68"/>
        <v>-1.9528723047992309E-2</v>
      </c>
      <c r="F854">
        <f t="shared" ca="1" si="66"/>
        <v>1.0828208703777776E-2</v>
      </c>
      <c r="G854">
        <f t="shared" ca="1" si="65"/>
        <v>-1.1865685931968886</v>
      </c>
      <c r="H854">
        <f t="shared" ca="1" si="69"/>
        <v>2.489004383429601</v>
      </c>
    </row>
    <row r="855" spans="1:8" x14ac:dyDescent="0.25">
      <c r="A855" s="1">
        <v>41418</v>
      </c>
      <c r="B855">
        <v>435.03013429999999</v>
      </c>
      <c r="C855" s="6">
        <v>1.0727415899727165E-2</v>
      </c>
      <c r="D855" s="6">
        <f t="shared" ca="1" si="67"/>
        <v>6.8701270027627494E-3</v>
      </c>
      <c r="E855" s="6">
        <f t="shared" ca="1" si="68"/>
        <v>-3.8572888969644155E-3</v>
      </c>
      <c r="F855">
        <f t="shared" ca="1" si="66"/>
        <v>2.01238668306758E-2</v>
      </c>
      <c r="G855">
        <f t="shared" ca="1" si="65"/>
        <v>-9.1847349979912396E-2</v>
      </c>
      <c r="H855">
        <f t="shared" ca="1" si="69"/>
        <v>2.8071435794495976</v>
      </c>
    </row>
    <row r="856" spans="1:8" x14ac:dyDescent="0.25">
      <c r="A856" s="5">
        <v>41422</v>
      </c>
      <c r="B856">
        <v>438.99031550000001</v>
      </c>
      <c r="C856" s="6">
        <v>-9.1032342078377782E-3</v>
      </c>
      <c r="D856" s="6">
        <f t="shared" ca="1" si="67"/>
        <v>6.2529078004180394E-3</v>
      </c>
      <c r="E856" s="6">
        <f t="shared" ca="1" si="68"/>
        <v>1.5356142008255818E-2</v>
      </c>
      <c r="F856">
        <f t="shared" ca="1" si="66"/>
        <v>8.5348769039136092E-3</v>
      </c>
      <c r="G856">
        <f t="shared" ca="1" si="65"/>
        <v>0.33909740110577652</v>
      </c>
      <c r="H856">
        <f t="shared" ca="1" si="69"/>
        <v>2.6056955399101782</v>
      </c>
    </row>
    <row r="857" spans="1:8" x14ac:dyDescent="0.25">
      <c r="A857" s="1">
        <v>41423</v>
      </c>
      <c r="B857">
        <v>432.534494</v>
      </c>
      <c r="C857" s="6">
        <v>1.4706068156986513E-2</v>
      </c>
      <c r="D857" s="6">
        <f t="shared" ca="1" si="67"/>
        <v>8.5053569365542425E-3</v>
      </c>
      <c r="E857" s="6">
        <f t="shared" ca="1" si="68"/>
        <v>-6.2007112204322708E-3</v>
      </c>
      <c r="F857">
        <f t="shared" ca="1" si="66"/>
        <v>8.8572653671386663E-3</v>
      </c>
      <c r="G857">
        <f t="shared" ca="1" si="65"/>
        <v>0.41459704196609759</v>
      </c>
      <c r="H857">
        <f t="shared" ca="1" si="69"/>
        <v>2.7871335082976647</v>
      </c>
    </row>
    <row r="858" spans="1:8" x14ac:dyDescent="0.25">
      <c r="A858" s="5">
        <v>41424</v>
      </c>
      <c r="B858">
        <v>433.75492459999998</v>
      </c>
      <c r="C858" s="6">
        <v>-2.8215798206373478E-3</v>
      </c>
      <c r="D858" s="6">
        <f t="shared" ca="1" si="67"/>
        <v>-8.7862559554470199E-3</v>
      </c>
      <c r="E858" s="6">
        <f t="shared" ca="1" si="68"/>
        <v>-5.9646761348096725E-3</v>
      </c>
      <c r="F858">
        <f t="shared" ca="1" si="66"/>
        <v>9.6464037488828321E-3</v>
      </c>
      <c r="G858">
        <f t="shared" ca="1" si="65"/>
        <v>-0.48567053002094906</v>
      </c>
      <c r="H858">
        <f t="shared" ca="1" si="69"/>
        <v>2.7895879331555582</v>
      </c>
    </row>
    <row r="859" spans="1:8" x14ac:dyDescent="0.25">
      <c r="A859" s="1">
        <v>41425</v>
      </c>
      <c r="B859">
        <v>433.98408160000002</v>
      </c>
      <c r="C859" s="6">
        <v>-5.2830985195468922E-4</v>
      </c>
      <c r="D859" s="6">
        <f t="shared" ca="1" si="67"/>
        <v>-5.5604973673534803E-3</v>
      </c>
      <c r="E859" s="6">
        <f t="shared" ca="1" si="68"/>
        <v>-5.032187515398791E-3</v>
      </c>
      <c r="F859">
        <f t="shared" ca="1" si="66"/>
        <v>1.0488020464014388E-2</v>
      </c>
      <c r="G859">
        <f t="shared" ca="1" si="65"/>
        <v>-1.1619324682194703</v>
      </c>
      <c r="H859">
        <f t="shared" ca="1" si="69"/>
        <v>2.7983228860945877</v>
      </c>
    </row>
    <row r="860" spans="1:8" x14ac:dyDescent="0.25">
      <c r="A860" s="5">
        <v>41428</v>
      </c>
      <c r="B860">
        <v>432.19577909999998</v>
      </c>
      <c r="C860" s="6">
        <v>4.120663811923656E-3</v>
      </c>
      <c r="D860" s="6">
        <f t="shared" ca="1" si="67"/>
        <v>3.3700439551066226E-2</v>
      </c>
      <c r="E860" s="6">
        <f t="shared" ca="1" si="68"/>
        <v>2.9579775739142569E-2</v>
      </c>
      <c r="F860">
        <f t="shared" ca="1" si="66"/>
        <v>1.9749046092369098E-2</v>
      </c>
      <c r="G860">
        <f t="shared" ca="1" si="65"/>
        <v>1.7708060655975268</v>
      </c>
      <c r="H860">
        <f t="shared" ca="1" si="69"/>
        <v>2.0368579897788961</v>
      </c>
    </row>
    <row r="861" spans="1:8" x14ac:dyDescent="0.25">
      <c r="A861" s="1">
        <v>41429</v>
      </c>
      <c r="B861">
        <v>427.94668730000001</v>
      </c>
      <c r="C861" s="6">
        <v>9.8314051304439817E-3</v>
      </c>
      <c r="D861" s="6">
        <f t="shared" ca="1" si="67"/>
        <v>-1.650381147757329E-2</v>
      </c>
      <c r="E861" s="6">
        <f t="shared" ca="1" si="68"/>
        <v>-2.633521660801727E-2</v>
      </c>
      <c r="F861">
        <f t="shared" ca="1" si="66"/>
        <v>2.923771649653318E-2</v>
      </c>
      <c r="G861">
        <f t="shared" ca="1" si="65"/>
        <v>-0.55633092888203639</v>
      </c>
      <c r="H861">
        <f t="shared" ca="1" si="69"/>
        <v>2.2158122321508502</v>
      </c>
    </row>
    <row r="862" spans="1:8" x14ac:dyDescent="0.25">
      <c r="A862" s="5">
        <v>41430</v>
      </c>
      <c r="B862">
        <v>428.2455769</v>
      </c>
      <c r="C862" s="6">
        <v>-6.9842718467047569E-4</v>
      </c>
      <c r="D862" s="6">
        <f t="shared" ca="1" si="67"/>
        <v>-7.1521224564573532E-3</v>
      </c>
      <c r="E862" s="6">
        <f t="shared" ca="1" si="68"/>
        <v>-6.4536952717868775E-3</v>
      </c>
      <c r="F862">
        <f t="shared" ca="1" si="66"/>
        <v>1.3295007134476773E-2</v>
      </c>
      <c r="G862">
        <f t="shared" ca="1" si="65"/>
        <v>-0.67761367803850248</v>
      </c>
      <c r="H862">
        <f t="shared" ca="1" si="69"/>
        <v>2.7843936629663006</v>
      </c>
    </row>
    <row r="863" spans="1:8" x14ac:dyDescent="0.25">
      <c r="A863" s="1">
        <v>41431</v>
      </c>
      <c r="B863">
        <v>430.7063354</v>
      </c>
      <c r="C863" s="6">
        <v>-5.7461387407968748E-3</v>
      </c>
      <c r="D863" s="6">
        <f t="shared" ca="1" si="67"/>
        <v>-3.4605821377368022E-3</v>
      </c>
      <c r="E863" s="6">
        <f t="shared" ca="1" si="68"/>
        <v>2.2855566030600726E-3</v>
      </c>
      <c r="F863">
        <f t="shared" ca="1" si="66"/>
        <v>1.3084701833593474E-2</v>
      </c>
      <c r="G863">
        <f t="shared" ca="1" si="65"/>
        <v>-0.60300787313283721</v>
      </c>
      <c r="H863">
        <f t="shared" ca="1" si="69"/>
        <v>2.8135925211973358</v>
      </c>
    </row>
    <row r="864" spans="1:8" x14ac:dyDescent="0.25">
      <c r="A864" s="5">
        <v>41432</v>
      </c>
      <c r="B864">
        <v>438.22319390000001</v>
      </c>
      <c r="C864" s="6">
        <v>-1.7452398263468897E-2</v>
      </c>
      <c r="D864" s="6">
        <f t="shared" ca="1" si="67"/>
        <v>-1.3786569448378238E-2</v>
      </c>
      <c r="E864" s="6">
        <f t="shared" ca="1" si="68"/>
        <v>3.6658288150906593E-3</v>
      </c>
      <c r="F864">
        <f t="shared" ca="1" si="66"/>
        <v>1.212179318380013E-2</v>
      </c>
      <c r="G864">
        <f t="shared" ca="1" si="65"/>
        <v>-1.1113696623796037</v>
      </c>
      <c r="H864">
        <f t="shared" ca="1" si="69"/>
        <v>2.8058779033458539</v>
      </c>
    </row>
    <row r="865" spans="1:8" x14ac:dyDescent="0.25">
      <c r="A865" s="1">
        <v>41435</v>
      </c>
      <c r="B865">
        <v>443.4486058</v>
      </c>
      <c r="C865" s="6">
        <v>-1.1924087936779522E-2</v>
      </c>
      <c r="D865" s="6">
        <f t="shared" ca="1" si="67"/>
        <v>2.2062218688122612E-3</v>
      </c>
      <c r="E865" s="6">
        <f t="shared" ca="1" si="68"/>
        <v>1.4130309805591783E-2</v>
      </c>
      <c r="F865">
        <f t="shared" ca="1" si="66"/>
        <v>1.9068058987476832E-2</v>
      </c>
      <c r="G865">
        <f t="shared" ca="1" si="65"/>
        <v>0.25149246393580077</v>
      </c>
      <c r="H865">
        <f t="shared" ca="1" si="69"/>
        <v>2.6380066584841728</v>
      </c>
    </row>
    <row r="866" spans="1:8" x14ac:dyDescent="0.25">
      <c r="A866" s="5">
        <v>41436</v>
      </c>
      <c r="B866">
        <v>438.26305000000002</v>
      </c>
      <c r="C866" s="6">
        <v>1.1693701890538168E-2</v>
      </c>
      <c r="D866" s="6">
        <f t="shared" ca="1" si="67"/>
        <v>-1.2818546253152017E-2</v>
      </c>
      <c r="E866" s="6">
        <f t="shared" ca="1" si="68"/>
        <v>-2.4512248143690185E-2</v>
      </c>
      <c r="F866">
        <f t="shared" ca="1" si="66"/>
        <v>9.161982080613763E-3</v>
      </c>
      <c r="G866">
        <f t="shared" ca="1" si="65"/>
        <v>-0.54082731468995882</v>
      </c>
      <c r="H866">
        <f t="shared" ca="1" si="69"/>
        <v>2.2969978932345039</v>
      </c>
    </row>
    <row r="867" spans="1:8" x14ac:dyDescent="0.25">
      <c r="A867" s="1">
        <v>41437</v>
      </c>
      <c r="B867">
        <v>434.36265259999999</v>
      </c>
      <c r="C867" s="6">
        <v>8.8996720120485418E-3</v>
      </c>
      <c r="D867" s="6">
        <f t="shared" ca="1" si="67"/>
        <v>-5.5102853590591628E-4</v>
      </c>
      <c r="E867" s="6">
        <f t="shared" ca="1" si="68"/>
        <v>-9.450700547954459E-3</v>
      </c>
      <c r="F867">
        <f t="shared" ca="1" si="66"/>
        <v>1.1117347786903703E-2</v>
      </c>
      <c r="G867">
        <f t="shared" ca="1" si="65"/>
        <v>0.43366983680633858</v>
      </c>
      <c r="H867">
        <f t="shared" ca="1" si="69"/>
        <v>2.7433401630769789</v>
      </c>
    </row>
    <row r="868" spans="1:8" x14ac:dyDescent="0.25">
      <c r="A868" s="5">
        <v>41438</v>
      </c>
      <c r="B868">
        <v>436.8632672</v>
      </c>
      <c r="C868" s="6">
        <v>-5.7569742357725115E-3</v>
      </c>
      <c r="D868" s="6">
        <f t="shared" ca="1" si="67"/>
        <v>3.0949017278638826E-3</v>
      </c>
      <c r="E868" s="6">
        <f t="shared" ca="1" si="68"/>
        <v>8.851875963636395E-3</v>
      </c>
      <c r="F868">
        <f t="shared" ca="1" si="66"/>
        <v>9.9983691205434901E-3</v>
      </c>
      <c r="G868">
        <f t="shared" ca="1" si="65"/>
        <v>-0.21742784161179662</v>
      </c>
      <c r="H868">
        <f t="shared" ca="1" si="69"/>
        <v>2.7468406106080345</v>
      </c>
    </row>
    <row r="869" spans="1:8" x14ac:dyDescent="0.25">
      <c r="A869" s="1">
        <v>41439</v>
      </c>
      <c r="B869">
        <v>435.88694720000001</v>
      </c>
      <c r="C869" s="6">
        <v>2.2348411352081446E-3</v>
      </c>
      <c r="D869" s="6">
        <f t="shared" ca="1" si="67"/>
        <v>3.0114963690002052E-3</v>
      </c>
      <c r="E869" s="6">
        <f t="shared" ca="1" si="68"/>
        <v>7.7665523379206059E-4</v>
      </c>
      <c r="F869">
        <f t="shared" ca="1" si="66"/>
        <v>7.9510684053601677E-3</v>
      </c>
      <c r="G869">
        <f t="shared" ca="1" si="65"/>
        <v>-0.12554504444042131</v>
      </c>
      <c r="H869">
        <f t="shared" ca="1" si="69"/>
        <v>2.8181789041934038</v>
      </c>
    </row>
    <row r="870" spans="1:8" x14ac:dyDescent="0.25">
      <c r="A870" s="5">
        <v>41442</v>
      </c>
      <c r="B870">
        <v>441.47103270000002</v>
      </c>
      <c r="C870" s="6">
        <v>-1.2810857347003426E-2</v>
      </c>
      <c r="D870" s="6">
        <f t="shared" ca="1" si="67"/>
        <v>5.7227991303773129E-3</v>
      </c>
      <c r="E870" s="6">
        <f t="shared" ca="1" si="68"/>
        <v>1.8533656477380738E-2</v>
      </c>
      <c r="F870">
        <f t="shared" ca="1" si="66"/>
        <v>7.2800232338106558E-3</v>
      </c>
      <c r="G870">
        <f t="shared" ca="1" si="65"/>
        <v>1.1423873922456356</v>
      </c>
      <c r="H870">
        <f t="shared" ca="1" si="69"/>
        <v>2.5095935241964611</v>
      </c>
    </row>
    <row r="871" spans="1:8" x14ac:dyDescent="0.25">
      <c r="A871" s="1">
        <v>41443</v>
      </c>
      <c r="B871">
        <v>448.62918719999999</v>
      </c>
      <c r="C871" s="6">
        <v>-1.6214324315281324E-2</v>
      </c>
      <c r="D871" s="6">
        <f t="shared" ca="1" si="67"/>
        <v>-1.2728572320199319E-2</v>
      </c>
      <c r="E871" s="6">
        <f t="shared" ca="1" si="68"/>
        <v>3.4857519950820051E-3</v>
      </c>
      <c r="F871">
        <f t="shared" ca="1" si="66"/>
        <v>1.9368358861361963E-2</v>
      </c>
      <c r="G871">
        <f t="shared" ca="1" si="65"/>
        <v>-0.70916093907563515</v>
      </c>
      <c r="H871">
        <f t="shared" ca="1" si="69"/>
        <v>2.8070751176777842</v>
      </c>
    </row>
    <row r="872" spans="1:8" x14ac:dyDescent="0.25">
      <c r="A872" s="5">
        <v>41444</v>
      </c>
      <c r="B872">
        <v>448.6590946</v>
      </c>
      <c r="C872" s="6">
        <v>-6.6663964033798911E-5</v>
      </c>
      <c r="D872" s="6">
        <f t="shared" ca="1" si="67"/>
        <v>-2.587900766906337E-2</v>
      </c>
      <c r="E872" s="6">
        <f t="shared" ca="1" si="68"/>
        <v>-2.5812343705029571E-2</v>
      </c>
      <c r="F872">
        <f t="shared" ca="1" si="66"/>
        <v>1.395516259530274E-2</v>
      </c>
      <c r="G872">
        <f t="shared" ca="1" si="65"/>
        <v>-1.4408086519751253</v>
      </c>
      <c r="H872">
        <f t="shared" ca="1" si="69"/>
        <v>2.2396982072641727</v>
      </c>
    </row>
    <row r="873" spans="1:8" x14ac:dyDescent="0.25">
      <c r="A873" s="1">
        <v>41445</v>
      </c>
      <c r="B873">
        <v>440.71883409999998</v>
      </c>
      <c r="C873" s="6">
        <v>1.7697758934495968E-2</v>
      </c>
      <c r="D873" s="6">
        <f t="shared" ca="1" si="67"/>
        <v>-1.9016314968479976E-2</v>
      </c>
      <c r="E873" s="6">
        <f t="shared" ca="1" si="68"/>
        <v>-3.6714073902975944E-2</v>
      </c>
      <c r="F873">
        <f t="shared" ca="1" si="66"/>
        <v>2.4023345861505712E-2</v>
      </c>
      <c r="G873">
        <f t="shared" ca="1" si="65"/>
        <v>-0.48747738434504556</v>
      </c>
      <c r="H873">
        <f t="shared" ca="1" si="69"/>
        <v>1.6418325392503041</v>
      </c>
    </row>
    <row r="874" spans="1:8" x14ac:dyDescent="0.25">
      <c r="A874" s="5">
        <v>41446</v>
      </c>
      <c r="B874">
        <v>438.82094289999998</v>
      </c>
      <c r="C874" s="6">
        <v>4.3063537411005409E-3</v>
      </c>
      <c r="D874" s="6">
        <f t="shared" ca="1" si="67"/>
        <v>-2.7053000433237655E-3</v>
      </c>
      <c r="E874" s="6">
        <f t="shared" ca="1" si="68"/>
        <v>-7.0116537844243064E-3</v>
      </c>
      <c r="F874">
        <f t="shared" ca="1" si="66"/>
        <v>1.1880500956924528E-2</v>
      </c>
      <c r="G874">
        <f t="shared" ca="1" si="65"/>
        <v>-0.22520572851905005</v>
      </c>
      <c r="H874">
        <f t="shared" ca="1" si="69"/>
        <v>2.7779516108875102</v>
      </c>
    </row>
    <row r="875" spans="1:8" x14ac:dyDescent="0.25">
      <c r="A875" s="1">
        <v>41449</v>
      </c>
      <c r="B875">
        <v>433.27173920000001</v>
      </c>
      <c r="C875" s="6">
        <v>1.2645712994752249E-2</v>
      </c>
      <c r="D875" s="6">
        <f t="shared" ca="1" si="67"/>
        <v>-7.8969904083725107E-3</v>
      </c>
      <c r="E875" s="6">
        <f t="shared" ca="1" si="68"/>
        <v>-2.0542703403124758E-2</v>
      </c>
      <c r="F875">
        <f t="shared" ca="1" si="66"/>
        <v>8.16661798898171E-3</v>
      </c>
      <c r="G875">
        <f t="shared" ca="1" si="65"/>
        <v>-1.943388249601526</v>
      </c>
      <c r="H875">
        <f t="shared" ca="1" si="69"/>
        <v>2.4534895301668769</v>
      </c>
    </row>
    <row r="876" spans="1:8" x14ac:dyDescent="0.25">
      <c r="A876" s="5">
        <v>41450</v>
      </c>
      <c r="B876">
        <v>431.48343620000003</v>
      </c>
      <c r="C876" s="6">
        <v>4.1274397524794408E-3</v>
      </c>
      <c r="D876" s="6">
        <f t="shared" ca="1" si="67"/>
        <v>1.2255041170437797E-6</v>
      </c>
      <c r="E876" s="6">
        <f t="shared" ca="1" si="68"/>
        <v>-4.1262142483623971E-3</v>
      </c>
      <c r="F876">
        <f t="shared" ca="1" si="66"/>
        <v>3.1540661124905431E-2</v>
      </c>
      <c r="G876">
        <f t="shared" ca="1" si="65"/>
        <v>-6.1483846214552468E-2</v>
      </c>
      <c r="H876">
        <f t="shared" ca="1" si="69"/>
        <v>2.8053395975214546</v>
      </c>
    </row>
    <row r="877" spans="1:8" x14ac:dyDescent="0.25">
      <c r="A877" s="1">
        <v>41451</v>
      </c>
      <c r="B877">
        <v>435.19453299999998</v>
      </c>
      <c r="C877" s="6">
        <v>-8.6007862380139966E-3</v>
      </c>
      <c r="D877" s="6">
        <f t="shared" ca="1" si="67"/>
        <v>-6.6406288581396435E-3</v>
      </c>
      <c r="E877" s="6">
        <f t="shared" ca="1" si="68"/>
        <v>1.960157379874353E-3</v>
      </c>
      <c r="F877">
        <f t="shared" ca="1" si="66"/>
        <v>1.0444905671242182E-2</v>
      </c>
      <c r="G877">
        <f t="shared" ca="1" si="65"/>
        <v>-1.181275451125537</v>
      </c>
      <c r="H877">
        <f t="shared" ca="1" si="69"/>
        <v>2.8149214427639029</v>
      </c>
    </row>
    <row r="878" spans="1:8" x14ac:dyDescent="0.25">
      <c r="A878" s="5">
        <v>41452</v>
      </c>
      <c r="B878">
        <v>436.89814899999999</v>
      </c>
      <c r="C878" s="6">
        <v>-3.9146079989934319E-3</v>
      </c>
      <c r="D878" s="6">
        <f t="shared" ca="1" si="67"/>
        <v>-8.7656671143944084E-3</v>
      </c>
      <c r="E878" s="6">
        <f t="shared" ca="1" si="68"/>
        <v>-4.8510591154009765E-3</v>
      </c>
      <c r="F878">
        <f t="shared" ca="1" si="66"/>
        <v>2.00328464473166E-2</v>
      </c>
      <c r="G878">
        <f t="shared" ca="1" si="65"/>
        <v>-0.53038750274985025</v>
      </c>
      <c r="H878">
        <f t="shared" ca="1" si="69"/>
        <v>2.7998415765500133</v>
      </c>
    </row>
    <row r="879" spans="1:8" x14ac:dyDescent="0.25">
      <c r="A879" s="1">
        <v>41453</v>
      </c>
      <c r="B879">
        <v>438.54198100000002</v>
      </c>
      <c r="C879" s="6">
        <v>-3.7625062128611394E-3</v>
      </c>
      <c r="D879" s="6">
        <f t="shared" ca="1" si="67"/>
        <v>-4.9889820752400706E-3</v>
      </c>
      <c r="E879" s="6">
        <f t="shared" ca="1" si="68"/>
        <v>-1.2264758623789312E-3</v>
      </c>
      <c r="F879">
        <f t="shared" ca="1" si="66"/>
        <v>1.1871334910729815E-2</v>
      </c>
      <c r="G879">
        <f t="shared" ca="1" si="65"/>
        <v>-9.3820413141655373E-2</v>
      </c>
      <c r="H879">
        <f t="shared" ca="1" si="69"/>
        <v>2.8180591955335652</v>
      </c>
    </row>
    <row r="880" spans="1:8" x14ac:dyDescent="0.25">
      <c r="A880" s="5">
        <v>41456</v>
      </c>
      <c r="B880">
        <v>442.28298480000001</v>
      </c>
      <c r="C880" s="6">
        <v>-8.530548868934824E-3</v>
      </c>
      <c r="D880" s="6">
        <f t="shared" ca="1" si="67"/>
        <v>4.8587571543440636E-3</v>
      </c>
      <c r="E880" s="6">
        <f t="shared" ca="1" si="68"/>
        <v>1.3389306023278888E-2</v>
      </c>
      <c r="F880">
        <f t="shared" ca="1" si="66"/>
        <v>7.4957328071812946E-3</v>
      </c>
      <c r="G880">
        <f t="shared" ca="1" si="65"/>
        <v>0.88351243207782393</v>
      </c>
      <c r="H880">
        <f t="shared" ca="1" si="69"/>
        <v>2.6562522580234247</v>
      </c>
    </row>
    <row r="881" spans="1:8" x14ac:dyDescent="0.25">
      <c r="A881" s="1">
        <v>41457</v>
      </c>
      <c r="B881">
        <v>439.50838320000003</v>
      </c>
      <c r="C881" s="6">
        <v>6.273362745923077E-3</v>
      </c>
      <c r="D881" s="6">
        <f t="shared" ca="1" si="67"/>
        <v>1.7558898099129635E-2</v>
      </c>
      <c r="E881" s="6">
        <f t="shared" ca="1" si="68"/>
        <v>1.1285535353206557E-2</v>
      </c>
      <c r="F881">
        <f t="shared" ca="1" si="66"/>
        <v>1.5621596017221392E-2</v>
      </c>
      <c r="G881">
        <f t="shared" ca="1" si="65"/>
        <v>1.2325413102629237</v>
      </c>
      <c r="H881">
        <f t="shared" ca="1" si="69"/>
        <v>2.7027715674163209</v>
      </c>
    </row>
    <row r="882" spans="1:8" x14ac:dyDescent="0.25">
      <c r="A882" s="5">
        <v>41458</v>
      </c>
      <c r="B882">
        <v>441.56069359999998</v>
      </c>
      <c r="C882" s="6">
        <v>-4.6695591675802953E-3</v>
      </c>
      <c r="D882" s="6">
        <f t="shared" ca="1" si="67"/>
        <v>-2.2543386304563373E-2</v>
      </c>
      <c r="E882" s="6">
        <f t="shared" ca="1" si="68"/>
        <v>-1.787382713698308E-2</v>
      </c>
      <c r="F882">
        <f t="shared" ca="1" si="66"/>
        <v>2.0996565926530045E-2</v>
      </c>
      <c r="G882">
        <f t="shared" ca="1" si="65"/>
        <v>-0.89062146132231224</v>
      </c>
      <c r="H882">
        <f t="shared" ca="1" si="69"/>
        <v>2.5430697475141453</v>
      </c>
    </row>
    <row r="883" spans="1:8" x14ac:dyDescent="0.25">
      <c r="A883" s="1">
        <v>41460</v>
      </c>
      <c r="B883">
        <v>445.07751469999999</v>
      </c>
      <c r="C883" s="6">
        <v>-7.9645248115898324E-3</v>
      </c>
      <c r="D883" s="6">
        <f t="shared" ca="1" si="67"/>
        <v>-6.057396433280935E-3</v>
      </c>
      <c r="E883" s="6">
        <f t="shared" ca="1" si="68"/>
        <v>1.9071283783088974E-3</v>
      </c>
      <c r="F883">
        <f t="shared" ca="1" si="66"/>
        <v>1.6480106707601024E-2</v>
      </c>
      <c r="G883">
        <f t="shared" ca="1" si="65"/>
        <v>-0.53906363369299848</v>
      </c>
      <c r="H883">
        <f t="shared" ca="1" si="69"/>
        <v>2.815120302366434</v>
      </c>
    </row>
    <row r="884" spans="1:8" x14ac:dyDescent="0.25">
      <c r="A884" s="5">
        <v>41463</v>
      </c>
      <c r="B884">
        <v>450.85584510000001</v>
      </c>
      <c r="C884" s="6">
        <v>-1.2982750665116932E-2</v>
      </c>
      <c r="D884" s="6">
        <f t="shared" ca="1" si="67"/>
        <v>1.7485095346895616E-2</v>
      </c>
      <c r="E884" s="6">
        <f t="shared" ca="1" si="68"/>
        <v>3.0467846012012547E-2</v>
      </c>
      <c r="F884">
        <f t="shared" ca="1" si="66"/>
        <v>1.1619920638701672E-2</v>
      </c>
      <c r="G884">
        <f t="shared" ca="1" si="65"/>
        <v>1.6858229849732365</v>
      </c>
      <c r="H884">
        <f t="shared" ca="1" si="69"/>
        <v>1.9894987508229804</v>
      </c>
    </row>
    <row r="885" spans="1:8" x14ac:dyDescent="0.25">
      <c r="A885" s="1">
        <v>41464</v>
      </c>
      <c r="B885">
        <v>450.93058300000001</v>
      </c>
      <c r="C885" s="6">
        <v>-1.6576894990332321E-4</v>
      </c>
      <c r="D885" s="6">
        <f t="shared" ca="1" si="67"/>
        <v>-1.1646873631930767E-2</v>
      </c>
      <c r="E885" s="6">
        <f t="shared" ca="1" si="68"/>
        <v>-1.1481104682027444E-2</v>
      </c>
      <c r="F885">
        <f t="shared" ca="1" si="66"/>
        <v>2.766087206487234E-2</v>
      </c>
      <c r="G885">
        <f t="shared" ca="1" si="65"/>
        <v>-0.2913207897699725</v>
      </c>
      <c r="H885">
        <f t="shared" ca="1" si="69"/>
        <v>2.7065192272571887</v>
      </c>
    </row>
    <row r="886" spans="1:8" x14ac:dyDescent="0.25">
      <c r="A886" s="5">
        <v>41465</v>
      </c>
      <c r="B886">
        <v>451.3041796</v>
      </c>
      <c r="C886" s="6">
        <v>-8.2850135715896835E-4</v>
      </c>
      <c r="D886" s="6">
        <f t="shared" ca="1" si="67"/>
        <v>-6.6829102286446139E-3</v>
      </c>
      <c r="E886" s="6">
        <f t="shared" ca="1" si="68"/>
        <v>-5.854408871485646E-3</v>
      </c>
      <c r="F886">
        <f t="shared" ca="1" si="66"/>
        <v>1.0715702278314247E-2</v>
      </c>
      <c r="G886">
        <f t="shared" ca="1" si="65"/>
        <v>-7.7777385118218148E-2</v>
      </c>
      <c r="H886">
        <f t="shared" ca="1" si="69"/>
        <v>2.7907008554796082</v>
      </c>
    </row>
    <row r="887" spans="1:8" x14ac:dyDescent="0.25">
      <c r="A887" s="1">
        <v>41466</v>
      </c>
      <c r="B887">
        <v>458.40258060000002</v>
      </c>
      <c r="C887" s="6">
        <v>-1.5728640063319334E-2</v>
      </c>
      <c r="D887" s="6">
        <f t="shared" ca="1" si="67"/>
        <v>-3.3514136983264966E-3</v>
      </c>
      <c r="E887" s="6">
        <f t="shared" ca="1" si="68"/>
        <v>1.2377226364992838E-2</v>
      </c>
      <c r="F887">
        <f t="shared" ca="1" si="66"/>
        <v>7.3376394404346549E-3</v>
      </c>
      <c r="G887">
        <f t="shared" ca="1" si="65"/>
        <v>-0.44656209571362393</v>
      </c>
      <c r="H887">
        <f t="shared" ca="1" si="69"/>
        <v>2.6796067529836161</v>
      </c>
    </row>
    <row r="888" spans="1:8" x14ac:dyDescent="0.25">
      <c r="A888" s="5">
        <v>41467</v>
      </c>
      <c r="B888">
        <v>459.77743029999999</v>
      </c>
      <c r="C888" s="6">
        <v>-2.999218935897871E-3</v>
      </c>
      <c r="D888" s="6">
        <f t="shared" ca="1" si="67"/>
        <v>9.7522128656320275E-3</v>
      </c>
      <c r="E888" s="6">
        <f t="shared" ca="1" si="68"/>
        <v>1.2751431801529899E-2</v>
      </c>
      <c r="F888">
        <f t="shared" ca="1" si="66"/>
        <v>9.9188466173852127E-3</v>
      </c>
      <c r="G888">
        <f t="shared" ca="1" si="65"/>
        <v>1.0208606349948532</v>
      </c>
      <c r="H888">
        <f t="shared" ca="1" si="69"/>
        <v>2.6711823280707185</v>
      </c>
    </row>
    <row r="889" spans="1:8" x14ac:dyDescent="0.25">
      <c r="A889" s="1">
        <v>41470</v>
      </c>
      <c r="B889">
        <v>460.61928979999999</v>
      </c>
      <c r="C889" s="6">
        <v>-1.8310152793944096E-3</v>
      </c>
      <c r="D889" s="6">
        <f t="shared" ca="1" si="67"/>
        <v>1.7641194118805072E-2</v>
      </c>
      <c r="E889" s="6">
        <f t="shared" ca="1" si="68"/>
        <v>1.9472209398199481E-2</v>
      </c>
      <c r="F889">
        <f t="shared" ca="1" si="66"/>
        <v>1.7669046924220479E-2</v>
      </c>
      <c r="G889">
        <f t="shared" ca="1" si="65"/>
        <v>1.399503408158564</v>
      </c>
      <c r="H889">
        <f t="shared" ca="1" si="69"/>
        <v>2.477798390128231</v>
      </c>
    </row>
    <row r="890" spans="1:8" x14ac:dyDescent="0.25">
      <c r="A890" s="5">
        <v>41471</v>
      </c>
      <c r="B890">
        <v>458.08876780000003</v>
      </c>
      <c r="C890" s="6">
        <v>5.4937386601822732E-3</v>
      </c>
      <c r="D890" s="6">
        <f t="shared" ca="1" si="67"/>
        <v>2.3260041309655591E-3</v>
      </c>
      <c r="E890" s="6">
        <f t="shared" ca="1" si="68"/>
        <v>-3.167734529216714E-3</v>
      </c>
      <c r="F890">
        <f t="shared" ca="1" si="66"/>
        <v>2.3562677224382083E-2</v>
      </c>
      <c r="G890">
        <f t="shared" ca="1" si="65"/>
        <v>0.15606686949256351</v>
      </c>
      <c r="H890">
        <f t="shared" ca="1" si="69"/>
        <v>2.811185934133805</v>
      </c>
    </row>
    <row r="891" spans="1:8" x14ac:dyDescent="0.25">
      <c r="A891" s="1">
        <v>41472</v>
      </c>
      <c r="B891">
        <v>457.56075149999998</v>
      </c>
      <c r="C891" s="6">
        <v>1.152650615154522E-3</v>
      </c>
      <c r="D891" s="6">
        <f t="shared" ca="1" si="67"/>
        <v>-1.2287094180227416E-2</v>
      </c>
      <c r="E891" s="6">
        <f t="shared" ca="1" si="68"/>
        <v>-1.3439744795381939E-2</v>
      </c>
      <c r="F891">
        <f t="shared" ca="1" si="66"/>
        <v>9.2930123999708982E-3</v>
      </c>
      <c r="G891">
        <f t="shared" ca="1" si="65"/>
        <v>-1.2334222693601677</v>
      </c>
      <c r="H891">
        <f t="shared" ca="1" si="69"/>
        <v>2.664104779757559</v>
      </c>
    </row>
    <row r="892" spans="1:8" x14ac:dyDescent="0.25">
      <c r="A892" s="5">
        <v>41473</v>
      </c>
      <c r="B892">
        <v>453.6404263</v>
      </c>
      <c r="C892" s="6">
        <v>8.5678791005307179E-3</v>
      </c>
      <c r="D892" s="6">
        <f t="shared" ca="1" si="67"/>
        <v>9.5085802947039513E-3</v>
      </c>
      <c r="E892" s="6">
        <f t="shared" ca="1" si="68"/>
        <v>9.4070119417323343E-4</v>
      </c>
      <c r="F892">
        <f t="shared" ca="1" si="66"/>
        <v>2.0770107943358516E-2</v>
      </c>
      <c r="G892">
        <f t="shared" ca="1" si="65"/>
        <v>0.33862699532789875</v>
      </c>
      <c r="H892">
        <f t="shared" ca="1" si="69"/>
        <v>2.8178749700060157</v>
      </c>
    </row>
    <row r="893" spans="1:8" x14ac:dyDescent="0.25">
      <c r="A893" s="1">
        <v>41474</v>
      </c>
      <c r="B893">
        <v>446.62671189999998</v>
      </c>
      <c r="C893" s="6">
        <v>1.5460955402951101E-2</v>
      </c>
      <c r="D893" s="6">
        <f t="shared" ca="1" si="67"/>
        <v>-7.2738854396369249E-3</v>
      </c>
      <c r="E893" s="6">
        <f t="shared" ca="1" si="68"/>
        <v>-2.2734840842588026E-2</v>
      </c>
      <c r="F893">
        <f t="shared" ca="1" si="66"/>
        <v>1.0055677487949458E-2</v>
      </c>
      <c r="G893">
        <f t="shared" ca="1" si="65"/>
        <v>-0.77502106494851597</v>
      </c>
      <c r="H893">
        <f t="shared" ca="1" si="69"/>
        <v>2.3705071847339401</v>
      </c>
    </row>
    <row r="894" spans="1:8" x14ac:dyDescent="0.25">
      <c r="A894" s="5">
        <v>41477</v>
      </c>
      <c r="B894">
        <v>453.650375</v>
      </c>
      <c r="C894" s="6">
        <v>-1.5726025588842577E-2</v>
      </c>
      <c r="D894" s="6">
        <f t="shared" ca="1" si="67"/>
        <v>1.7610525920678646E-2</v>
      </c>
      <c r="E894" s="6">
        <f t="shared" ca="1" si="68"/>
        <v>3.3336551509521223E-2</v>
      </c>
      <c r="F894">
        <f t="shared" ca="1" si="66"/>
        <v>1.4206899866274205E-2</v>
      </c>
      <c r="G894">
        <f t="shared" ca="1" si="65"/>
        <v>0.96783626759424912</v>
      </c>
      <c r="H894">
        <f t="shared" ca="1" si="69"/>
        <v>1.8270050871975676</v>
      </c>
    </row>
    <row r="895" spans="1:8" x14ac:dyDescent="0.25">
      <c r="A895" s="1">
        <v>41478</v>
      </c>
      <c r="B895">
        <v>450.21326570000002</v>
      </c>
      <c r="C895" s="6">
        <v>7.5765600326021436E-3</v>
      </c>
      <c r="D895" s="6">
        <f t="shared" ca="1" si="67"/>
        <v>1.7689557558627871E-2</v>
      </c>
      <c r="E895" s="6">
        <f t="shared" ca="1" si="68"/>
        <v>1.0112997526025728E-2</v>
      </c>
      <c r="F895">
        <f t="shared" ca="1" si="66"/>
        <v>1.7098473812946026E-2</v>
      </c>
      <c r="G895">
        <f t="shared" ca="1" si="65"/>
        <v>0.62717744976488099</v>
      </c>
      <c r="H895">
        <f t="shared" ca="1" si="69"/>
        <v>2.7253089858381783</v>
      </c>
    </row>
    <row r="896" spans="1:8" x14ac:dyDescent="0.25">
      <c r="A896" s="5">
        <v>41479</v>
      </c>
      <c r="B896">
        <v>449.76493110000001</v>
      </c>
      <c r="C896" s="6">
        <v>9.9582716493911089E-4</v>
      </c>
      <c r="D896" s="6">
        <f t="shared" ca="1" si="67"/>
        <v>-6.2440398056611774E-3</v>
      </c>
      <c r="E896" s="6">
        <f t="shared" ca="1" si="68"/>
        <v>-7.2398669706002887E-3</v>
      </c>
      <c r="F896">
        <f t="shared" ca="1" si="66"/>
        <v>1.2730553072380699E-2</v>
      </c>
      <c r="G896">
        <f t="shared" ca="1" si="65"/>
        <v>6.6085468209185774E-2</v>
      </c>
      <c r="H896">
        <f t="shared" ca="1" si="69"/>
        <v>2.7751583868165342</v>
      </c>
    </row>
    <row r="897" spans="1:8" x14ac:dyDescent="0.25">
      <c r="A897" s="1">
        <v>41480</v>
      </c>
      <c r="B897">
        <v>442.19332439999999</v>
      </c>
      <c r="C897" s="6">
        <v>1.6834586639474031E-2</v>
      </c>
      <c r="D897" s="6">
        <f t="shared" ca="1" si="67"/>
        <v>-3.7348030570827657E-3</v>
      </c>
      <c r="E897" s="6">
        <f t="shared" ca="1" si="68"/>
        <v>-2.0569389696556799E-2</v>
      </c>
      <c r="F897">
        <f t="shared" ca="1" si="66"/>
        <v>7.5110998876059048E-3</v>
      </c>
      <c r="G897">
        <f t="shared" ca="1" si="65"/>
        <v>-0.95172360994490079</v>
      </c>
      <c r="H897">
        <f t="shared" ca="1" si="69"/>
        <v>2.4525303297720038</v>
      </c>
    </row>
    <row r="898" spans="1:8" x14ac:dyDescent="0.25">
      <c r="A898" s="5">
        <v>41481</v>
      </c>
      <c r="B898">
        <v>441.02269819999998</v>
      </c>
      <c r="C898" s="6">
        <v>2.6473176671954644E-3</v>
      </c>
      <c r="D898" s="6">
        <f t="shared" ca="1" si="67"/>
        <v>-2.3828709159801991E-2</v>
      </c>
      <c r="E898" s="6">
        <f t="shared" ca="1" si="68"/>
        <v>-2.6476026826997456E-2</v>
      </c>
      <c r="F898">
        <f t="shared" ca="1" si="66"/>
        <v>1.6594865632641655E-2</v>
      </c>
      <c r="G898">
        <f t="shared" ca="1" si="65"/>
        <v>-1.4629623994793517</v>
      </c>
      <c r="H898">
        <f t="shared" ca="1" si="69"/>
        <v>2.2092972430134079</v>
      </c>
    </row>
    <row r="899" spans="1:8" x14ac:dyDescent="0.25">
      <c r="A899" s="1">
        <v>41484</v>
      </c>
      <c r="B899">
        <v>439.48845490000002</v>
      </c>
      <c r="C899" s="6">
        <v>3.4788306957030846E-3</v>
      </c>
      <c r="D899" s="6">
        <f t="shared" ca="1" si="67"/>
        <v>-3.0063623296309246E-2</v>
      </c>
      <c r="E899" s="6">
        <f t="shared" ca="1" si="68"/>
        <v>-3.3542453992012333E-2</v>
      </c>
      <c r="F899">
        <f t="shared" ca="1" si="66"/>
        <v>2.4461034420738097E-2</v>
      </c>
      <c r="G899">
        <f t="shared" ref="G899:G962" ca="1" si="70">_xlfn.NORM.INV(RAND(),0,1)</f>
        <v>-1.5391256961637245</v>
      </c>
      <c r="H899">
        <f t="shared" ca="1" si="69"/>
        <v>1.8374043082248064</v>
      </c>
    </row>
    <row r="900" spans="1:8" x14ac:dyDescent="0.25">
      <c r="A900" s="5">
        <v>41485</v>
      </c>
      <c r="B900">
        <v>443.79730030000002</v>
      </c>
      <c r="C900" s="6">
        <v>-9.804228875546727E-3</v>
      </c>
      <c r="D900" s="6">
        <f t="shared" ca="1" si="67"/>
        <v>2.8450897380609262E-2</v>
      </c>
      <c r="E900" s="6">
        <f t="shared" ca="1" si="68"/>
        <v>3.8255126256155986E-2</v>
      </c>
      <c r="F900">
        <f t="shared" ref="F900:F963" ca="1" si="71">SQRT($K$6+$K$7*POWER($G899,2)+$K$8*POWER($F899,2))</f>
        <v>2.6001406743847245E-2</v>
      </c>
      <c r="G900">
        <f t="shared" ca="1" si="70"/>
        <v>1.0483306847499216</v>
      </c>
      <c r="H900">
        <f t="shared" ca="1" si="69"/>
        <v>1.5145983726015142</v>
      </c>
    </row>
    <row r="901" spans="1:8" x14ac:dyDescent="0.25">
      <c r="A901" s="1">
        <v>41486</v>
      </c>
      <c r="B901">
        <v>442.21822650000001</v>
      </c>
      <c r="C901" s="6">
        <v>3.5580969035471244E-3</v>
      </c>
      <c r="D901" s="6">
        <f t="shared" ref="D901:D964" ca="1" si="72">($K$10*$C900)+($K$11*$C899)+($F901*$G901)</f>
        <v>-4.9654847951509026E-2</v>
      </c>
      <c r="E901" s="6">
        <f t="shared" ca="1" si="68"/>
        <v>-5.3212944855056149E-2</v>
      </c>
      <c r="F901">
        <f t="shared" ca="1" si="71"/>
        <v>1.9054455524676495E-2</v>
      </c>
      <c r="G901">
        <f t="shared" ca="1" si="70"/>
        <v>-2.6881952603805868</v>
      </c>
      <c r="H901">
        <f t="shared" ca="1" si="69"/>
        <v>0.338059673465338</v>
      </c>
    </row>
    <row r="902" spans="1:8" x14ac:dyDescent="0.25">
      <c r="A902" s="5">
        <v>41487</v>
      </c>
      <c r="B902">
        <v>450.4224949</v>
      </c>
      <c r="C902" s="6">
        <v>-1.8552533361037279E-2</v>
      </c>
      <c r="D902" s="6">
        <f t="shared" ca="1" si="72"/>
        <v>-3.0052713843312314E-2</v>
      </c>
      <c r="E902" s="6">
        <f t="shared" ref="E902:E965" ca="1" si="73">$D902-$C902</f>
        <v>-1.1500180482275035E-2</v>
      </c>
      <c r="F902">
        <f t="shared" ca="1" si="71"/>
        <v>4.332732617258709E-2</v>
      </c>
      <c r="G902">
        <f t="shared" ca="1" si="70"/>
        <v>-0.59166839438742513</v>
      </c>
      <c r="H902">
        <f t="shared" ref="H902:H965" ca="1" si="74">LN(_xlfn.NORM.DIST($E902,AVERAGE($E$5:$E$1763),_xlfn.STDEV.S($E$5:$E$1763),FALSE))</f>
        <v>2.7061387906617447</v>
      </c>
    </row>
    <row r="903" spans="1:8" x14ac:dyDescent="0.25">
      <c r="A903" s="1">
        <v>41488</v>
      </c>
      <c r="B903">
        <v>451.59309020000001</v>
      </c>
      <c r="C903" s="6">
        <v>-2.5988828561057781E-3</v>
      </c>
      <c r="D903" s="6">
        <f t="shared" ca="1" si="72"/>
        <v>2.2904214745207922E-2</v>
      </c>
      <c r="E903" s="6">
        <f t="shared" ca="1" si="73"/>
        <v>2.5503097601313699E-2</v>
      </c>
      <c r="F903">
        <f t="shared" ca="1" si="71"/>
        <v>1.5867316783300976E-2</v>
      </c>
      <c r="G903">
        <f t="shared" ca="1" si="70"/>
        <v>1.3424699793257815</v>
      </c>
      <c r="H903">
        <f t="shared" ca="1" si="74"/>
        <v>2.2363989333726608</v>
      </c>
    </row>
    <row r="904" spans="1:8" x14ac:dyDescent="0.25">
      <c r="A904" s="5">
        <v>41491</v>
      </c>
      <c r="B904">
        <v>450.81101460000002</v>
      </c>
      <c r="C904" s="6">
        <v>1.7318148062310291E-3</v>
      </c>
      <c r="D904" s="6">
        <f t="shared" ca="1" si="72"/>
        <v>-2.7892532432310713E-2</v>
      </c>
      <c r="E904" s="6">
        <f t="shared" ca="1" si="73"/>
        <v>-2.9624347238541741E-2</v>
      </c>
      <c r="F904">
        <f t="shared" ca="1" si="71"/>
        <v>2.2632161772280557E-2</v>
      </c>
      <c r="G904">
        <f t="shared" ca="1" si="70"/>
        <v>-0.86308666873888329</v>
      </c>
      <c r="H904">
        <f t="shared" ca="1" si="74"/>
        <v>2.0544928286511661</v>
      </c>
    </row>
    <row r="905" spans="1:8" x14ac:dyDescent="0.25">
      <c r="A905" s="1">
        <v>41492</v>
      </c>
      <c r="B905">
        <v>446.61175800000001</v>
      </c>
      <c r="C905" s="6">
        <v>9.3148935230120099E-3</v>
      </c>
      <c r="D905" s="6">
        <f t="shared" ca="1" si="72"/>
        <v>-1.3897325440560546E-3</v>
      </c>
      <c r="E905" s="6">
        <f t="shared" ca="1" si="73"/>
        <v>-1.0704626067068065E-2</v>
      </c>
      <c r="F905">
        <f t="shared" ca="1" si="71"/>
        <v>1.6249043146757198E-2</v>
      </c>
      <c r="G905">
        <f t="shared" ca="1" si="70"/>
        <v>-1.346642549439259E-2</v>
      </c>
      <c r="H905">
        <f t="shared" ca="1" si="74"/>
        <v>2.721459724663069</v>
      </c>
    </row>
    <row r="906" spans="1:8" x14ac:dyDescent="0.25">
      <c r="A906" s="5">
        <v>41493</v>
      </c>
      <c r="B906">
        <v>443.66280890000002</v>
      </c>
      <c r="C906" s="6">
        <v>6.6029365487506779E-3</v>
      </c>
      <c r="D906" s="6">
        <f t="shared" ca="1" si="72"/>
        <v>-3.3987103728788646E-3</v>
      </c>
      <c r="E906" s="6">
        <f t="shared" ca="1" si="73"/>
        <v>-1.0001646921629543E-2</v>
      </c>
      <c r="F906">
        <f t="shared" ca="1" si="71"/>
        <v>7.8636435926382527E-3</v>
      </c>
      <c r="G906">
        <f t="shared" ca="1" si="70"/>
        <v>-0.53145155314085279</v>
      </c>
      <c r="H906">
        <f t="shared" ca="1" si="74"/>
        <v>2.7340681851047837</v>
      </c>
    </row>
    <row r="907" spans="1:8" x14ac:dyDescent="0.25">
      <c r="A907" s="1">
        <v>41494</v>
      </c>
      <c r="B907">
        <v>444.66406189999998</v>
      </c>
      <c r="C907" s="6">
        <v>-2.2567882182471634E-3</v>
      </c>
      <c r="D907" s="6">
        <f t="shared" ca="1" si="72"/>
        <v>2.2728139649935497E-3</v>
      </c>
      <c r="E907" s="6">
        <f t="shared" ca="1" si="73"/>
        <v>4.5296021832407132E-3</v>
      </c>
      <c r="F907">
        <f t="shared" ca="1" si="71"/>
        <v>1.0939662065007225E-2</v>
      </c>
      <c r="G907">
        <f t="shared" ca="1" si="70"/>
        <v>-0.17589071777752166</v>
      </c>
      <c r="H907">
        <f t="shared" ca="1" si="74"/>
        <v>2.7993395411965114</v>
      </c>
    </row>
    <row r="908" spans="1:8" x14ac:dyDescent="0.25">
      <c r="A908" s="5">
        <v>41495</v>
      </c>
      <c r="B908">
        <v>443.54324100000002</v>
      </c>
      <c r="C908" s="6">
        <v>2.5206014968037057E-3</v>
      </c>
      <c r="D908" s="6">
        <f t="shared" ca="1" si="72"/>
        <v>-7.7623962323474047E-3</v>
      </c>
      <c r="E908" s="6">
        <f t="shared" ca="1" si="73"/>
        <v>-1.028299772915111E-2</v>
      </c>
      <c r="F908">
        <f t="shared" ca="1" si="71"/>
        <v>7.770429292034961E-3</v>
      </c>
      <c r="G908">
        <f t="shared" ca="1" si="70"/>
        <v>-1.3818229687380368</v>
      </c>
      <c r="H908">
        <f t="shared" ca="1" si="74"/>
        <v>2.729126631531126</v>
      </c>
    </row>
    <row r="909" spans="1:8" x14ac:dyDescent="0.25">
      <c r="A909" s="1">
        <v>41498</v>
      </c>
      <c r="B909">
        <v>441.1024104</v>
      </c>
      <c r="C909" s="6">
        <v>5.5030273812695218E-3</v>
      </c>
      <c r="D909" s="6">
        <f t="shared" ca="1" si="72"/>
        <v>1.2699659579401022E-2</v>
      </c>
      <c r="E909" s="6">
        <f t="shared" ca="1" si="73"/>
        <v>7.1966321981315005E-3</v>
      </c>
      <c r="F909">
        <f t="shared" ca="1" si="71"/>
        <v>2.295461028786476E-2</v>
      </c>
      <c r="G909">
        <f t="shared" ca="1" si="70"/>
        <v>0.5975457334261266</v>
      </c>
      <c r="H909">
        <f t="shared" ca="1" si="74"/>
        <v>2.7708412284422228</v>
      </c>
    </row>
    <row r="910" spans="1:8" x14ac:dyDescent="0.25">
      <c r="A910" s="5">
        <v>41499</v>
      </c>
      <c r="B910">
        <v>438.9803364</v>
      </c>
      <c r="C910" s="6">
        <v>4.8108419948910755E-3</v>
      </c>
      <c r="D910" s="6">
        <f t="shared" ca="1" si="72"/>
        <v>-3.254213667808115E-3</v>
      </c>
      <c r="E910" s="6">
        <f t="shared" ca="1" si="73"/>
        <v>-8.0650556626991905E-3</v>
      </c>
      <c r="F910">
        <f t="shared" ca="1" si="71"/>
        <v>1.2956108234875623E-2</v>
      </c>
      <c r="G910">
        <f t="shared" ca="1" si="70"/>
        <v>-0.33883470771296775</v>
      </c>
      <c r="H910">
        <f t="shared" ca="1" si="74"/>
        <v>2.764291354282276</v>
      </c>
    </row>
    <row r="911" spans="1:8" x14ac:dyDescent="0.25">
      <c r="A911" s="1">
        <v>41500</v>
      </c>
      <c r="B911">
        <v>433.28168790000001</v>
      </c>
      <c r="C911" s="6">
        <v>1.2981557549328058E-2</v>
      </c>
      <c r="D911" s="6">
        <f t="shared" ca="1" si="72"/>
        <v>4.9875932258449419E-3</v>
      </c>
      <c r="E911" s="6">
        <f t="shared" ca="1" si="73"/>
        <v>-7.9939643234831163E-3</v>
      </c>
      <c r="F911">
        <f t="shared" ca="1" si="71"/>
        <v>9.1888014870736261E-3</v>
      </c>
      <c r="G911">
        <f t="shared" ca="1" si="70"/>
        <v>0.27295034853957595</v>
      </c>
      <c r="H911">
        <f t="shared" ca="1" si="74"/>
        <v>2.7652748764701451</v>
      </c>
    </row>
    <row r="912" spans="1:8" x14ac:dyDescent="0.25">
      <c r="A912" s="5">
        <v>41501</v>
      </c>
      <c r="B912">
        <v>428.2256486</v>
      </c>
      <c r="C912" s="6">
        <v>1.1669173752773338E-2</v>
      </c>
      <c r="D912" s="6">
        <f t="shared" ca="1" si="72"/>
        <v>-7.4228130009591393E-3</v>
      </c>
      <c r="E912" s="6">
        <f t="shared" ca="1" si="73"/>
        <v>-1.9091986753732477E-2</v>
      </c>
      <c r="F912">
        <f t="shared" ca="1" si="71"/>
        <v>8.3096694340285132E-3</v>
      </c>
      <c r="G912">
        <f t="shared" ca="1" si="70"/>
        <v>-1.1541477034157326</v>
      </c>
      <c r="H912">
        <f t="shared" ca="1" si="74"/>
        <v>2.5037420298725062</v>
      </c>
    </row>
    <row r="913" spans="1:8" x14ac:dyDescent="0.25">
      <c r="A913" s="1">
        <v>41502</v>
      </c>
      <c r="B913">
        <v>426.85577330000001</v>
      </c>
      <c r="C913" s="6">
        <v>3.1989566820168971E-3</v>
      </c>
      <c r="D913" s="6">
        <f t="shared" ca="1" si="72"/>
        <v>-1.379996421372676E-4</v>
      </c>
      <c r="E913" s="6">
        <f t="shared" ca="1" si="73"/>
        <v>-3.3369563241541647E-3</v>
      </c>
      <c r="F913">
        <f t="shared" ca="1" si="71"/>
        <v>1.9568169259673369E-2</v>
      </c>
      <c r="G913">
        <f t="shared" ca="1" si="70"/>
        <v>-0.30596236166799562</v>
      </c>
      <c r="H913">
        <f t="shared" ca="1" si="74"/>
        <v>2.8102716142124549</v>
      </c>
    </row>
    <row r="914" spans="1:8" x14ac:dyDescent="0.25">
      <c r="A914" s="5">
        <v>41505</v>
      </c>
      <c r="B914">
        <v>431.20944909999997</v>
      </c>
      <c r="C914" s="6">
        <v>-1.0199407088586196E-2</v>
      </c>
      <c r="D914" s="6">
        <f t="shared" ca="1" si="72"/>
        <v>-4.5018265829627653E-3</v>
      </c>
      <c r="E914" s="6">
        <f t="shared" ca="1" si="73"/>
        <v>5.697580505623431E-3</v>
      </c>
      <c r="F914">
        <f t="shared" ca="1" si="71"/>
        <v>9.6316999198106604E-3</v>
      </c>
      <c r="G914">
        <f t="shared" ca="1" si="70"/>
        <v>-1.0132693700237869</v>
      </c>
      <c r="H914">
        <f t="shared" ca="1" si="74"/>
        <v>2.7884043179884199</v>
      </c>
    </row>
    <row r="915" spans="1:8" x14ac:dyDescent="0.25">
      <c r="A915" s="1">
        <v>41506</v>
      </c>
      <c r="B915">
        <v>431.09488599999997</v>
      </c>
      <c r="C915" s="6">
        <v>2.6567854725611584E-4</v>
      </c>
      <c r="D915" s="6">
        <f t="shared" ca="1" si="72"/>
        <v>-3.4430966479420747E-2</v>
      </c>
      <c r="E915" s="6">
        <f t="shared" ca="1" si="73"/>
        <v>-3.469664502667686E-2</v>
      </c>
      <c r="F915">
        <f t="shared" ca="1" si="71"/>
        <v>1.7549164306073076E-2</v>
      </c>
      <c r="G915">
        <f t="shared" ca="1" si="70"/>
        <v>-2.0440921984600737</v>
      </c>
      <c r="H915">
        <f t="shared" ca="1" si="74"/>
        <v>1.7682882266450286</v>
      </c>
    </row>
    <row r="916" spans="1:8" x14ac:dyDescent="0.25">
      <c r="A916" s="5">
        <v>41507</v>
      </c>
      <c r="B916">
        <v>433.0425821</v>
      </c>
      <c r="C916" s="6">
        <v>-4.5180218166634206E-3</v>
      </c>
      <c r="D916" s="6">
        <f t="shared" ca="1" si="72"/>
        <v>-2.072976222886741E-2</v>
      </c>
      <c r="E916" s="6">
        <f t="shared" ca="1" si="73"/>
        <v>-1.6211740412203988E-2</v>
      </c>
      <c r="F916">
        <f t="shared" ca="1" si="71"/>
        <v>3.332643950300624E-2</v>
      </c>
      <c r="G916">
        <f t="shared" ca="1" si="70"/>
        <v>-0.4841307201169362</v>
      </c>
      <c r="H916">
        <f t="shared" ca="1" si="74"/>
        <v>2.592504802007336</v>
      </c>
    </row>
    <row r="917" spans="1:8" x14ac:dyDescent="0.25">
      <c r="A917" s="1">
        <v>41508</v>
      </c>
      <c r="B917">
        <v>435.2244096</v>
      </c>
      <c r="C917" s="6">
        <v>-5.0383671033444937E-3</v>
      </c>
      <c r="D917" s="6">
        <f t="shared" ca="1" si="72"/>
        <v>-1.5490320855886055E-2</v>
      </c>
      <c r="E917" s="6">
        <f t="shared" ca="1" si="73"/>
        <v>-1.045195375254156E-2</v>
      </c>
      <c r="F917">
        <f t="shared" ca="1" si="71"/>
        <v>1.3197630810572528E-2</v>
      </c>
      <c r="G917">
        <f t="shared" ca="1" si="70"/>
        <v>-1.1827842175237575</v>
      </c>
      <c r="H917">
        <f t="shared" ca="1" si="74"/>
        <v>2.7260920020067192</v>
      </c>
    </row>
    <row r="918" spans="1:8" x14ac:dyDescent="0.25">
      <c r="A918" s="5">
        <v>41509</v>
      </c>
      <c r="B918">
        <v>433.4809679</v>
      </c>
      <c r="C918" s="6">
        <v>4.0058454019211457E-3</v>
      </c>
      <c r="D918" s="6">
        <f t="shared" ca="1" si="72"/>
        <v>-3.6693685534547019E-3</v>
      </c>
      <c r="E918" s="6">
        <f t="shared" ca="1" si="73"/>
        <v>-7.6752139553758481E-3</v>
      </c>
      <c r="F918">
        <f t="shared" ca="1" si="71"/>
        <v>2.015778865806923E-2</v>
      </c>
      <c r="G918">
        <f t="shared" ca="1" si="70"/>
        <v>-8.1043572590356994E-2</v>
      </c>
      <c r="H918">
        <f t="shared" ca="1" si="74"/>
        <v>2.769575009663654</v>
      </c>
    </row>
    <row r="919" spans="1:8" x14ac:dyDescent="0.25">
      <c r="A919" s="1">
        <v>41512</v>
      </c>
      <c r="B919">
        <v>431.5780714</v>
      </c>
      <c r="C919" s="6">
        <v>4.3898040304251084E-3</v>
      </c>
      <c r="D919" s="6">
        <f t="shared" ca="1" si="72"/>
        <v>1.1994474778628226E-2</v>
      </c>
      <c r="E919" s="6">
        <f t="shared" ca="1" si="73"/>
        <v>7.6046707482031175E-3</v>
      </c>
      <c r="F919">
        <f t="shared" ca="1" si="71"/>
        <v>8.5125300678719536E-3</v>
      </c>
      <c r="G919">
        <f t="shared" ca="1" si="70"/>
        <v>1.6757038835385918</v>
      </c>
      <c r="H919">
        <f t="shared" ca="1" si="74"/>
        <v>2.7653738751342116</v>
      </c>
    </row>
    <row r="920" spans="1:8" x14ac:dyDescent="0.25">
      <c r="A920" s="5">
        <v>41513</v>
      </c>
      <c r="B920">
        <v>423.48839700000002</v>
      </c>
      <c r="C920" s="6">
        <v>1.8744405557395007E-2</v>
      </c>
      <c r="D920" s="6">
        <f t="shared" ca="1" si="72"/>
        <v>4.0695885023756165E-2</v>
      </c>
      <c r="E920" s="6">
        <f t="shared" ca="1" si="73"/>
        <v>2.1951479466361157E-2</v>
      </c>
      <c r="F920">
        <f t="shared" ca="1" si="71"/>
        <v>2.7434271085132838E-2</v>
      </c>
      <c r="G920">
        <f t="shared" ca="1" si="70"/>
        <v>1.4176046782899705</v>
      </c>
      <c r="H920">
        <f t="shared" ca="1" si="74"/>
        <v>2.3863308386675195</v>
      </c>
    </row>
    <row r="921" spans="1:8" x14ac:dyDescent="0.25">
      <c r="A921" s="1">
        <v>41514</v>
      </c>
      <c r="B921">
        <v>422.69136800000001</v>
      </c>
      <c r="C921" s="6">
        <v>1.882056286892812E-3</v>
      </c>
      <c r="D921" s="6">
        <f t="shared" ca="1" si="72"/>
        <v>-3.7323556471819657E-3</v>
      </c>
      <c r="E921" s="6">
        <f t="shared" ca="1" si="73"/>
        <v>-5.6144119340747773E-3</v>
      </c>
      <c r="F921">
        <f t="shared" ca="1" si="71"/>
        <v>2.4411195604449834E-2</v>
      </c>
      <c r="G921">
        <f t="shared" ca="1" si="70"/>
        <v>-0.23393046315818775</v>
      </c>
      <c r="H921">
        <f t="shared" ca="1" si="74"/>
        <v>2.7930489496731119</v>
      </c>
    </row>
    <row r="922" spans="1:8" x14ac:dyDescent="0.25">
      <c r="A922" s="5">
        <v>41515</v>
      </c>
      <c r="B922">
        <v>426.11852859999999</v>
      </c>
      <c r="C922" s="6">
        <v>-8.1079502905769749E-3</v>
      </c>
      <c r="D922" s="6">
        <f t="shared" ca="1" si="72"/>
        <v>9.213028701821056E-3</v>
      </c>
      <c r="E922" s="6">
        <f t="shared" ca="1" si="73"/>
        <v>1.7320978992398033E-2</v>
      </c>
      <c r="F922">
        <f t="shared" ca="1" si="71"/>
        <v>9.8257251240693975E-3</v>
      </c>
      <c r="G922">
        <f t="shared" ca="1" si="70"/>
        <v>7.8119007099257801E-2</v>
      </c>
      <c r="H922">
        <f t="shared" ca="1" si="74"/>
        <v>2.5483729323046909</v>
      </c>
    </row>
    <row r="923" spans="1:8" x14ac:dyDescent="0.25">
      <c r="A923" s="1">
        <v>41516</v>
      </c>
      <c r="B923">
        <v>421.86946719999997</v>
      </c>
      <c r="C923" s="6">
        <v>9.9715480900588477E-3</v>
      </c>
      <c r="D923" s="6">
        <f t="shared" ca="1" si="72"/>
        <v>2.7375739112630451E-3</v>
      </c>
      <c r="E923" s="6">
        <f t="shared" ca="1" si="73"/>
        <v>-7.2339741787958026E-3</v>
      </c>
      <c r="F923">
        <f t="shared" ca="1" si="71"/>
        <v>7.2591032771125016E-3</v>
      </c>
      <c r="G923">
        <f t="shared" ca="1" si="70"/>
        <v>0.26032616772771028</v>
      </c>
      <c r="H923">
        <f t="shared" ca="1" si="74"/>
        <v>2.7752316679998512</v>
      </c>
    </row>
    <row r="924" spans="1:8" x14ac:dyDescent="0.25">
      <c r="A924" s="5">
        <v>41520</v>
      </c>
      <c r="B924">
        <v>428.58429189999998</v>
      </c>
      <c r="C924" s="6">
        <v>-1.591683025692078E-2</v>
      </c>
      <c r="D924" s="6">
        <f t="shared" ca="1" si="72"/>
        <v>1.0379039072943E-2</v>
      </c>
      <c r="E924" s="6">
        <f t="shared" ca="1" si="73"/>
        <v>2.6295869329863782E-2</v>
      </c>
      <c r="F924">
        <f t="shared" ca="1" si="71"/>
        <v>8.084040795419108E-3</v>
      </c>
      <c r="G924">
        <f t="shared" ca="1" si="70"/>
        <v>1.7357615600253118</v>
      </c>
      <c r="H924">
        <f t="shared" ca="1" si="74"/>
        <v>2.1998926266452319</v>
      </c>
    </row>
    <row r="925" spans="1:8" x14ac:dyDescent="0.25">
      <c r="A925" s="1">
        <v>41521</v>
      </c>
      <c r="B925">
        <v>434.18830559999998</v>
      </c>
      <c r="C925" s="6">
        <v>-1.307563950875633E-2</v>
      </c>
      <c r="D925" s="6">
        <f t="shared" ca="1" si="72"/>
        <v>-3.3521798916108292E-2</v>
      </c>
      <c r="E925" s="6">
        <f t="shared" ca="1" si="73"/>
        <v>-2.0446159407351963E-2</v>
      </c>
      <c r="F925">
        <f t="shared" ca="1" si="71"/>
        <v>2.8345767812857556E-2</v>
      </c>
      <c r="G925">
        <f t="shared" ca="1" si="70"/>
        <v>-1.3410921130843383</v>
      </c>
      <c r="H925">
        <f t="shared" ca="1" si="74"/>
        <v>2.4569491660541729</v>
      </c>
    </row>
    <row r="926" spans="1:8" x14ac:dyDescent="0.25">
      <c r="A926" s="5">
        <v>41522</v>
      </c>
      <c r="B926">
        <v>438.13850780000001</v>
      </c>
      <c r="C926" s="6">
        <v>-9.0979009546129867E-3</v>
      </c>
      <c r="D926" s="6">
        <f t="shared" ca="1" si="72"/>
        <v>-1.4515112615509935E-2</v>
      </c>
      <c r="E926" s="6">
        <f t="shared" ca="1" si="73"/>
        <v>-5.4172116608969482E-3</v>
      </c>
      <c r="F926">
        <f t="shared" ca="1" si="71"/>
        <v>2.3372795186427733E-2</v>
      </c>
      <c r="G926">
        <f t="shared" ca="1" si="70"/>
        <v>-0.31418827816249245</v>
      </c>
      <c r="H926">
        <f t="shared" ca="1" si="74"/>
        <v>2.7949022439873583</v>
      </c>
    </row>
    <row r="927" spans="1:8" x14ac:dyDescent="0.25">
      <c r="A927" s="1">
        <v>41523</v>
      </c>
      <c r="B927">
        <v>438.14845650000001</v>
      </c>
      <c r="C927" s="6">
        <v>-2.2706746434934952E-5</v>
      </c>
      <c r="D927" s="6">
        <f t="shared" ca="1" si="72"/>
        <v>1.7612315495066418E-3</v>
      </c>
      <c r="E927" s="6">
        <f t="shared" ca="1" si="73"/>
        <v>1.7839382959415767E-3</v>
      </c>
      <c r="F927">
        <f t="shared" ca="1" si="71"/>
        <v>1.0218153782433912E-2</v>
      </c>
      <c r="G927">
        <f t="shared" ca="1" si="70"/>
        <v>0.74893195942663537</v>
      </c>
      <c r="H927">
        <f t="shared" ca="1" si="74"/>
        <v>2.8155631097910323</v>
      </c>
    </row>
    <row r="928" spans="1:8" x14ac:dyDescent="0.25">
      <c r="A928" s="5">
        <v>41526</v>
      </c>
      <c r="B928">
        <v>442.36767140000001</v>
      </c>
      <c r="C928" s="6">
        <v>-9.6296468409446442E-3</v>
      </c>
      <c r="D928" s="6">
        <f t="shared" ca="1" si="72"/>
        <v>-1.1099571512498536E-2</v>
      </c>
      <c r="E928" s="6">
        <f t="shared" ca="1" si="73"/>
        <v>-1.4699246715538915E-3</v>
      </c>
      <c r="F928">
        <f t="shared" ca="1" si="71"/>
        <v>1.3859693433468389E-2</v>
      </c>
      <c r="G928">
        <f t="shared" ca="1" si="70"/>
        <v>-0.50509406403967672</v>
      </c>
      <c r="H928">
        <f t="shared" ca="1" si="74"/>
        <v>2.8175619924122262</v>
      </c>
    </row>
    <row r="929" spans="1:8" x14ac:dyDescent="0.25">
      <c r="A929" s="1">
        <v>41527</v>
      </c>
      <c r="B929">
        <v>442.67650980000002</v>
      </c>
      <c r="C929" s="6">
        <v>-6.9814866674728997E-4</v>
      </c>
      <c r="D929" s="6">
        <f t="shared" ca="1" si="72"/>
        <v>8.5882016913234425E-4</v>
      </c>
      <c r="E929" s="6">
        <f t="shared" ca="1" si="73"/>
        <v>1.5569688358796343E-3</v>
      </c>
      <c r="F929">
        <f t="shared" ca="1" si="71"/>
        <v>1.1004503792435992E-2</v>
      </c>
      <c r="G929">
        <f t="shared" ca="1" si="70"/>
        <v>7.8986763258586112E-2</v>
      </c>
      <c r="H929">
        <f t="shared" ca="1" si="74"/>
        <v>2.8163088168899399</v>
      </c>
    </row>
    <row r="930" spans="1:8" x14ac:dyDescent="0.25">
      <c r="A930" s="5">
        <v>41528</v>
      </c>
      <c r="B930">
        <v>446.42245750000001</v>
      </c>
      <c r="C930" s="6">
        <v>-8.4620430880608423E-3</v>
      </c>
      <c r="D930" s="6">
        <f t="shared" ca="1" si="72"/>
        <v>8.4449819409209946E-3</v>
      </c>
      <c r="E930" s="6">
        <f t="shared" ca="1" si="73"/>
        <v>1.6907025028981837E-2</v>
      </c>
      <c r="F930">
        <f t="shared" ca="1" si="71"/>
        <v>7.3679266130601958E-3</v>
      </c>
      <c r="G930">
        <f t="shared" ca="1" si="70"/>
        <v>1.7350468055272508</v>
      </c>
      <c r="H930">
        <f t="shared" ca="1" si="74"/>
        <v>2.561016270262984</v>
      </c>
    </row>
    <row r="931" spans="1:8" x14ac:dyDescent="0.25">
      <c r="A931" s="1">
        <v>41529</v>
      </c>
      <c r="B931">
        <v>444.86331159999997</v>
      </c>
      <c r="C931" s="6">
        <v>3.4925346469605704E-3</v>
      </c>
      <c r="D931" s="6">
        <f t="shared" ca="1" si="72"/>
        <v>5.09731561381514E-3</v>
      </c>
      <c r="E931" s="6">
        <f t="shared" ca="1" si="73"/>
        <v>1.6047809668545696E-3</v>
      </c>
      <c r="F931">
        <f t="shared" ca="1" si="71"/>
        <v>2.8322420882725272E-2</v>
      </c>
      <c r="G931">
        <f t="shared" ca="1" si="70"/>
        <v>0.19108575931211663</v>
      </c>
      <c r="H931">
        <f t="shared" ca="1" si="74"/>
        <v>2.8161592896203436</v>
      </c>
    </row>
    <row r="932" spans="1:8" x14ac:dyDescent="0.25">
      <c r="A932" s="5">
        <v>41530</v>
      </c>
      <c r="B932">
        <v>442.87575939999999</v>
      </c>
      <c r="C932" s="6">
        <v>4.4677817841429343E-3</v>
      </c>
      <c r="D932" s="6">
        <f t="shared" ca="1" si="72"/>
        <v>1.2545984936226722E-4</v>
      </c>
      <c r="E932" s="6">
        <f t="shared" ca="1" si="73"/>
        <v>-4.3423219347806675E-3</v>
      </c>
      <c r="F932">
        <f t="shared" ca="1" si="71"/>
        <v>1.0250360091997712E-2</v>
      </c>
      <c r="G932">
        <f t="shared" ca="1" si="70"/>
        <v>0.38418495882019815</v>
      </c>
      <c r="H932">
        <f t="shared" ca="1" si="74"/>
        <v>2.803797421112987</v>
      </c>
    </row>
    <row r="933" spans="1:8" x14ac:dyDescent="0.25">
      <c r="A933" s="1">
        <v>41533</v>
      </c>
      <c r="B933">
        <v>442.22320089999999</v>
      </c>
      <c r="C933" s="6">
        <v>1.4734572533029854E-3</v>
      </c>
      <c r="D933" s="6">
        <f t="shared" ca="1" si="72"/>
        <v>-2.0026038299201482E-3</v>
      </c>
      <c r="E933" s="6">
        <f t="shared" ca="1" si="73"/>
        <v>-3.4760610832231336E-3</v>
      </c>
      <c r="F933">
        <f t="shared" ca="1" si="71"/>
        <v>9.4159363123967645E-3</v>
      </c>
      <c r="G933">
        <f t="shared" ca="1" si="70"/>
        <v>-0.37980964134868</v>
      </c>
      <c r="H933">
        <f t="shared" ca="1" si="74"/>
        <v>2.8094821697674202</v>
      </c>
    </row>
    <row r="934" spans="1:8" x14ac:dyDescent="0.25">
      <c r="A934" s="5">
        <v>41534</v>
      </c>
      <c r="B934">
        <v>441.4012697</v>
      </c>
      <c r="C934" s="6">
        <v>1.8586342786340105E-3</v>
      </c>
      <c r="D934" s="6">
        <f t="shared" ca="1" si="72"/>
        <v>-2.4049095559840541E-4</v>
      </c>
      <c r="E934" s="6">
        <f t="shared" ca="1" si="73"/>
        <v>-2.0991252342324159E-3</v>
      </c>
      <c r="F934">
        <f t="shared" ca="1" si="71"/>
        <v>9.3156851092430909E-3</v>
      </c>
      <c r="G934">
        <f t="shared" ca="1" si="70"/>
        <v>-0.24190441307411509</v>
      </c>
      <c r="H934">
        <f t="shared" ca="1" si="74"/>
        <v>2.8157924096940894</v>
      </c>
    </row>
    <row r="935" spans="1:8" x14ac:dyDescent="0.25">
      <c r="A935" s="1">
        <v>41535</v>
      </c>
      <c r="B935">
        <v>449.97416040000002</v>
      </c>
      <c r="C935" s="6">
        <v>-1.9421989215904642E-2</v>
      </c>
      <c r="D935" s="6">
        <f t="shared" ca="1" si="72"/>
        <v>-1.7606377004291576E-3</v>
      </c>
      <c r="E935" s="6">
        <f t="shared" ca="1" si="73"/>
        <v>1.7661351515475484E-2</v>
      </c>
      <c r="F935">
        <f t="shared" ca="1" si="71"/>
        <v>8.07451520694266E-3</v>
      </c>
      <c r="G935">
        <f t="shared" ca="1" si="70"/>
        <v>-0.30027125436603952</v>
      </c>
      <c r="H935">
        <f t="shared" ca="1" si="74"/>
        <v>2.5377504024724566</v>
      </c>
    </row>
    <row r="936" spans="1:8" x14ac:dyDescent="0.25">
      <c r="A936" s="5">
        <v>41536</v>
      </c>
      <c r="B936">
        <v>447.5183758</v>
      </c>
      <c r="C936" s="6">
        <v>5.4576124944973959E-3</v>
      </c>
      <c r="D936" s="6">
        <f t="shared" ca="1" si="72"/>
        <v>-1.3406686908079689E-3</v>
      </c>
      <c r="E936" s="6">
        <f t="shared" ca="1" si="73"/>
        <v>-6.7982811853053646E-3</v>
      </c>
      <c r="F936">
        <f t="shared" ca="1" si="71"/>
        <v>8.4706057050755231E-3</v>
      </c>
      <c r="G936">
        <f t="shared" ca="1" si="70"/>
        <v>-0.25709707736016618</v>
      </c>
      <c r="H936">
        <f t="shared" ca="1" si="74"/>
        <v>2.78048004335673</v>
      </c>
    </row>
    <row r="937" spans="1:8" x14ac:dyDescent="0.25">
      <c r="A937" s="1">
        <v>41537</v>
      </c>
      <c r="B937">
        <v>449.86954600000001</v>
      </c>
      <c r="C937" s="6">
        <v>-5.2537958822293637E-3</v>
      </c>
      <c r="D937" s="6">
        <f t="shared" ca="1" si="72"/>
        <v>-2.3226083947877445E-3</v>
      </c>
      <c r="E937" s="6">
        <f t="shared" ca="1" si="73"/>
        <v>2.9311874874416192E-3</v>
      </c>
      <c r="F937">
        <f t="shared" ca="1" si="71"/>
        <v>8.1327914409252116E-3</v>
      </c>
      <c r="G937">
        <f t="shared" ca="1" si="70"/>
        <v>0.79038212951541575</v>
      </c>
      <c r="H937">
        <f t="shared" ca="1" si="74"/>
        <v>2.8104025292595702</v>
      </c>
    </row>
    <row r="938" spans="1:8" x14ac:dyDescent="0.25">
      <c r="A938" s="5">
        <v>41540</v>
      </c>
      <c r="B938">
        <v>441.59554500000002</v>
      </c>
      <c r="C938" s="6">
        <v>1.8392000689017519E-2</v>
      </c>
      <c r="D938" s="6">
        <f t="shared" ca="1" si="72"/>
        <v>1.1695312340147292E-2</v>
      </c>
      <c r="E938" s="6">
        <f t="shared" ca="1" si="73"/>
        <v>-6.6966883488702271E-3</v>
      </c>
      <c r="F938">
        <f t="shared" ca="1" si="71"/>
        <v>1.4340067045300789E-2</v>
      </c>
      <c r="G938">
        <f t="shared" ca="1" si="70"/>
        <v>0.64409978875499474</v>
      </c>
      <c r="H938">
        <f t="shared" ca="1" si="74"/>
        <v>2.7816556649135316</v>
      </c>
    </row>
    <row r="939" spans="1:8" x14ac:dyDescent="0.25">
      <c r="A939" s="1">
        <v>41541</v>
      </c>
      <c r="B939">
        <v>441.76491759999999</v>
      </c>
      <c r="C939" s="6">
        <v>-3.8354689470423487E-4</v>
      </c>
      <c r="D939" s="6">
        <f t="shared" ca="1" si="72"/>
        <v>4.2447874558661043E-3</v>
      </c>
      <c r="E939" s="6">
        <f t="shared" ca="1" si="73"/>
        <v>4.6283343505703388E-3</v>
      </c>
      <c r="F939">
        <f t="shared" ca="1" si="71"/>
        <v>1.2726024597369203E-2</v>
      </c>
      <c r="G939">
        <f t="shared" ca="1" si="70"/>
        <v>0.51953516865866223</v>
      </c>
      <c r="H939">
        <f t="shared" ca="1" si="74"/>
        <v>2.7985083219988831</v>
      </c>
    </row>
    <row r="940" spans="1:8" x14ac:dyDescent="0.25">
      <c r="A940" s="5">
        <v>41542</v>
      </c>
      <c r="B940">
        <v>436.97786120000001</v>
      </c>
      <c r="C940" s="6">
        <v>1.0836207696181223E-2</v>
      </c>
      <c r="D940" s="6">
        <f t="shared" ca="1" si="72"/>
        <v>4.4206919459699838E-3</v>
      </c>
      <c r="E940" s="6">
        <f t="shared" ca="1" si="73"/>
        <v>-6.4155157502112387E-3</v>
      </c>
      <c r="F940">
        <f t="shared" ca="1" si="71"/>
        <v>1.1085650914774281E-2</v>
      </c>
      <c r="G940">
        <f t="shared" ca="1" si="70"/>
        <v>-0.34873413986804869</v>
      </c>
      <c r="H940">
        <f t="shared" ca="1" si="74"/>
        <v>2.7848143887875652</v>
      </c>
    </row>
    <row r="941" spans="1:8" x14ac:dyDescent="0.25">
      <c r="A941" s="1">
        <v>41543</v>
      </c>
      <c r="B941">
        <v>437.44609309999998</v>
      </c>
      <c r="C941" s="6">
        <v>-1.0715231630136824E-3</v>
      </c>
      <c r="D941" s="6">
        <f t="shared" ca="1" si="72"/>
        <v>-1.7410903494542197E-4</v>
      </c>
      <c r="E941" s="6">
        <f t="shared" ca="1" si="73"/>
        <v>8.9741412806826045E-4</v>
      </c>
      <c r="F941">
        <f t="shared" ca="1" si="71"/>
        <v>9.1260871757398079E-3</v>
      </c>
      <c r="G941">
        <f t="shared" ca="1" si="70"/>
        <v>-1.620156805446012E-4</v>
      </c>
      <c r="H941">
        <f t="shared" ca="1" si="74"/>
        <v>2.8179597826054104</v>
      </c>
    </row>
    <row r="942" spans="1:8" x14ac:dyDescent="0.25">
      <c r="A942" s="5">
        <v>41544</v>
      </c>
      <c r="B942">
        <v>436.55943409999998</v>
      </c>
      <c r="C942" s="6">
        <v>2.0268988887673501E-3</v>
      </c>
      <c r="D942" s="6">
        <f t="shared" ca="1" si="72"/>
        <v>8.7472841243441506E-3</v>
      </c>
      <c r="E942" s="6">
        <f t="shared" ca="1" si="73"/>
        <v>6.7203852355768E-3</v>
      </c>
      <c r="F942">
        <f t="shared" ca="1" si="71"/>
        <v>7.0940560340097469E-3</v>
      </c>
      <c r="G942">
        <f t="shared" ca="1" si="70"/>
        <v>0.54481856924939187</v>
      </c>
      <c r="H942">
        <f t="shared" ca="1" si="74"/>
        <v>2.7768508660077589</v>
      </c>
    </row>
    <row r="943" spans="1:8" x14ac:dyDescent="0.25">
      <c r="A943" s="1">
        <v>41547</v>
      </c>
      <c r="B943">
        <v>436.32032830000003</v>
      </c>
      <c r="C943" s="6">
        <v>5.4770503469449023E-4</v>
      </c>
      <c r="D943" s="6">
        <f t="shared" ca="1" si="72"/>
        <v>8.1296325017172393E-4</v>
      </c>
      <c r="E943" s="6">
        <f t="shared" ca="1" si="73"/>
        <v>2.652582154772337E-4</v>
      </c>
      <c r="F943">
        <f t="shared" ca="1" si="71"/>
        <v>1.1070128675758373E-2</v>
      </c>
      <c r="G943">
        <f t="shared" ca="1" si="70"/>
        <v>0.11704578506569945</v>
      </c>
      <c r="H943">
        <f t="shared" ca="1" si="74"/>
        <v>2.8188215617327912</v>
      </c>
    </row>
    <row r="944" spans="1:8" x14ac:dyDescent="0.25">
      <c r="A944" s="5">
        <v>41548</v>
      </c>
      <c r="B944">
        <v>441.84462989999997</v>
      </c>
      <c r="C944" s="6">
        <v>-1.2661114419132931E-2</v>
      </c>
      <c r="D944" s="6">
        <f t="shared" ca="1" si="72"/>
        <v>9.5943820770396787E-3</v>
      </c>
      <c r="E944" s="6">
        <f t="shared" ca="1" si="73"/>
        <v>2.225549649617261E-2</v>
      </c>
      <c r="F944">
        <f t="shared" ca="1" si="71"/>
        <v>7.4997406238391535E-3</v>
      </c>
      <c r="G944">
        <f t="shared" ca="1" si="70"/>
        <v>1.1575253235426346</v>
      </c>
      <c r="H944">
        <f t="shared" ca="1" si="74"/>
        <v>2.3743680294631964</v>
      </c>
    </row>
    <row r="945" spans="1:8" x14ac:dyDescent="0.25">
      <c r="A945" s="1">
        <v>41549</v>
      </c>
      <c r="B945">
        <v>442.33776399999999</v>
      </c>
      <c r="C945" s="6">
        <v>-1.1160803292135253E-3</v>
      </c>
      <c r="D945" s="6">
        <f t="shared" ca="1" si="72"/>
        <v>1.857264562613832E-2</v>
      </c>
      <c r="E945" s="6">
        <f t="shared" ca="1" si="73"/>
        <v>1.9688725955351847E-2</v>
      </c>
      <c r="F945">
        <f t="shared" ca="1" si="71"/>
        <v>1.959734059134902E-2</v>
      </c>
      <c r="G945">
        <f t="shared" ca="1" si="70"/>
        <v>0.93513110488703466</v>
      </c>
      <c r="H945">
        <f t="shared" ca="1" si="74"/>
        <v>2.4702428083579826</v>
      </c>
    </row>
    <row r="946" spans="1:8" x14ac:dyDescent="0.25">
      <c r="A946" s="5">
        <v>41550</v>
      </c>
      <c r="B946">
        <v>436.40998919999998</v>
      </c>
      <c r="C946" s="6">
        <v>1.3401014524276542E-2</v>
      </c>
      <c r="D946" s="6">
        <f t="shared" ca="1" si="72"/>
        <v>-1.8466635906439311E-2</v>
      </c>
      <c r="E946" s="6">
        <f t="shared" ca="1" si="73"/>
        <v>-3.1867650430715849E-2</v>
      </c>
      <c r="F946">
        <f t="shared" ca="1" si="71"/>
        <v>1.6980450304134372E-2</v>
      </c>
      <c r="G946">
        <f t="shared" ca="1" si="70"/>
        <v>-0.7515739847915518</v>
      </c>
      <c r="H946">
        <f t="shared" ca="1" si="74"/>
        <v>1.9335148587247879</v>
      </c>
    </row>
    <row r="947" spans="1:8" x14ac:dyDescent="0.25">
      <c r="A947" s="1">
        <v>41551</v>
      </c>
      <c r="B947">
        <v>434.54694890000002</v>
      </c>
      <c r="C947" s="6">
        <v>4.2690138771002408E-3</v>
      </c>
      <c r="D947" s="6">
        <f t="shared" ca="1" si="72"/>
        <v>-6.446541086222269E-3</v>
      </c>
      <c r="E947" s="6">
        <f t="shared" ca="1" si="73"/>
        <v>-1.0715554963322511E-2</v>
      </c>
      <c r="F947">
        <f t="shared" ca="1" si="71"/>
        <v>1.4309128156174841E-2</v>
      </c>
      <c r="G947">
        <f t="shared" ca="1" si="70"/>
        <v>-0.41539253618721483</v>
      </c>
      <c r="H947">
        <f t="shared" ca="1" si="74"/>
        <v>2.7212568213379593</v>
      </c>
    </row>
    <row r="948" spans="1:8" x14ac:dyDescent="0.25">
      <c r="A948" s="5">
        <v>41554</v>
      </c>
      <c r="B948">
        <v>431.25430999999998</v>
      </c>
      <c r="C948" s="6">
        <v>7.5771764324543906E-3</v>
      </c>
      <c r="D948" s="6">
        <f t="shared" ca="1" si="72"/>
        <v>2.8816772391475794E-2</v>
      </c>
      <c r="E948" s="6">
        <f t="shared" ca="1" si="73"/>
        <v>2.1239595959021404E-2</v>
      </c>
      <c r="F948">
        <f t="shared" ca="1" si="71"/>
        <v>1.0061332773193855E-2</v>
      </c>
      <c r="G948">
        <f t="shared" ca="1" si="70"/>
        <v>2.2639924978070329</v>
      </c>
      <c r="H948">
        <f t="shared" ca="1" si="74"/>
        <v>2.413704628879846</v>
      </c>
    </row>
    <row r="949" spans="1:8" x14ac:dyDescent="0.25">
      <c r="A949" s="1">
        <v>41555</v>
      </c>
      <c r="B949">
        <v>425.24181829999998</v>
      </c>
      <c r="C949" s="6">
        <v>1.3941870401248856E-2</v>
      </c>
      <c r="D949" s="6">
        <f t="shared" ca="1" si="72"/>
        <v>2.2412555320816454E-2</v>
      </c>
      <c r="E949" s="6">
        <f t="shared" ca="1" si="73"/>
        <v>8.4706849195675983E-3</v>
      </c>
      <c r="F949">
        <f t="shared" ca="1" si="71"/>
        <v>3.6533719398495833E-2</v>
      </c>
      <c r="G949">
        <f t="shared" ca="1" si="70"/>
        <v>0.56082426233304417</v>
      </c>
      <c r="H949">
        <f t="shared" ca="1" si="74"/>
        <v>2.7527963696659636</v>
      </c>
    </row>
    <row r="950" spans="1:8" x14ac:dyDescent="0.25">
      <c r="A950" s="5">
        <v>41556</v>
      </c>
      <c r="B950">
        <v>426.33273179999998</v>
      </c>
      <c r="C950" s="6">
        <v>-2.5653956244500405E-3</v>
      </c>
      <c r="D950" s="6">
        <f t="shared" ca="1" si="72"/>
        <v>8.765288656608354E-3</v>
      </c>
      <c r="E950" s="6">
        <f t="shared" ca="1" si="73"/>
        <v>1.1330684281058394E-2</v>
      </c>
      <c r="F950">
        <f t="shared" ca="1" si="71"/>
        <v>1.4437973068955673E-2</v>
      </c>
      <c r="G950">
        <f t="shared" ca="1" si="70"/>
        <v>0.37062742280286848</v>
      </c>
      <c r="H950">
        <f t="shared" ca="1" si="74"/>
        <v>2.7018552406857146</v>
      </c>
    </row>
    <row r="951" spans="1:8" x14ac:dyDescent="0.25">
      <c r="A951" s="1">
        <v>41557</v>
      </c>
      <c r="B951">
        <v>432.49964319999998</v>
      </c>
      <c r="C951" s="6">
        <v>-1.4465019783873897E-2</v>
      </c>
      <c r="D951" s="6">
        <f t="shared" ca="1" si="72"/>
        <v>7.2674197756210489E-3</v>
      </c>
      <c r="E951" s="6">
        <f t="shared" ca="1" si="73"/>
        <v>2.1732439559494946E-2</v>
      </c>
      <c r="F951">
        <f t="shared" ca="1" si="71"/>
        <v>9.625810509679332E-3</v>
      </c>
      <c r="G951">
        <f t="shared" ca="1" si="70"/>
        <v>0.10241797185224194</v>
      </c>
      <c r="H951">
        <f t="shared" ca="1" si="74"/>
        <v>2.394848764535443</v>
      </c>
    </row>
    <row r="952" spans="1:8" x14ac:dyDescent="0.25">
      <c r="A952" s="5">
        <v>41558</v>
      </c>
      <c r="B952">
        <v>434.36762700000003</v>
      </c>
      <c r="C952" s="6">
        <v>-4.3190412509455855E-3</v>
      </c>
      <c r="D952" s="6">
        <f t="shared" ca="1" si="72"/>
        <v>-7.0487339575143479E-3</v>
      </c>
      <c r="E952" s="6">
        <f t="shared" ca="1" si="73"/>
        <v>-2.7296927065687624E-3</v>
      </c>
      <c r="F952">
        <f t="shared" ca="1" si="71"/>
        <v>7.3175257540036183E-3</v>
      </c>
      <c r="G952">
        <f t="shared" ca="1" si="70"/>
        <v>-0.80527737531658172</v>
      </c>
      <c r="H952">
        <f t="shared" ca="1" si="74"/>
        <v>2.8133179650355853</v>
      </c>
    </row>
    <row r="953" spans="1:8" x14ac:dyDescent="0.25">
      <c r="A953" s="1">
        <v>41561</v>
      </c>
      <c r="B953">
        <v>436.41993789999998</v>
      </c>
      <c r="C953" s="6">
        <v>-4.7248247162764547E-3</v>
      </c>
      <c r="D953" s="6">
        <f t="shared" ca="1" si="72"/>
        <v>-1.7541827004120866E-2</v>
      </c>
      <c r="E953" s="6">
        <f t="shared" ca="1" si="73"/>
        <v>-1.2817002287844412E-2</v>
      </c>
      <c r="F953">
        <f t="shared" ca="1" si="71"/>
        <v>1.4518571097936129E-2</v>
      </c>
      <c r="G953">
        <f t="shared" ca="1" si="70"/>
        <v>-0.75933373140231508</v>
      </c>
      <c r="H953">
        <f t="shared" ca="1" si="74"/>
        <v>2.6783244554087302</v>
      </c>
    </row>
    <row r="954" spans="1:8" x14ac:dyDescent="0.25">
      <c r="A954" s="5">
        <v>41562</v>
      </c>
      <c r="B954">
        <v>439.35893829999998</v>
      </c>
      <c r="C954" s="6">
        <v>-6.7343403560848128E-3</v>
      </c>
      <c r="D954" s="6">
        <f t="shared" ca="1" si="72"/>
        <v>-3.1972611972233278E-3</v>
      </c>
      <c r="E954" s="6">
        <f t="shared" ca="1" si="73"/>
        <v>3.537079158861485E-3</v>
      </c>
      <c r="F954">
        <f t="shared" ca="1" si="71"/>
        <v>1.4239632044849385E-2</v>
      </c>
      <c r="G954">
        <f t="shared" ca="1" si="70"/>
        <v>-8.7868078742301042E-2</v>
      </c>
      <c r="H954">
        <f t="shared" ca="1" si="74"/>
        <v>2.8067397083222514</v>
      </c>
    </row>
    <row r="955" spans="1:8" x14ac:dyDescent="0.25">
      <c r="A955" s="1">
        <v>41563</v>
      </c>
      <c r="B955">
        <v>447.33902399999999</v>
      </c>
      <c r="C955" s="6">
        <v>-1.8163021175527132E-2</v>
      </c>
      <c r="D955" s="6">
        <f t="shared" ca="1" si="72"/>
        <v>2.1625885380049214E-3</v>
      </c>
      <c r="E955" s="6">
        <f t="shared" ca="1" si="73"/>
        <v>2.0325609713532054E-2</v>
      </c>
      <c r="F955">
        <f t="shared" ca="1" si="71"/>
        <v>7.735506918933762E-3</v>
      </c>
      <c r="G955">
        <f t="shared" ca="1" si="70"/>
        <v>0.55477972669498399</v>
      </c>
      <c r="H955">
        <f t="shared" ca="1" si="74"/>
        <v>2.4475384091190597</v>
      </c>
    </row>
    <row r="956" spans="1:8" x14ac:dyDescent="0.25">
      <c r="A956" s="5">
        <v>41564</v>
      </c>
      <c r="B956">
        <v>442.73626330000002</v>
      </c>
      <c r="C956" s="6">
        <v>1.0289200031875547E-2</v>
      </c>
      <c r="D956" s="6">
        <f t="shared" ca="1" si="72"/>
        <v>-9.6777077751730584E-3</v>
      </c>
      <c r="E956" s="6">
        <f t="shared" ca="1" si="73"/>
        <v>-1.9966907807048608E-2</v>
      </c>
      <c r="F956">
        <f t="shared" ca="1" si="71"/>
        <v>1.1220223641998071E-2</v>
      </c>
      <c r="G956">
        <f t="shared" ca="1" si="70"/>
        <v>-0.59207408744749102</v>
      </c>
      <c r="H956">
        <f t="shared" ca="1" si="74"/>
        <v>2.4738795345278275</v>
      </c>
    </row>
    <row r="957" spans="1:8" x14ac:dyDescent="0.25">
      <c r="A957" s="1">
        <v>41565</v>
      </c>
      <c r="B957">
        <v>503.81742259999999</v>
      </c>
      <c r="C957" s="6">
        <v>-0.13796285591047489</v>
      </c>
      <c r="D957" s="6">
        <f t="shared" ca="1" si="72"/>
        <v>1.985577198456099E-2</v>
      </c>
      <c r="E957" s="6">
        <f t="shared" ca="1" si="73"/>
        <v>0.15781862789503587</v>
      </c>
      <c r="F957">
        <f t="shared" ca="1" si="71"/>
        <v>1.1865572962120928E-2</v>
      </c>
      <c r="G957">
        <f t="shared" ca="1" si="70"/>
        <v>2.3630613373194449</v>
      </c>
      <c r="H957">
        <f t="shared" ca="1" si="74"/>
        <v>-19.21402109905117</v>
      </c>
    </row>
    <row r="958" spans="1:8" x14ac:dyDescent="0.25">
      <c r="A958" s="5">
        <v>41568</v>
      </c>
      <c r="B958">
        <v>499.77755999999999</v>
      </c>
      <c r="C958" s="6">
        <v>8.0185051544106566E-3</v>
      </c>
      <c r="D958" s="6">
        <f t="shared" ca="1" si="72"/>
        <v>4.1642080007243058E-2</v>
      </c>
      <c r="E958" s="6">
        <f t="shared" ca="1" si="73"/>
        <v>3.3623574852832405E-2</v>
      </c>
      <c r="F958">
        <f t="shared" ca="1" si="71"/>
        <v>3.8104926725947182E-2</v>
      </c>
      <c r="G958">
        <f t="shared" ca="1" si="70"/>
        <v>0.97122590026341482</v>
      </c>
      <c r="H958">
        <f t="shared" ca="1" si="74"/>
        <v>1.8099477405572917</v>
      </c>
    </row>
    <row r="959" spans="1:8" x14ac:dyDescent="0.25">
      <c r="A959" s="1">
        <v>41569</v>
      </c>
      <c r="B959">
        <v>501.62067209999998</v>
      </c>
      <c r="C959" s="6">
        <v>-3.6878648573176933E-3</v>
      </c>
      <c r="D959" s="6">
        <f t="shared" ca="1" si="72"/>
        <v>-7.6455928446274329E-2</v>
      </c>
      <c r="E959" s="6">
        <f t="shared" ca="1" si="73"/>
        <v>-7.2768063588956641E-2</v>
      </c>
      <c r="F959">
        <f t="shared" ca="1" si="71"/>
        <v>1.9321187076032014E-2</v>
      </c>
      <c r="G959">
        <f t="shared" ca="1" si="70"/>
        <v>-0.73991009262419283</v>
      </c>
      <c r="H959">
        <f t="shared" ca="1" si="74"/>
        <v>-1.8294103039241141</v>
      </c>
    </row>
    <row r="960" spans="1:8" x14ac:dyDescent="0.25">
      <c r="A960" s="5">
        <v>41570</v>
      </c>
      <c r="B960">
        <v>513.78011700000002</v>
      </c>
      <c r="C960" s="6">
        <v>-2.4240318583951835E-2</v>
      </c>
      <c r="D960" s="6">
        <f t="shared" ca="1" si="72"/>
        <v>-1.2465844548196369E-2</v>
      </c>
      <c r="E960" s="6">
        <f t="shared" ca="1" si="73"/>
        <v>1.1774474035755466E-2</v>
      </c>
      <c r="F960">
        <f t="shared" ca="1" si="71"/>
        <v>1.434524837323586E-2</v>
      </c>
      <c r="G960">
        <f t="shared" ca="1" si="70"/>
        <v>-1.1208294295794545</v>
      </c>
      <c r="H960">
        <f t="shared" ca="1" si="74"/>
        <v>2.6926567535771628</v>
      </c>
    </row>
    <row r="961" spans="1:8" x14ac:dyDescent="0.25">
      <c r="A961" s="1">
        <v>41571</v>
      </c>
      <c r="B961">
        <v>510.86104440000003</v>
      </c>
      <c r="C961" s="6">
        <v>5.6815600748520061E-3</v>
      </c>
      <c r="D961" s="6">
        <f t="shared" ca="1" si="72"/>
        <v>8.1818293712580554E-3</v>
      </c>
      <c r="E961" s="6">
        <f t="shared" ca="1" si="73"/>
        <v>2.5002692964060493E-3</v>
      </c>
      <c r="F961">
        <f t="shared" ca="1" si="71"/>
        <v>1.930312325810735E-2</v>
      </c>
      <c r="G961">
        <f t="shared" ca="1" si="70"/>
        <v>0.50996013657132255</v>
      </c>
      <c r="H961">
        <f t="shared" ca="1" si="74"/>
        <v>2.8126132997350863</v>
      </c>
    </row>
    <row r="962" spans="1:8" x14ac:dyDescent="0.25">
      <c r="A962" s="5">
        <v>41572</v>
      </c>
      <c r="B962">
        <v>505.70536559999999</v>
      </c>
      <c r="C962" s="6">
        <v>1.0092135339963754E-2</v>
      </c>
      <c r="D962" s="6">
        <f t="shared" ca="1" si="72"/>
        <v>-2.259092274284101E-2</v>
      </c>
      <c r="E962" s="6">
        <f t="shared" ca="1" si="73"/>
        <v>-3.2683058082804764E-2</v>
      </c>
      <c r="F962">
        <f t="shared" ca="1" si="71"/>
        <v>1.1566641721089928E-2</v>
      </c>
      <c r="G962">
        <f t="shared" ca="1" si="70"/>
        <v>-1.0088817190593424</v>
      </c>
      <c r="H962">
        <f t="shared" ca="1" si="74"/>
        <v>1.8873401497557931</v>
      </c>
    </row>
    <row r="963" spans="1:8" x14ac:dyDescent="0.25">
      <c r="A963" s="1">
        <v>41575</v>
      </c>
      <c r="B963">
        <v>505.60572509999997</v>
      </c>
      <c r="C963" s="6">
        <v>1.9703271267806555E-4</v>
      </c>
      <c r="D963" s="6">
        <f t="shared" ca="1" si="72"/>
        <v>-8.9351156506236595E-3</v>
      </c>
      <c r="E963" s="6">
        <f t="shared" ca="1" si="73"/>
        <v>-9.1321483633017252E-3</v>
      </c>
      <c r="F963">
        <f t="shared" ca="1" si="71"/>
        <v>1.7560007861142739E-2</v>
      </c>
      <c r="G963">
        <f t="shared" ref="G963:G1026" ca="1" si="75">_xlfn.NORM.INV(RAND(),0,1)</f>
        <v>-0.65462093742511118</v>
      </c>
      <c r="H963">
        <f t="shared" ca="1" si="74"/>
        <v>2.7484567054811984</v>
      </c>
    </row>
    <row r="964" spans="1:8" x14ac:dyDescent="0.25">
      <c r="A964" s="5">
        <v>41576</v>
      </c>
      <c r="B964">
        <v>516.18606590000002</v>
      </c>
      <c r="C964" s="6">
        <v>-2.0926070008221203E-2</v>
      </c>
      <c r="D964" s="6">
        <f t="shared" ca="1" si="72"/>
        <v>-2.7760541549693811E-3</v>
      </c>
      <c r="E964" s="6">
        <f t="shared" ca="1" si="73"/>
        <v>1.8150015853251822E-2</v>
      </c>
      <c r="F964">
        <f t="shared" ref="F964:F1027" ca="1" si="76">SQRT($K$6+$K$7*POWER($G963,2)+$K$8*POWER($F963,2))</f>
        <v>1.3110627345663704E-2</v>
      </c>
      <c r="G964">
        <f t="shared" ca="1" si="75"/>
        <v>-0.55856509837938562</v>
      </c>
      <c r="H964">
        <f t="shared" ca="1" si="74"/>
        <v>2.5221423889406247</v>
      </c>
    </row>
    <row r="965" spans="1:8" x14ac:dyDescent="0.25">
      <c r="A965" s="1">
        <v>41577</v>
      </c>
      <c r="B965">
        <v>513.28695200000004</v>
      </c>
      <c r="C965" s="6">
        <v>5.6164125526038822E-3</v>
      </c>
      <c r="D965" s="6">
        <f t="shared" ref="D965:D1028" ca="1" si="77">($K$10*$C964)+($K$11*$C963)+($F965*$G965)</f>
        <v>-8.3038563113288846E-3</v>
      </c>
      <c r="E965" s="6">
        <f t="shared" ca="1" si="73"/>
        <v>-1.3920268863932767E-2</v>
      </c>
      <c r="F965">
        <f t="shared" ca="1" si="76"/>
        <v>1.1578281697539375E-2</v>
      </c>
      <c r="G965">
        <f t="shared" ca="1" si="75"/>
        <v>-0.72482988780821977</v>
      </c>
      <c r="H965">
        <f t="shared" ca="1" si="74"/>
        <v>2.6526646684105755</v>
      </c>
    </row>
    <row r="966" spans="1:8" x14ac:dyDescent="0.25">
      <c r="A966" s="5">
        <v>41578</v>
      </c>
      <c r="B966">
        <v>513.3666637</v>
      </c>
      <c r="C966" s="6">
        <v>-1.5529656401622622E-4</v>
      </c>
      <c r="D966" s="6">
        <f t="shared" ca="1" si="77"/>
        <v>-6.5467441065985262E-3</v>
      </c>
      <c r="E966" s="6">
        <f t="shared" ref="E966:E1029" ca="1" si="78">$D966-$C966</f>
        <v>-6.3914475425823E-3</v>
      </c>
      <c r="F966">
        <f t="shared" ca="1" si="76"/>
        <v>1.3604368805916024E-2</v>
      </c>
      <c r="G966">
        <f t="shared" ca="1" si="75"/>
        <v>0.21181053919921147</v>
      </c>
      <c r="H966">
        <f t="shared" ref="H966:H1029" ca="1" si="79">LN(_xlfn.NORM.DIST($E966,AVERAGE($E$5:$E$1763),_xlfn.STDEV.S($E$5:$E$1763),FALSE))</f>
        <v>2.7850782904219664</v>
      </c>
    </row>
    <row r="967" spans="1:8" x14ac:dyDescent="0.25">
      <c r="A967" s="1">
        <v>41579</v>
      </c>
      <c r="B967">
        <v>511.6032639</v>
      </c>
      <c r="C967" s="6">
        <v>3.4349713853459199E-3</v>
      </c>
      <c r="D967" s="6">
        <f t="shared" ca="1" si="77"/>
        <v>2.2991990718395079E-3</v>
      </c>
      <c r="E967" s="6">
        <f t="shared" ca="1" si="78"/>
        <v>-1.135772313506412E-3</v>
      </c>
      <c r="F967">
        <f t="shared" ca="1" si="76"/>
        <v>8.2471205861475542E-3</v>
      </c>
      <c r="G967">
        <f t="shared" ca="1" si="75"/>
        <v>-2.804759691574071E-2</v>
      </c>
      <c r="H967">
        <f t="shared" ca="1" si="79"/>
        <v>2.8182176951986539</v>
      </c>
    </row>
    <row r="968" spans="1:8" x14ac:dyDescent="0.25">
      <c r="A968" s="5">
        <v>41582</v>
      </c>
      <c r="B968">
        <v>511.14000629999998</v>
      </c>
      <c r="C968" s="6">
        <v>9.0550165076853397E-4</v>
      </c>
      <c r="D968" s="6">
        <f t="shared" ca="1" si="77"/>
        <v>-3.1577339626548736E-3</v>
      </c>
      <c r="E968" s="6">
        <f t="shared" ca="1" si="78"/>
        <v>-4.0632356134234077E-3</v>
      </c>
      <c r="F968">
        <f t="shared" ca="1" si="76"/>
        <v>7.0394509488515269E-3</v>
      </c>
      <c r="G968">
        <f t="shared" ca="1" si="75"/>
        <v>-0.43864512464692318</v>
      </c>
      <c r="H968">
        <f t="shared" ca="1" si="79"/>
        <v>2.8057735114176054</v>
      </c>
    </row>
    <row r="969" spans="1:8" x14ac:dyDescent="0.25">
      <c r="A969" s="1">
        <v>41583</v>
      </c>
      <c r="B969">
        <v>508.85356439999998</v>
      </c>
      <c r="C969" s="6">
        <v>4.47322039327525E-3</v>
      </c>
      <c r="D969" s="6">
        <f t="shared" ca="1" si="77"/>
        <v>-8.365842988995122E-3</v>
      </c>
      <c r="E969" s="6">
        <f t="shared" ca="1" si="78"/>
        <v>-1.2839063382270373E-2</v>
      </c>
      <c r="F969">
        <f t="shared" ca="1" si="76"/>
        <v>9.8161609021091695E-3</v>
      </c>
      <c r="G969">
        <f t="shared" ca="1" si="75"/>
        <v>-1.0099170339299417</v>
      </c>
      <c r="H969">
        <f t="shared" ca="1" si="79"/>
        <v>2.6778324077288911</v>
      </c>
    </row>
    <row r="970" spans="1:8" x14ac:dyDescent="0.25">
      <c r="A970" s="5">
        <v>41584</v>
      </c>
      <c r="B970">
        <v>509.46626689999999</v>
      </c>
      <c r="C970" s="6">
        <v>-1.2040841272723758E-3</v>
      </c>
      <c r="D970" s="6">
        <f t="shared" ca="1" si="77"/>
        <v>-5.0062705307302047E-3</v>
      </c>
      <c r="E970" s="6">
        <f t="shared" ca="1" si="78"/>
        <v>-3.8021864034578287E-3</v>
      </c>
      <c r="F970">
        <f t="shared" ca="1" si="76"/>
        <v>1.7507218847286385E-2</v>
      </c>
      <c r="G970">
        <f t="shared" ca="1" si="75"/>
        <v>-0.30926240237851871</v>
      </c>
      <c r="H970">
        <f t="shared" ca="1" si="79"/>
        <v>2.8074974567385307</v>
      </c>
    </row>
    <row r="971" spans="1:8" x14ac:dyDescent="0.25">
      <c r="A971" s="1">
        <v>41585</v>
      </c>
      <c r="B971">
        <v>502.09387839999999</v>
      </c>
      <c r="C971" s="6">
        <v>1.4470807939570767E-2</v>
      </c>
      <c r="D971" s="6">
        <f t="shared" ca="1" si="77"/>
        <v>-6.8497610216285715E-3</v>
      </c>
      <c r="E971" s="6">
        <f t="shared" ca="1" si="78"/>
        <v>-2.132056896119934E-2</v>
      </c>
      <c r="F971">
        <f t="shared" ca="1" si="76"/>
        <v>9.4037614549385886E-3</v>
      </c>
      <c r="G971">
        <f t="shared" ca="1" si="75"/>
        <v>-0.94272718005135903</v>
      </c>
      <c r="H971">
        <f t="shared" ca="1" si="79"/>
        <v>2.4250146227766831</v>
      </c>
    </row>
    <row r="972" spans="1:8" x14ac:dyDescent="0.25">
      <c r="A972" s="5">
        <v>41586</v>
      </c>
      <c r="B972">
        <v>506.11881840000001</v>
      </c>
      <c r="C972" s="6">
        <v>-8.0163096447742211E-3</v>
      </c>
      <c r="D972" s="6">
        <f t="shared" ca="1" si="77"/>
        <v>-7.6487135449111263E-3</v>
      </c>
      <c r="E972" s="6">
        <f t="shared" ca="1" si="78"/>
        <v>3.6759609986309477E-4</v>
      </c>
      <c r="F972">
        <f t="shared" ca="1" si="76"/>
        <v>1.6527356265960563E-2</v>
      </c>
      <c r="G972">
        <f t="shared" ca="1" si="75"/>
        <v>-0.42998071529989362</v>
      </c>
      <c r="H972">
        <f t="shared" ca="1" si="79"/>
        <v>2.8187298994909513</v>
      </c>
    </row>
    <row r="973" spans="1:8" x14ac:dyDescent="0.25">
      <c r="A973" s="1">
        <v>41589</v>
      </c>
      <c r="B973">
        <v>503.40897460000002</v>
      </c>
      <c r="C973" s="6">
        <v>5.354165270057833E-3</v>
      </c>
      <c r="D973" s="6">
        <f t="shared" ca="1" si="77"/>
        <v>1.9012470975351876E-2</v>
      </c>
      <c r="E973" s="6">
        <f t="shared" ca="1" si="78"/>
        <v>1.3658305705294043E-2</v>
      </c>
      <c r="F973">
        <f t="shared" ca="1" si="76"/>
        <v>1.0423873499126901E-2</v>
      </c>
      <c r="G973">
        <f t="shared" ca="1" si="75"/>
        <v>1.198468197575796</v>
      </c>
      <c r="H973">
        <f t="shared" ca="1" si="79"/>
        <v>2.6497407764916239</v>
      </c>
    </row>
    <row r="974" spans="1:8" x14ac:dyDescent="0.25">
      <c r="A974" s="5">
        <v>41590</v>
      </c>
      <c r="B974">
        <v>504.00174920000001</v>
      </c>
      <c r="C974" s="6">
        <v>-1.1775209221706717E-3</v>
      </c>
      <c r="D974" s="6">
        <f t="shared" ca="1" si="77"/>
        <v>-1.6418488291230687E-2</v>
      </c>
      <c r="E974" s="6">
        <f t="shared" ca="1" si="78"/>
        <v>-1.5240967369060016E-2</v>
      </c>
      <c r="F974">
        <f t="shared" ca="1" si="76"/>
        <v>2.0286209813320698E-2</v>
      </c>
      <c r="G974">
        <f t="shared" ca="1" si="75"/>
        <v>-0.63130437723103872</v>
      </c>
      <c r="H974">
        <f t="shared" ca="1" si="79"/>
        <v>2.6191227275683073</v>
      </c>
    </row>
    <row r="975" spans="1:8" x14ac:dyDescent="0.25">
      <c r="A975" s="1">
        <v>41591</v>
      </c>
      <c r="B975">
        <v>514.30813290000003</v>
      </c>
      <c r="C975" s="6">
        <v>-2.0449103036565466E-2</v>
      </c>
      <c r="D975" s="6">
        <f t="shared" ca="1" si="77"/>
        <v>9.4652086746718246E-3</v>
      </c>
      <c r="E975" s="6">
        <f t="shared" ca="1" si="78"/>
        <v>2.991431171123729E-2</v>
      </c>
      <c r="F975">
        <f t="shared" ca="1" si="76"/>
        <v>1.3073910091875012E-2</v>
      </c>
      <c r="G975">
        <f t="shared" ca="1" si="75"/>
        <v>0.53946155944100127</v>
      </c>
      <c r="H975">
        <f t="shared" ca="1" si="79"/>
        <v>2.0191811856152713</v>
      </c>
    </row>
    <row r="976" spans="1:8" x14ac:dyDescent="0.25">
      <c r="A976" s="5">
        <v>41592</v>
      </c>
      <c r="B976">
        <v>515.68295220000005</v>
      </c>
      <c r="C976" s="6">
        <v>-2.6731432230089332E-3</v>
      </c>
      <c r="D976" s="6">
        <f t="shared" ca="1" si="77"/>
        <v>3.0138290228018463E-3</v>
      </c>
      <c r="E976" s="6">
        <f t="shared" ca="1" si="78"/>
        <v>5.6869722458107799E-3</v>
      </c>
      <c r="F976">
        <f t="shared" ca="1" si="76"/>
        <v>1.1346544278136347E-2</v>
      </c>
      <c r="G976">
        <f t="shared" ca="1" si="75"/>
        <v>0.31240414607399331</v>
      </c>
      <c r="H976">
        <f t="shared" ca="1" si="79"/>
        <v>2.7885144729151317</v>
      </c>
    </row>
    <row r="977" spans="1:8" x14ac:dyDescent="0.25">
      <c r="A977" s="1">
        <v>41593</v>
      </c>
      <c r="B977">
        <v>514.85110269999996</v>
      </c>
      <c r="C977" s="6">
        <v>1.6131025787283905E-3</v>
      </c>
      <c r="D977" s="6">
        <f t="shared" ca="1" si="77"/>
        <v>-1.6383529196033676E-2</v>
      </c>
      <c r="E977" s="6">
        <f t="shared" ca="1" si="78"/>
        <v>-1.7996631774762066E-2</v>
      </c>
      <c r="F977">
        <f t="shared" ca="1" si="76"/>
        <v>8.8115461221781859E-3</v>
      </c>
      <c r="G977">
        <f t="shared" ca="1" si="75"/>
        <v>-0.81370510353865988</v>
      </c>
      <c r="H977">
        <f t="shared" ca="1" si="79"/>
        <v>2.5392237638283848</v>
      </c>
    </row>
    <row r="978" spans="1:8" x14ac:dyDescent="0.25">
      <c r="A978" s="5">
        <v>41596</v>
      </c>
      <c r="B978">
        <v>513.84981919999996</v>
      </c>
      <c r="C978" s="6">
        <v>1.9448020888933402E-3</v>
      </c>
      <c r="D978" s="6">
        <f t="shared" ca="1" si="77"/>
        <v>3.5374804548251662E-2</v>
      </c>
      <c r="E978" s="6">
        <f t="shared" ca="1" si="78"/>
        <v>3.3430002459358323E-2</v>
      </c>
      <c r="F978">
        <f t="shared" ca="1" si="76"/>
        <v>1.4687869449468659E-2</v>
      </c>
      <c r="G978">
        <f t="shared" ca="1" si="75"/>
        <v>2.4904347887390275</v>
      </c>
      <c r="H978">
        <f t="shared" ca="1" si="79"/>
        <v>1.821467407688341</v>
      </c>
    </row>
    <row r="979" spans="1:8" x14ac:dyDescent="0.25">
      <c r="A979" s="1">
        <v>41597</v>
      </c>
      <c r="B979">
        <v>510.68669740000001</v>
      </c>
      <c r="C979" s="6">
        <v>6.1557320481780611E-3</v>
      </c>
      <c r="D979" s="6">
        <f t="shared" ca="1" si="77"/>
        <v>3.7045388739219413E-2</v>
      </c>
      <c r="E979" s="6">
        <f t="shared" ca="1" si="78"/>
        <v>3.0889656691041351E-2</v>
      </c>
      <c r="F979">
        <f t="shared" ca="1" si="76"/>
        <v>4.0143644636219042E-2</v>
      </c>
      <c r="G979">
        <f t="shared" ca="1" si="75"/>
        <v>0.90471511408148519</v>
      </c>
      <c r="H979">
        <f t="shared" ca="1" si="79"/>
        <v>1.9665167313501002</v>
      </c>
    </row>
    <row r="980" spans="1:8" x14ac:dyDescent="0.25">
      <c r="A980" s="5">
        <v>41598</v>
      </c>
      <c r="B980">
        <v>509.24708889999999</v>
      </c>
      <c r="C980" s="6">
        <v>2.8189661241017861E-3</v>
      </c>
      <c r="D980" s="6">
        <f t="shared" ca="1" si="77"/>
        <v>-8.6379044647556264E-3</v>
      </c>
      <c r="E980" s="6">
        <f t="shared" ca="1" si="78"/>
        <v>-1.1456870588857412E-2</v>
      </c>
      <c r="F980">
        <f t="shared" ca="1" si="76"/>
        <v>1.876674896710329E-2</v>
      </c>
      <c r="G980">
        <f t="shared" ca="1" si="75"/>
        <v>-0.5069738156459338</v>
      </c>
      <c r="H980">
        <f t="shared" ca="1" si="79"/>
        <v>2.7070016115937499</v>
      </c>
    </row>
    <row r="981" spans="1:8" x14ac:dyDescent="0.25">
      <c r="A981" s="1">
        <v>41599</v>
      </c>
      <c r="B981">
        <v>515.10513149999997</v>
      </c>
      <c r="C981" s="6">
        <v>-1.1503340377759744E-2</v>
      </c>
      <c r="D981" s="6">
        <f t="shared" ca="1" si="77"/>
        <v>1.5746936460397772E-2</v>
      </c>
      <c r="E981" s="6">
        <f t="shared" ca="1" si="78"/>
        <v>2.7250276838157516E-2</v>
      </c>
      <c r="F981">
        <f t="shared" ca="1" si="76"/>
        <v>1.1477436134206523E-2</v>
      </c>
      <c r="G981">
        <f t="shared" ca="1" si="75"/>
        <v>1.1303379947641554</v>
      </c>
      <c r="H981">
        <f t="shared" ca="1" si="79"/>
        <v>2.1544716014024075</v>
      </c>
    </row>
    <row r="982" spans="1:8" x14ac:dyDescent="0.25">
      <c r="A982" s="5">
        <v>41600</v>
      </c>
      <c r="B982">
        <v>514.01919190000001</v>
      </c>
      <c r="C982" s="6">
        <v>2.1081902190290269E-3</v>
      </c>
      <c r="D982" s="6">
        <f t="shared" ca="1" si="77"/>
        <v>-1.4642395535841408E-2</v>
      </c>
      <c r="E982" s="6">
        <f t="shared" ca="1" si="78"/>
        <v>-1.6750585754870435E-2</v>
      </c>
      <c r="F982">
        <f t="shared" ca="1" si="76"/>
        <v>1.93202435484526E-2</v>
      </c>
      <c r="G982">
        <f t="shared" ca="1" si="75"/>
        <v>-0.82360814548010497</v>
      </c>
      <c r="H982">
        <f t="shared" ca="1" si="79"/>
        <v>2.5770121780792521</v>
      </c>
    </row>
    <row r="983" spans="1:8" x14ac:dyDescent="0.25">
      <c r="A983" s="1">
        <v>41603</v>
      </c>
      <c r="B983">
        <v>521.01303919999998</v>
      </c>
      <c r="C983" s="6">
        <v>-1.360619877664138E-2</v>
      </c>
      <c r="D983" s="6">
        <f t="shared" ca="1" si="77"/>
        <v>-1.9758774768553456E-3</v>
      </c>
      <c r="E983" s="6">
        <f t="shared" ca="1" si="78"/>
        <v>1.1630321299786034E-2</v>
      </c>
      <c r="F983">
        <f t="shared" ca="1" si="76"/>
        <v>1.5444950583002888E-2</v>
      </c>
      <c r="G983">
        <f t="shared" ca="1" si="75"/>
        <v>0.2076405017843046</v>
      </c>
      <c r="H983">
        <f t="shared" ca="1" si="79"/>
        <v>2.6956827433693569</v>
      </c>
    </row>
    <row r="984" spans="1:8" x14ac:dyDescent="0.25">
      <c r="A984" s="5">
        <v>41604</v>
      </c>
      <c r="B984">
        <v>527.2297251</v>
      </c>
      <c r="C984" s="6">
        <v>-1.1931919994834587E-2</v>
      </c>
      <c r="D984" s="6">
        <f t="shared" ca="1" si="77"/>
        <v>5.6703739215760657E-3</v>
      </c>
      <c r="E984" s="6">
        <f t="shared" ca="1" si="78"/>
        <v>1.7602293916410654E-2</v>
      </c>
      <c r="F984">
        <f t="shared" ca="1" si="76"/>
        <v>8.4243031742859426E-3</v>
      </c>
      <c r="G984">
        <f t="shared" ca="1" si="75"/>
        <v>0.56037148574336226</v>
      </c>
      <c r="H984">
        <f t="shared" ca="1" si="79"/>
        <v>2.5396081653689246</v>
      </c>
    </row>
    <row r="985" spans="1:8" x14ac:dyDescent="0.25">
      <c r="A985" s="1">
        <v>41605</v>
      </c>
      <c r="B985">
        <v>529.57097650000003</v>
      </c>
      <c r="C985" s="6">
        <v>-4.4406665416218067E-3</v>
      </c>
      <c r="D985" s="6">
        <f t="shared" ca="1" si="77"/>
        <v>-1.2826186546286852E-2</v>
      </c>
      <c r="E985" s="6">
        <f t="shared" ca="1" si="78"/>
        <v>-8.3855200046650466E-3</v>
      </c>
      <c r="F985">
        <f t="shared" ca="1" si="76"/>
        <v>1.1320806573880626E-2</v>
      </c>
      <c r="G985">
        <f t="shared" ca="1" si="75"/>
        <v>-0.59144391253724349</v>
      </c>
      <c r="H985">
        <f t="shared" ca="1" si="79"/>
        <v>2.7597471157708267</v>
      </c>
    </row>
    <row r="986" spans="1:8" x14ac:dyDescent="0.25">
      <c r="A986" s="5">
        <v>41607</v>
      </c>
      <c r="B986">
        <v>527.81749449999995</v>
      </c>
      <c r="C986" s="6">
        <v>3.3111368972466265E-3</v>
      </c>
      <c r="D986" s="6">
        <f t="shared" ca="1" si="77"/>
        <v>-7.2564914880095116E-3</v>
      </c>
      <c r="E986" s="6">
        <f t="shared" ca="1" si="78"/>
        <v>-1.0567628385256139E-2</v>
      </c>
      <c r="F986">
        <f t="shared" ca="1" si="76"/>
        <v>1.1863765202961821E-2</v>
      </c>
      <c r="G986">
        <f t="shared" ca="1" si="75"/>
        <v>-0.15850017691399726</v>
      </c>
      <c r="H986">
        <f t="shared" ca="1" si="79"/>
        <v>2.7239853074350582</v>
      </c>
    </row>
    <row r="987" spans="1:8" x14ac:dyDescent="0.25">
      <c r="A987" s="1">
        <v>41610</v>
      </c>
      <c r="B987">
        <v>525.27207980000003</v>
      </c>
      <c r="C987" s="6">
        <v>4.8225281020879921E-3</v>
      </c>
      <c r="D987" s="6">
        <f t="shared" ca="1" si="77"/>
        <v>-1.1058264866031136E-2</v>
      </c>
      <c r="E987" s="6">
        <f t="shared" ca="1" si="78"/>
        <v>-1.5880792968119128E-2</v>
      </c>
      <c r="F987">
        <f t="shared" ca="1" si="76"/>
        <v>7.7627610189941344E-3</v>
      </c>
      <c r="G987">
        <f t="shared" ca="1" si="75"/>
        <v>-1.1667944644155965</v>
      </c>
      <c r="H987">
        <f t="shared" ca="1" si="79"/>
        <v>2.6017660168410504</v>
      </c>
    </row>
    <row r="988" spans="1:8" x14ac:dyDescent="0.25">
      <c r="A988" s="5">
        <v>41611</v>
      </c>
      <c r="B988">
        <v>524.6643517</v>
      </c>
      <c r="C988" s="6">
        <v>1.1569777328188217E-3</v>
      </c>
      <c r="D988" s="6">
        <f t="shared" ca="1" si="77"/>
        <v>-9.6265441367838437E-5</v>
      </c>
      <c r="E988" s="6">
        <f t="shared" ca="1" si="78"/>
        <v>-1.2532431741866601E-3</v>
      </c>
      <c r="F988">
        <f t="shared" ca="1" si="76"/>
        <v>1.974092781730993E-2</v>
      </c>
      <c r="G988">
        <f t="shared" ca="1" si="75"/>
        <v>-8.0452189277700842E-2</v>
      </c>
      <c r="H988">
        <f t="shared" ca="1" si="79"/>
        <v>2.8180096462048576</v>
      </c>
    </row>
    <row r="989" spans="1:8" x14ac:dyDescent="0.25">
      <c r="A989" s="1">
        <v>41612</v>
      </c>
      <c r="B989">
        <v>527.1151615</v>
      </c>
      <c r="C989" s="6">
        <v>-4.6711955787713984E-3</v>
      </c>
      <c r="D989" s="6">
        <f t="shared" ca="1" si="77"/>
        <v>4.9267181044843431E-3</v>
      </c>
      <c r="E989" s="6">
        <f t="shared" ca="1" si="78"/>
        <v>9.5979136832557415E-3</v>
      </c>
      <c r="F989">
        <f t="shared" ca="1" si="76"/>
        <v>8.4489153403695099E-3</v>
      </c>
      <c r="G989">
        <f t="shared" ca="1" si="75"/>
        <v>0.32594427048736102</v>
      </c>
      <c r="H989">
        <f t="shared" ca="1" si="79"/>
        <v>2.7344423288243438</v>
      </c>
    </row>
    <row r="990" spans="1:8" x14ac:dyDescent="0.25">
      <c r="A990" s="5">
        <v>41613</v>
      </c>
      <c r="B990">
        <v>526.69670389999999</v>
      </c>
      <c r="C990" s="6">
        <v>7.9386371435269496E-4</v>
      </c>
      <c r="D990" s="6">
        <f t="shared" ca="1" si="77"/>
        <v>1.7548701617129951E-2</v>
      </c>
      <c r="E990" s="6">
        <f t="shared" ca="1" si="78"/>
        <v>1.6754837902777257E-2</v>
      </c>
      <c r="F990">
        <f t="shared" ca="1" si="76"/>
        <v>8.7274602386135762E-3</v>
      </c>
      <c r="G990">
        <f t="shared" ca="1" si="75"/>
        <v>1.9510251655942612</v>
      </c>
      <c r="H990">
        <f t="shared" ca="1" si="79"/>
        <v>2.5655884660874726</v>
      </c>
    </row>
    <row r="991" spans="1:8" x14ac:dyDescent="0.25">
      <c r="A991" s="1">
        <v>41614</v>
      </c>
      <c r="B991">
        <v>532.9383527</v>
      </c>
      <c r="C991" s="6">
        <v>-1.1850556029272329E-2</v>
      </c>
      <c r="D991" s="6">
        <f t="shared" ca="1" si="77"/>
        <v>-4.4217742869473886E-2</v>
      </c>
      <c r="E991" s="6">
        <f t="shared" ca="1" si="78"/>
        <v>-3.2367186840201553E-2</v>
      </c>
      <c r="F991">
        <f t="shared" ca="1" si="76"/>
        <v>3.1667969970058558E-2</v>
      </c>
      <c r="G991">
        <f t="shared" ca="1" si="75"/>
        <v>-1.3298331575042361</v>
      </c>
      <c r="H991">
        <f t="shared" ca="1" si="79"/>
        <v>1.9053664771400869</v>
      </c>
    </row>
    <row r="992" spans="1:8" x14ac:dyDescent="0.25">
      <c r="A992" s="5">
        <v>41617</v>
      </c>
      <c r="B992">
        <v>537.05792750000001</v>
      </c>
      <c r="C992" s="6">
        <v>-7.7299274468223302E-3</v>
      </c>
      <c r="D992" s="6">
        <f t="shared" ca="1" si="77"/>
        <v>-5.4667132809651979E-3</v>
      </c>
      <c r="E992" s="6">
        <f t="shared" ca="1" si="78"/>
        <v>2.2632141658571322E-3</v>
      </c>
      <c r="F992">
        <f t="shared" ca="1" si="76"/>
        <v>2.3482049387761907E-2</v>
      </c>
      <c r="G992">
        <f t="shared" ca="1" si="75"/>
        <v>-0.24802767235262627</v>
      </c>
      <c r="H992">
        <f t="shared" ca="1" si="79"/>
        <v>2.8136897424247413</v>
      </c>
    </row>
    <row r="993" spans="1:8" x14ac:dyDescent="0.25">
      <c r="A993" s="1">
        <v>41618</v>
      </c>
      <c r="B993">
        <v>540.30573600000002</v>
      </c>
      <c r="C993" s="6">
        <v>-6.0474081727431893E-3</v>
      </c>
      <c r="D993" s="6">
        <f t="shared" ca="1" si="77"/>
        <v>-1.1800459063434011E-2</v>
      </c>
      <c r="E993" s="6">
        <f t="shared" ca="1" si="78"/>
        <v>-5.7530508906908214E-3</v>
      </c>
      <c r="F993">
        <f t="shared" ca="1" si="76"/>
        <v>9.7684677932028553E-3</v>
      </c>
      <c r="G993">
        <f t="shared" ca="1" si="75"/>
        <v>-0.66141193129526399</v>
      </c>
      <c r="H993">
        <f t="shared" ca="1" si="79"/>
        <v>2.7917049276351329</v>
      </c>
    </row>
    <row r="994" spans="1:8" x14ac:dyDescent="0.25">
      <c r="A994" s="5">
        <v>41619</v>
      </c>
      <c r="B994">
        <v>536.63446529999999</v>
      </c>
      <c r="C994" s="6">
        <v>6.7948023783335077E-3</v>
      </c>
      <c r="D994" s="6">
        <f t="shared" ca="1" si="77"/>
        <v>9.8407119248401665E-3</v>
      </c>
      <c r="E994" s="6">
        <f t="shared" ca="1" si="78"/>
        <v>3.0459095465066588E-3</v>
      </c>
      <c r="F994">
        <f t="shared" ca="1" si="76"/>
        <v>1.2673534450444474E-2</v>
      </c>
      <c r="G994">
        <f t="shared" ca="1" si="75"/>
        <v>1.0512919129523324</v>
      </c>
      <c r="H994">
        <f t="shared" ca="1" si="79"/>
        <v>2.8097587216400641</v>
      </c>
    </row>
    <row r="995" spans="1:8" x14ac:dyDescent="0.25">
      <c r="A995" s="1">
        <v>41620</v>
      </c>
      <c r="B995">
        <v>532.98315279999997</v>
      </c>
      <c r="C995" s="6">
        <v>6.8040961512950693E-3</v>
      </c>
      <c r="D995" s="6">
        <f t="shared" ca="1" si="77"/>
        <v>1.0120982399644063E-4</v>
      </c>
      <c r="E995" s="6">
        <f t="shared" ca="1" si="78"/>
        <v>-6.7028863272986291E-3</v>
      </c>
      <c r="F995">
        <f t="shared" ca="1" si="76"/>
        <v>1.8218954238639545E-2</v>
      </c>
      <c r="G995">
        <f t="shared" ca="1" si="75"/>
        <v>0.15510215395509136</v>
      </c>
      <c r="H995">
        <f t="shared" ca="1" si="79"/>
        <v>2.781584464336015</v>
      </c>
    </row>
    <row r="996" spans="1:8" x14ac:dyDescent="0.25">
      <c r="A996" s="5">
        <v>41621</v>
      </c>
      <c r="B996">
        <v>528.41527380000002</v>
      </c>
      <c r="C996" s="6">
        <v>8.5704003513109705E-3</v>
      </c>
      <c r="D996" s="6">
        <f t="shared" ca="1" si="77"/>
        <v>5.6915227904433263E-4</v>
      </c>
      <c r="E996" s="6">
        <f t="shared" ca="1" si="78"/>
        <v>-8.0012480722666379E-3</v>
      </c>
      <c r="F996">
        <f t="shared" ca="1" si="76"/>
        <v>8.4924390817387157E-3</v>
      </c>
      <c r="G996">
        <f t="shared" ca="1" si="75"/>
        <v>-0.29348523927563025</v>
      </c>
      <c r="H996">
        <f t="shared" ca="1" si="79"/>
        <v>2.7651745186616514</v>
      </c>
    </row>
    <row r="997" spans="1:8" x14ac:dyDescent="0.25">
      <c r="A997" s="1">
        <v>41624</v>
      </c>
      <c r="B997">
        <v>534.48754989999998</v>
      </c>
      <c r="C997" s="6">
        <v>-1.1491484824676454E-2</v>
      </c>
      <c r="D997" s="6">
        <f t="shared" ca="1" si="77"/>
        <v>-5.2786239860295354E-3</v>
      </c>
      <c r="E997" s="6">
        <f t="shared" ca="1" si="78"/>
        <v>6.2128608386469181E-3</v>
      </c>
      <c r="F997">
        <f t="shared" ca="1" si="76"/>
        <v>8.4369204001394551E-3</v>
      </c>
      <c r="G997">
        <f t="shared" ca="1" si="75"/>
        <v>-0.98903367290546773</v>
      </c>
      <c r="H997">
        <f t="shared" ca="1" si="79"/>
        <v>2.7828145718743742</v>
      </c>
    </row>
    <row r="998" spans="1:8" x14ac:dyDescent="0.25">
      <c r="A998" s="5">
        <v>41625</v>
      </c>
      <c r="B998">
        <v>532.93334800000002</v>
      </c>
      <c r="C998" s="6">
        <v>2.9078355525600855E-3</v>
      </c>
      <c r="D998" s="6">
        <f t="shared" ca="1" si="77"/>
        <v>-8.11853881249152E-3</v>
      </c>
      <c r="E998" s="6">
        <f t="shared" ca="1" si="78"/>
        <v>-1.1026374365051606E-2</v>
      </c>
      <c r="F998">
        <f t="shared" ca="1" si="76"/>
        <v>1.7159677868134136E-2</v>
      </c>
      <c r="G998">
        <f t="shared" ca="1" si="75"/>
        <v>-0.69813676157996729</v>
      </c>
      <c r="H998">
        <f t="shared" ca="1" si="79"/>
        <v>2.7153979678699556</v>
      </c>
    </row>
    <row r="999" spans="1:8" x14ac:dyDescent="0.25">
      <c r="A999" s="1">
        <v>41626</v>
      </c>
      <c r="B999">
        <v>540.35053600000003</v>
      </c>
      <c r="C999" s="6">
        <v>-1.3917665366288938E-2</v>
      </c>
      <c r="D999" s="6">
        <f t="shared" ca="1" si="77"/>
        <v>-9.1607114398126448E-4</v>
      </c>
      <c r="E999" s="6">
        <f t="shared" ca="1" si="78"/>
        <v>1.3001594222307674E-2</v>
      </c>
      <c r="F999">
        <f t="shared" ca="1" si="76"/>
        <v>1.3628810330825815E-2</v>
      </c>
      <c r="G999">
        <f t="shared" ca="1" si="75"/>
        <v>0.31267944083159038</v>
      </c>
      <c r="H999">
        <f t="shared" ca="1" si="79"/>
        <v>2.6654126248599246</v>
      </c>
    </row>
    <row r="1000" spans="1:8" x14ac:dyDescent="0.25">
      <c r="A1000" s="5">
        <v>41627</v>
      </c>
      <c r="B1000">
        <v>541.08283719999997</v>
      </c>
      <c r="C1000" s="6">
        <v>-1.355233595992839E-3</v>
      </c>
      <c r="D1000" s="6">
        <f t="shared" ca="1" si="77"/>
        <v>1.020545170152002E-2</v>
      </c>
      <c r="E1000" s="6">
        <f t="shared" ca="1" si="78"/>
        <v>1.1560685297512859E-2</v>
      </c>
      <c r="F1000">
        <f t="shared" ca="1" si="76"/>
        <v>9.0167802221858759E-3</v>
      </c>
      <c r="G1000">
        <f t="shared" ca="1" si="75"/>
        <v>0.98655354332680845</v>
      </c>
      <c r="H1000">
        <f t="shared" ca="1" si="79"/>
        <v>2.6971313733151696</v>
      </c>
    </row>
    <row r="1001" spans="1:8" x14ac:dyDescent="0.25">
      <c r="A1001" s="1">
        <v>41628</v>
      </c>
      <c r="B1001">
        <v>548.25594509999996</v>
      </c>
      <c r="C1001" s="6">
        <v>-1.3256949595961036E-2</v>
      </c>
      <c r="D1001" s="6">
        <f t="shared" ca="1" si="77"/>
        <v>-2.6041128012509317E-2</v>
      </c>
      <c r="E1001" s="6">
        <f t="shared" ca="1" si="78"/>
        <v>-1.278417841654828E-2</v>
      </c>
      <c r="F1001">
        <f t="shared" ca="1" si="76"/>
        <v>1.7142633534985737E-2</v>
      </c>
      <c r="G1001">
        <f t="shared" ca="1" si="75"/>
        <v>-1.1532886753327796</v>
      </c>
      <c r="H1001">
        <f t="shared" ca="1" si="79"/>
        <v>2.6790549647874315</v>
      </c>
    </row>
    <row r="1002" spans="1:8" x14ac:dyDescent="0.25">
      <c r="A1002" s="5">
        <v>41631</v>
      </c>
      <c r="B1002">
        <v>555.46890919999998</v>
      </c>
      <c r="C1002" s="6">
        <v>-1.3156198604803824E-2</v>
      </c>
      <c r="D1002" s="6">
        <f t="shared" ca="1" si="77"/>
        <v>2.9122184026006599E-2</v>
      </c>
      <c r="E1002" s="6">
        <f t="shared" ca="1" si="78"/>
        <v>4.2278382630810421E-2</v>
      </c>
      <c r="F1002">
        <f t="shared" ca="1" si="76"/>
        <v>1.991679489336521E-2</v>
      </c>
      <c r="G1002">
        <f t="shared" ca="1" si="75"/>
        <v>1.4928613437948439</v>
      </c>
      <c r="H1002">
        <f t="shared" ca="1" si="79"/>
        <v>1.227310827125097</v>
      </c>
    </row>
    <row r="1003" spans="1:8" x14ac:dyDescent="0.25">
      <c r="A1003" s="1">
        <v>41632</v>
      </c>
      <c r="B1003">
        <v>553.84500500000001</v>
      </c>
      <c r="C1003" s="6">
        <v>2.9234835165459698E-3</v>
      </c>
      <c r="D1003" s="6">
        <f t="shared" ca="1" si="77"/>
        <v>4.2908978323668391E-2</v>
      </c>
      <c r="E1003" s="6">
        <f t="shared" ca="1" si="78"/>
        <v>3.9985494807122421E-2</v>
      </c>
      <c r="F1003">
        <f t="shared" ca="1" si="76"/>
        <v>2.506315936506549E-2</v>
      </c>
      <c r="G1003">
        <f t="shared" ca="1" si="75"/>
        <v>1.9503609117960747</v>
      </c>
      <c r="H1003">
        <f t="shared" ca="1" si="79"/>
        <v>1.3945397191534485</v>
      </c>
    </row>
    <row r="1004" spans="1:8" x14ac:dyDescent="0.25">
      <c r="A1004" s="5">
        <v>41634</v>
      </c>
      <c r="B1004">
        <v>556.64450920000002</v>
      </c>
      <c r="C1004" s="6">
        <v>-5.0546708460429308E-3</v>
      </c>
      <c r="D1004" s="6">
        <f t="shared" ca="1" si="77"/>
        <v>1.1067161414367834E-2</v>
      </c>
      <c r="E1004" s="6">
        <f t="shared" ca="1" si="78"/>
        <v>1.6121832260410765E-2</v>
      </c>
      <c r="F1004">
        <f t="shared" ca="1" si="76"/>
        <v>3.2206023843848602E-2</v>
      </c>
      <c r="G1004">
        <f t="shared" ca="1" si="75"/>
        <v>0.52768790996298898</v>
      </c>
      <c r="H1004">
        <f t="shared" ca="1" si="79"/>
        <v>2.5841673903858986</v>
      </c>
    </row>
    <row r="1005" spans="1:8" x14ac:dyDescent="0.25">
      <c r="A1005" s="1">
        <v>41635</v>
      </c>
      <c r="B1005">
        <v>557.11277159999997</v>
      </c>
      <c r="C1005" s="6">
        <v>-8.4122342403581145E-4</v>
      </c>
      <c r="D1005" s="6">
        <f t="shared" ca="1" si="77"/>
        <v>4.6396800661600689E-3</v>
      </c>
      <c r="E1005" s="6">
        <f t="shared" ca="1" si="78"/>
        <v>5.4809034901958801E-3</v>
      </c>
      <c r="F1005">
        <f t="shared" ca="1" si="76"/>
        <v>1.3437019348015888E-2</v>
      </c>
      <c r="G1005">
        <f t="shared" ca="1" si="75"/>
        <v>0.2472697146628334</v>
      </c>
      <c r="H1005">
        <f t="shared" ca="1" si="79"/>
        <v>2.7906148634992776</v>
      </c>
    </row>
    <row r="1006" spans="1:8" x14ac:dyDescent="0.25">
      <c r="A1006" s="5">
        <v>41638</v>
      </c>
      <c r="B1006">
        <v>552.65945620000002</v>
      </c>
      <c r="C1006" s="6">
        <v>7.9935618550087302E-3</v>
      </c>
      <c r="D1006" s="6">
        <f t="shared" ca="1" si="77"/>
        <v>-5.8396977383260752E-3</v>
      </c>
      <c r="E1006" s="6">
        <f t="shared" ca="1" si="78"/>
        <v>-1.3833259593334805E-2</v>
      </c>
      <c r="F1006">
        <f t="shared" ca="1" si="76"/>
        <v>8.4736886433424696E-3</v>
      </c>
      <c r="G1006">
        <f t="shared" ca="1" si="75"/>
        <v>-0.42039152409962183</v>
      </c>
      <c r="H1006">
        <f t="shared" ca="1" si="79"/>
        <v>2.654766363632163</v>
      </c>
    </row>
    <row r="1007" spans="1:8" x14ac:dyDescent="0.25">
      <c r="A1007" s="1">
        <v>41639</v>
      </c>
      <c r="B1007">
        <v>558.26346950000004</v>
      </c>
      <c r="C1007" s="6">
        <v>-1.014008398324049E-2</v>
      </c>
      <c r="D1007" s="6">
        <f t="shared" ca="1" si="77"/>
        <v>-1.3053403104217325E-3</v>
      </c>
      <c r="E1007" s="6">
        <f t="shared" ca="1" si="78"/>
        <v>8.8347436728187581E-3</v>
      </c>
      <c r="F1007">
        <f t="shared" ca="1" si="76"/>
        <v>9.6872446100605171E-3</v>
      </c>
      <c r="G1007">
        <f t="shared" ca="1" si="75"/>
        <v>-9.5636430483037313E-2</v>
      </c>
      <c r="H1007">
        <f t="shared" ca="1" si="79"/>
        <v>2.7471137910698844</v>
      </c>
    </row>
    <row r="1008" spans="1:8" x14ac:dyDescent="0.25">
      <c r="A1008" s="5">
        <v>41641</v>
      </c>
      <c r="B1008">
        <v>554.48264040000004</v>
      </c>
      <c r="C1008" s="6">
        <v>6.7724816445293226E-3</v>
      </c>
      <c r="D1008" s="6">
        <f t="shared" ca="1" si="77"/>
        <v>1.0215708883421734E-2</v>
      </c>
      <c r="E1008" s="6">
        <f t="shared" ca="1" si="78"/>
        <v>3.4432272388924112E-3</v>
      </c>
      <c r="F1008">
        <f t="shared" ca="1" si="76"/>
        <v>7.2996705584904564E-3</v>
      </c>
      <c r="G1008">
        <f t="shared" ca="1" si="75"/>
        <v>0.90611239647802344</v>
      </c>
      <c r="H1008">
        <f t="shared" ca="1" si="79"/>
        <v>2.8073494836227137</v>
      </c>
    </row>
    <row r="1009" spans="1:8" x14ac:dyDescent="0.25">
      <c r="A1009" s="1">
        <v>41642</v>
      </c>
      <c r="B1009">
        <v>550.43777260000002</v>
      </c>
      <c r="C1009" s="6">
        <v>7.2948501996060325E-3</v>
      </c>
      <c r="D1009" s="6">
        <f t="shared" ca="1" si="77"/>
        <v>1.1566892242072638E-2</v>
      </c>
      <c r="E1009" s="6">
        <f t="shared" ca="1" si="78"/>
        <v>4.272042042466606E-3</v>
      </c>
      <c r="F1009">
        <f t="shared" ca="1" si="76"/>
        <v>1.5936626808945323E-2</v>
      </c>
      <c r="G1009">
        <f t="shared" ca="1" si="75"/>
        <v>1.0124768210633557</v>
      </c>
      <c r="H1009">
        <f t="shared" ca="1" si="79"/>
        <v>2.8014269393423139</v>
      </c>
    </row>
    <row r="1010" spans="1:8" x14ac:dyDescent="0.25">
      <c r="A1010" s="5">
        <v>41645</v>
      </c>
      <c r="B1010">
        <v>556.57480699999996</v>
      </c>
      <c r="C1010" s="6">
        <v>-1.114937002054126E-2</v>
      </c>
      <c r="D1010" s="6">
        <f t="shared" ca="1" si="77"/>
        <v>-1.8011382959591853E-2</v>
      </c>
      <c r="E1010" s="6">
        <f t="shared" ca="1" si="78"/>
        <v>-6.8620129390505932E-3</v>
      </c>
      <c r="F1010">
        <f t="shared" ca="1" si="76"/>
        <v>1.7826877679475432E-2</v>
      </c>
      <c r="G1010">
        <f t="shared" ca="1" si="75"/>
        <v>-1.1815244648986241</v>
      </c>
      <c r="H1010">
        <f t="shared" ca="1" si="79"/>
        <v>2.7797332480178754</v>
      </c>
    </row>
    <row r="1011" spans="1:8" x14ac:dyDescent="0.25">
      <c r="A1011" s="1">
        <v>41646</v>
      </c>
      <c r="B1011">
        <v>567.30456170000002</v>
      </c>
      <c r="C1011" s="6">
        <v>-1.9278189679181899E-2</v>
      </c>
      <c r="D1011" s="6">
        <f t="shared" ca="1" si="77"/>
        <v>1.5983891994312108E-2</v>
      </c>
      <c r="E1011" s="6">
        <f t="shared" ca="1" si="78"/>
        <v>3.5262081673494011E-2</v>
      </c>
      <c r="F1011">
        <f t="shared" ca="1" si="76"/>
        <v>2.0364221196272819E-2</v>
      </c>
      <c r="G1011">
        <f t="shared" ca="1" si="75"/>
        <v>0.62351174835283107</v>
      </c>
      <c r="H1011">
        <f t="shared" ca="1" si="79"/>
        <v>1.7097896212340407</v>
      </c>
    </row>
    <row r="1012" spans="1:8" x14ac:dyDescent="0.25">
      <c r="A1012" s="5">
        <v>41647</v>
      </c>
      <c r="B1012">
        <v>568.48516649999999</v>
      </c>
      <c r="C1012" s="6">
        <v>-2.0810775722693597E-3</v>
      </c>
      <c r="D1012" s="6">
        <f t="shared" ca="1" si="77"/>
        <v>-1.2986352966584354E-2</v>
      </c>
      <c r="E1012" s="6">
        <f t="shared" ca="1" si="78"/>
        <v>-1.0905275394314995E-2</v>
      </c>
      <c r="F1012">
        <f t="shared" ca="1" si="76"/>
        <v>1.2987694869146214E-2</v>
      </c>
      <c r="G1012">
        <f t="shared" ca="1" si="75"/>
        <v>-0.61308864440350874</v>
      </c>
      <c r="H1012">
        <f t="shared" ca="1" si="79"/>
        <v>2.7177009225466082</v>
      </c>
    </row>
    <row r="1013" spans="1:8" x14ac:dyDescent="0.25">
      <c r="A1013" s="1">
        <v>41648</v>
      </c>
      <c r="B1013">
        <v>563.01066979999996</v>
      </c>
      <c r="C1013" s="6">
        <v>9.6299728165379177E-3</v>
      </c>
      <c r="D1013" s="6">
        <f t="shared" ca="1" si="77"/>
        <v>-8.0443477375698059E-3</v>
      </c>
      <c r="E1013" s="6">
        <f t="shared" ca="1" si="78"/>
        <v>-1.7674320554107725E-2</v>
      </c>
      <c r="F1013">
        <f t="shared" ca="1" si="76"/>
        <v>1.224118493474232E-2</v>
      </c>
      <c r="G1013">
        <f t="shared" ca="1" si="75"/>
        <v>5.2413920719935177E-2</v>
      </c>
      <c r="H1013">
        <f t="shared" ca="1" si="79"/>
        <v>2.5492611287006368</v>
      </c>
    </row>
    <row r="1014" spans="1:8" x14ac:dyDescent="0.25">
      <c r="A1014" s="5">
        <v>41649</v>
      </c>
      <c r="B1014">
        <v>562.98076289999995</v>
      </c>
      <c r="C1014" s="6">
        <v>5.3119597201663024E-5</v>
      </c>
      <c r="D1014" s="6">
        <f t="shared" ca="1" si="77"/>
        <v>5.1181130000692576E-3</v>
      </c>
      <c r="E1014" s="6">
        <f t="shared" ca="1" si="78"/>
        <v>5.0649934028675946E-3</v>
      </c>
      <c r="F1014">
        <f t="shared" ca="1" si="76"/>
        <v>7.4320796938896041E-3</v>
      </c>
      <c r="G1014">
        <f t="shared" ca="1" si="75"/>
        <v>0.81479180328872491</v>
      </c>
      <c r="H1014">
        <f t="shared" ca="1" si="79"/>
        <v>2.7946258099397827</v>
      </c>
    </row>
    <row r="1015" spans="1:8" x14ac:dyDescent="0.25">
      <c r="A1015" s="1">
        <v>41652</v>
      </c>
      <c r="B1015">
        <v>559.39420870000004</v>
      </c>
      <c r="C1015" s="6">
        <v>6.370651426036337E-3</v>
      </c>
      <c r="D1015" s="6">
        <f t="shared" ca="1" si="77"/>
        <v>-1.3567117746143512E-2</v>
      </c>
      <c r="E1015" s="6">
        <f t="shared" ca="1" si="78"/>
        <v>-1.9937769172179848E-2</v>
      </c>
      <c r="F1015">
        <f t="shared" ca="1" si="76"/>
        <v>1.465452527454876E-2</v>
      </c>
      <c r="G1015">
        <f t="shared" ca="1" si="75"/>
        <v>-1.2218730531477981</v>
      </c>
      <c r="H1015">
        <f t="shared" ca="1" si="79"/>
        <v>2.4748958328536874</v>
      </c>
    </row>
    <row r="1016" spans="1:8" x14ac:dyDescent="0.25">
      <c r="A1016" s="5">
        <v>41653</v>
      </c>
      <c r="B1016">
        <v>572.554937</v>
      </c>
      <c r="C1016" s="6">
        <v>-2.3526751073424116E-2</v>
      </c>
      <c r="D1016" s="6">
        <f t="shared" ca="1" si="77"/>
        <v>-3.3947440165941756E-2</v>
      </c>
      <c r="E1016" s="6">
        <f t="shared" ca="1" si="78"/>
        <v>-1.042068909251764E-2</v>
      </c>
      <c r="F1016">
        <f t="shared" ca="1" si="76"/>
        <v>2.0795263217388432E-2</v>
      </c>
      <c r="G1016">
        <f t="shared" ca="1" si="75"/>
        <v>-1.6336162033920638</v>
      </c>
      <c r="H1016">
        <f t="shared" ca="1" si="79"/>
        <v>2.726657347469279</v>
      </c>
    </row>
    <row r="1017" spans="1:8" x14ac:dyDescent="0.25">
      <c r="A1017" s="1">
        <v>41654</v>
      </c>
      <c r="B1017">
        <v>572.16638639999996</v>
      </c>
      <c r="C1017" s="6">
        <v>6.7862588354561772E-4</v>
      </c>
      <c r="D1017" s="6">
        <f t="shared" ca="1" si="77"/>
        <v>-2.0878360213596016E-3</v>
      </c>
      <c r="E1017" s="6">
        <f t="shared" ca="1" si="78"/>
        <v>-2.7664619049052193E-3</v>
      </c>
      <c r="F1017">
        <f t="shared" ca="1" si="76"/>
        <v>2.7214055662694338E-2</v>
      </c>
      <c r="G1017">
        <f t="shared" ca="1" si="75"/>
        <v>-0.18217747566398509</v>
      </c>
      <c r="H1017">
        <f t="shared" ca="1" si="79"/>
        <v>2.8131520231028189</v>
      </c>
    </row>
    <row r="1018" spans="1:8" x14ac:dyDescent="0.25">
      <c r="A1018" s="5">
        <v>41655</v>
      </c>
      <c r="B1018">
        <v>575.95215940000003</v>
      </c>
      <c r="C1018" s="6">
        <v>-6.6165596057113345E-3</v>
      </c>
      <c r="D1018" s="6">
        <f t="shared" ca="1" si="77"/>
        <v>-1.6444576201731689E-2</v>
      </c>
      <c r="E1018" s="6">
        <f t="shared" ca="1" si="78"/>
        <v>-9.8280165960203548E-3</v>
      </c>
      <c r="F1018">
        <f t="shared" ca="1" si="76"/>
        <v>1.0016616333802167E-2</v>
      </c>
      <c r="G1018">
        <f t="shared" ca="1" si="75"/>
        <v>-0.58347516515410891</v>
      </c>
      <c r="H1018">
        <f t="shared" ca="1" si="79"/>
        <v>2.7370480564403463</v>
      </c>
    </row>
    <row r="1019" spans="1:8" x14ac:dyDescent="0.25">
      <c r="A1019" s="1">
        <v>41656</v>
      </c>
      <c r="B1019">
        <v>573.11780380000005</v>
      </c>
      <c r="C1019" s="6">
        <v>4.9211649852180074E-3</v>
      </c>
      <c r="D1019" s="6">
        <f t="shared" ca="1" si="77"/>
        <v>-5.9315882569982723E-3</v>
      </c>
      <c r="E1019" s="6">
        <f t="shared" ca="1" si="78"/>
        <v>-1.085275324221628E-2</v>
      </c>
      <c r="F1019">
        <f t="shared" ca="1" si="76"/>
        <v>1.1689294550923678E-2</v>
      </c>
      <c r="G1019">
        <f t="shared" ca="1" si="75"/>
        <v>-0.53358552769982337</v>
      </c>
      <c r="H1019">
        <f t="shared" ca="1" si="79"/>
        <v>2.7186916957266796</v>
      </c>
    </row>
    <row r="1020" spans="1:8" x14ac:dyDescent="0.25">
      <c r="A1020" s="5">
        <v>41660</v>
      </c>
      <c r="B1020">
        <v>579.67824010000004</v>
      </c>
      <c r="C1020" s="6">
        <v>-1.1446924622654677E-2</v>
      </c>
      <c r="D1020" s="6">
        <f t="shared" ca="1" si="77"/>
        <v>-1.7409722542967798E-2</v>
      </c>
      <c r="E1020" s="6">
        <f t="shared" ca="1" si="78"/>
        <v>-5.9627979203131214E-3</v>
      </c>
      <c r="F1020">
        <f t="shared" ca="1" si="76"/>
        <v>1.1179911531112157E-2</v>
      </c>
      <c r="G1020">
        <f t="shared" ca="1" si="75"/>
        <v>-1.2905886751935698</v>
      </c>
      <c r="H1020">
        <f t="shared" ca="1" si="79"/>
        <v>2.7896070695406978</v>
      </c>
    </row>
    <row r="1021" spans="1:8" x14ac:dyDescent="0.25">
      <c r="A1021" s="1">
        <v>41661</v>
      </c>
      <c r="B1021">
        <v>580.33577309999998</v>
      </c>
      <c r="C1021" s="6">
        <v>-1.1343068525161704E-3</v>
      </c>
      <c r="D1021" s="6">
        <f t="shared" ca="1" si="77"/>
        <v>2.6633938310006097E-2</v>
      </c>
      <c r="E1021" s="6">
        <f t="shared" ca="1" si="78"/>
        <v>2.7768245162522267E-2</v>
      </c>
      <c r="F1021">
        <f t="shared" ca="1" si="76"/>
        <v>2.1678831029898836E-2</v>
      </c>
      <c r="G1021">
        <f t="shared" ca="1" si="75"/>
        <v>1.126299783910347</v>
      </c>
      <c r="H1021">
        <f t="shared" ca="1" si="79"/>
        <v>2.1291480488500691</v>
      </c>
    </row>
    <row r="1022" spans="1:8" x14ac:dyDescent="0.25">
      <c r="A1022" s="5">
        <v>41662</v>
      </c>
      <c r="B1022">
        <v>577.88496329999998</v>
      </c>
      <c r="C1022" s="6">
        <v>4.2230893107078771E-3</v>
      </c>
      <c r="D1022" s="6">
        <f t="shared" ca="1" si="77"/>
        <v>9.9839558531252572E-3</v>
      </c>
      <c r="E1022" s="6">
        <f t="shared" ca="1" si="78"/>
        <v>5.76086654241738E-3</v>
      </c>
      <c r="F1022">
        <f t="shared" ca="1" si="76"/>
        <v>1.9810277229104403E-2</v>
      </c>
      <c r="G1022">
        <f t="shared" ca="1" si="75"/>
        <v>0.76432376838642158</v>
      </c>
      <c r="H1022">
        <f t="shared" ca="1" si="79"/>
        <v>2.7877430362831896</v>
      </c>
    </row>
    <row r="1023" spans="1:8" x14ac:dyDescent="0.25">
      <c r="A1023" s="1">
        <v>41663</v>
      </c>
      <c r="B1023">
        <v>559.81761019999999</v>
      </c>
      <c r="C1023" s="6">
        <v>3.1264618821065612E-2</v>
      </c>
      <c r="D1023" s="6">
        <f t="shared" ca="1" si="77"/>
        <v>-5.660234357529219E-3</v>
      </c>
      <c r="E1023" s="6">
        <f t="shared" ca="1" si="78"/>
        <v>-3.6924853178594834E-2</v>
      </c>
      <c r="F1023">
        <f t="shared" ca="1" si="76"/>
        <v>1.4703548930505565E-2</v>
      </c>
      <c r="G1023">
        <f t="shared" ca="1" si="75"/>
        <v>-0.35020350745817441</v>
      </c>
      <c r="H1023">
        <f t="shared" ca="1" si="79"/>
        <v>1.6282060877135949</v>
      </c>
    </row>
    <row r="1024" spans="1:8" x14ac:dyDescent="0.25">
      <c r="A1024" s="5">
        <v>41666</v>
      </c>
      <c r="B1024">
        <v>548.55977829999995</v>
      </c>
      <c r="C1024" s="6">
        <v>2.010982093967726E-2</v>
      </c>
      <c r="D1024" s="6">
        <f t="shared" ca="1" si="77"/>
        <v>9.5051798478480998E-3</v>
      </c>
      <c r="E1024" s="6">
        <f t="shared" ca="1" si="78"/>
        <v>-1.060464109182916E-2</v>
      </c>
      <c r="F1024">
        <f t="shared" ca="1" si="76"/>
        <v>9.4584019418865236E-3</v>
      </c>
      <c r="G1024">
        <f t="shared" ca="1" si="75"/>
        <v>0.80372145535064698</v>
      </c>
      <c r="H1024">
        <f t="shared" ca="1" si="79"/>
        <v>2.7233062357679723</v>
      </c>
    </row>
    <row r="1025" spans="1:8" x14ac:dyDescent="0.25">
      <c r="A1025" s="1">
        <v>41667</v>
      </c>
      <c r="B1025">
        <v>559.4091621</v>
      </c>
      <c r="C1025" s="6">
        <v>-1.9777942585624046E-2</v>
      </c>
      <c r="D1025" s="6">
        <f t="shared" ca="1" si="77"/>
        <v>6.5415111847172318E-3</v>
      </c>
      <c r="E1025" s="6">
        <f t="shared" ca="1" si="78"/>
        <v>2.6319453770341276E-2</v>
      </c>
      <c r="F1025">
        <f t="shared" ca="1" si="76"/>
        <v>1.4575337791603495E-2</v>
      </c>
      <c r="G1025">
        <f t="shared" ca="1" si="75"/>
        <v>-0.51767663961608723</v>
      </c>
      <c r="H1025">
        <f t="shared" ca="1" si="79"/>
        <v>2.1987895971643252</v>
      </c>
    </row>
    <row r="1026" spans="1:8" x14ac:dyDescent="0.25">
      <c r="A1026" s="5">
        <v>41668</v>
      </c>
      <c r="B1026">
        <v>551.39419520000001</v>
      </c>
      <c r="C1026" s="6">
        <v>1.4327557435620324E-2</v>
      </c>
      <c r="D1026" s="6">
        <f t="shared" ca="1" si="77"/>
        <v>8.5409542880822802E-3</v>
      </c>
      <c r="E1026" s="6">
        <f t="shared" ca="1" si="78"/>
        <v>-5.7866031475380438E-3</v>
      </c>
      <c r="F1026">
        <f t="shared" ca="1" si="76"/>
        <v>1.1207670084114246E-2</v>
      </c>
      <c r="G1026">
        <f t="shared" ca="1" si="75"/>
        <v>-4.6337694759337723E-2</v>
      </c>
      <c r="H1026">
        <f t="shared" ca="1" si="79"/>
        <v>2.791374560040738</v>
      </c>
    </row>
    <row r="1027" spans="1:8" x14ac:dyDescent="0.25">
      <c r="A1027" s="1">
        <v>41669</v>
      </c>
      <c r="B1027">
        <v>565.57604309999999</v>
      </c>
      <c r="C1027" s="6">
        <v>-2.5719980412300104E-2</v>
      </c>
      <c r="D1027" s="6">
        <f t="shared" ca="1" si="77"/>
        <v>-1.1234015513838132E-2</v>
      </c>
      <c r="E1027" s="6">
        <f t="shared" ca="1" si="78"/>
        <v>1.4485964898461972E-2</v>
      </c>
      <c r="F1027">
        <f t="shared" ca="1" si="76"/>
        <v>7.3176649895171954E-3</v>
      </c>
      <c r="G1027">
        <f t="shared" ref="G1027:G1090" ca="1" si="80">_xlfn.NORM.INV(RAND(),0,1)</f>
        <v>-0.3174733426891081</v>
      </c>
      <c r="H1027">
        <f t="shared" ca="1" si="79"/>
        <v>2.6289052314672503</v>
      </c>
    </row>
    <row r="1028" spans="1:8" x14ac:dyDescent="0.25">
      <c r="A1028" s="5">
        <v>41670</v>
      </c>
      <c r="B1028">
        <v>588.28097700000001</v>
      </c>
      <c r="C1028" s="6">
        <v>-4.0144794280095659E-2</v>
      </c>
      <c r="D1028" s="6">
        <f t="shared" ca="1" si="77"/>
        <v>9.0608509236351099E-3</v>
      </c>
      <c r="E1028" s="6">
        <f t="shared" ca="1" si="78"/>
        <v>4.9205645203730768E-2</v>
      </c>
      <c r="F1028">
        <f t="shared" ref="F1028:F1091" ca="1" si="81">SQRT($K$6+$K$7*POWER($G1027,2)+$K$8*POWER($F1027,2))</f>
        <v>8.5832732161877246E-3</v>
      </c>
      <c r="G1028">
        <f t="shared" ca="1" si="80"/>
        <v>0.30360168099085161</v>
      </c>
      <c r="H1028">
        <f t="shared" ca="1" si="79"/>
        <v>0.66571503661855569</v>
      </c>
    </row>
    <row r="1029" spans="1:8" x14ac:dyDescent="0.25">
      <c r="A1029" s="1">
        <v>41673</v>
      </c>
      <c r="B1029">
        <v>564.59972310000001</v>
      </c>
      <c r="C1029" s="6">
        <v>4.0255005390051904E-2</v>
      </c>
      <c r="D1029" s="6">
        <f t="shared" ref="D1029:D1092" ca="1" si="82">($K$10*$C1028)+($K$11*$C1027)+($F1029*$G1029)</f>
        <v>-1.2209536950680831E-2</v>
      </c>
      <c r="E1029" s="6">
        <f t="shared" ca="1" si="78"/>
        <v>-5.2464542340732737E-2</v>
      </c>
      <c r="F1029">
        <f t="shared" ca="1" si="81"/>
        <v>8.5318390956548983E-3</v>
      </c>
      <c r="G1029">
        <f t="shared" ca="1" si="80"/>
        <v>-7.2734340925612179E-2</v>
      </c>
      <c r="H1029">
        <f t="shared" ca="1" si="79"/>
        <v>0.40760234187673056</v>
      </c>
    </row>
    <row r="1030" spans="1:8" x14ac:dyDescent="0.25">
      <c r="A1030" s="5">
        <v>41674</v>
      </c>
      <c r="B1030">
        <v>566.95586719999994</v>
      </c>
      <c r="C1030" s="6">
        <v>-4.1731230172470796E-3</v>
      </c>
      <c r="D1030" s="6">
        <f t="shared" ca="1" si="82"/>
        <v>-1.7414107387356537E-2</v>
      </c>
      <c r="E1030" s="6">
        <f t="shared" ref="E1030:E1093" ca="1" si="83">$D1030-$C1030</f>
        <v>-1.3240984370109458E-2</v>
      </c>
      <c r="F1030">
        <f t="shared" ca="1" si="81"/>
        <v>7.140338774502427E-3</v>
      </c>
      <c r="G1030">
        <f t="shared" ca="1" si="80"/>
        <v>9.4217057833213977E-2</v>
      </c>
      <c r="H1030">
        <f t="shared" ref="H1030:H1093" ca="1" si="84">LN(_xlfn.NORM.DIST($E1030,AVERAGE($E$5:$E$1763),_xlfn.STDEV.S($E$5:$E$1763),FALSE))</f>
        <v>2.6687176344388477</v>
      </c>
    </row>
    <row r="1031" spans="1:8" x14ac:dyDescent="0.25">
      <c r="A1031" s="1">
        <v>41675</v>
      </c>
      <c r="B1031">
        <v>569.46649179999997</v>
      </c>
      <c r="C1031" s="6">
        <v>-4.4282540233671801E-3</v>
      </c>
      <c r="D1031" s="6">
        <f t="shared" ca="1" si="82"/>
        <v>2.7456664979555928E-2</v>
      </c>
      <c r="E1031" s="6">
        <f t="shared" ca="1" si="83"/>
        <v>3.1884919002923111E-2</v>
      </c>
      <c r="F1031">
        <f t="shared" ca="1" si="81"/>
        <v>7.1062615215631668E-3</v>
      </c>
      <c r="G1031">
        <f t="shared" ca="1" si="80"/>
        <v>1.3114578798258416</v>
      </c>
      <c r="H1031">
        <f t="shared" ca="1" si="84"/>
        <v>1.911046036237352</v>
      </c>
    </row>
    <row r="1032" spans="1:8" x14ac:dyDescent="0.25">
      <c r="A1032" s="5">
        <v>41676</v>
      </c>
      <c r="B1032">
        <v>577.81519979999996</v>
      </c>
      <c r="C1032" s="6">
        <v>-1.4660578137988326E-2</v>
      </c>
      <c r="D1032" s="6">
        <f t="shared" ca="1" si="82"/>
        <v>-5.5468147726391911E-3</v>
      </c>
      <c r="E1032" s="6">
        <f t="shared" ca="1" si="83"/>
        <v>9.113763365349135E-3</v>
      </c>
      <c r="F1032">
        <f t="shared" ca="1" si="81"/>
        <v>2.1882443380825668E-2</v>
      </c>
      <c r="G1032">
        <f t="shared" ca="1" si="80"/>
        <v>-0.16755496620206728</v>
      </c>
      <c r="H1032">
        <f t="shared" ca="1" si="84"/>
        <v>2.7426002383412125</v>
      </c>
    </row>
    <row r="1033" spans="1:8" x14ac:dyDescent="0.25">
      <c r="A1033" s="1">
        <v>41677</v>
      </c>
      <c r="B1033">
        <v>586.52255100000002</v>
      </c>
      <c r="C1033" s="6">
        <v>-1.5069439507672956E-2</v>
      </c>
      <c r="D1033" s="6">
        <f t="shared" ca="1" si="82"/>
        <v>2.1977551435853376E-2</v>
      </c>
      <c r="E1033" s="6">
        <f t="shared" ca="1" si="83"/>
        <v>3.7046990943526328E-2</v>
      </c>
      <c r="F1033">
        <f t="shared" ca="1" si="81"/>
        <v>9.0800307082980342E-3</v>
      </c>
      <c r="G1033">
        <f t="shared" ca="1" si="80"/>
        <v>2.6401864941121174</v>
      </c>
      <c r="H1033">
        <f t="shared" ca="1" si="84"/>
        <v>1.5952898536518945</v>
      </c>
    </row>
    <row r="1034" spans="1:8" x14ac:dyDescent="0.25">
      <c r="A1034" s="5">
        <v>41680</v>
      </c>
      <c r="B1034">
        <v>584.27596519999997</v>
      </c>
      <c r="C1034" s="6">
        <v>3.8303485452855978E-3</v>
      </c>
      <c r="D1034" s="6">
        <f t="shared" ca="1" si="82"/>
        <v>3.0358245424961783E-2</v>
      </c>
      <c r="E1034" s="6">
        <f t="shared" ca="1" si="83"/>
        <v>2.6527896879676185E-2</v>
      </c>
      <c r="F1034">
        <f t="shared" ca="1" si="81"/>
        <v>4.2372297510845154E-2</v>
      </c>
      <c r="G1034">
        <f t="shared" ca="1" si="80"/>
        <v>0.87236052391863406</v>
      </c>
      <c r="H1034">
        <f t="shared" ca="1" si="84"/>
        <v>2.1889981628177759</v>
      </c>
    </row>
    <row r="1035" spans="1:8" x14ac:dyDescent="0.25">
      <c r="A1035" s="1">
        <v>41681</v>
      </c>
      <c r="B1035">
        <v>592.86881459999995</v>
      </c>
      <c r="C1035" s="6">
        <v>-1.4706833605689413E-2</v>
      </c>
      <c r="D1035" s="6">
        <f t="shared" ca="1" si="82"/>
        <v>6.2350869419501957E-3</v>
      </c>
      <c r="E1035" s="6">
        <f t="shared" ca="1" si="83"/>
        <v>2.094192054763961E-2</v>
      </c>
      <c r="F1035">
        <f t="shared" ca="1" si="81"/>
        <v>1.8693904726077192E-2</v>
      </c>
      <c r="G1035">
        <f t="shared" ca="1" si="80"/>
        <v>0.69673318984148891</v>
      </c>
      <c r="H1035">
        <f t="shared" ca="1" si="84"/>
        <v>2.4248858253055183</v>
      </c>
    </row>
    <row r="1036" spans="1:8" x14ac:dyDescent="0.25">
      <c r="A1036" s="5">
        <v>41682</v>
      </c>
      <c r="B1036">
        <v>591.13028610000003</v>
      </c>
      <c r="C1036" s="6">
        <v>2.932399979872235E-3</v>
      </c>
      <c r="D1036" s="6">
        <f t="shared" ca="1" si="82"/>
        <v>-6.3758651026914852E-3</v>
      </c>
      <c r="E1036" s="6">
        <f t="shared" ca="1" si="83"/>
        <v>-9.3082650825637193E-3</v>
      </c>
      <c r="F1036">
        <f t="shared" ca="1" si="81"/>
        <v>1.3738405967136257E-2</v>
      </c>
      <c r="G1036">
        <f t="shared" ca="1" si="80"/>
        <v>-0.58969082054696009</v>
      </c>
      <c r="H1036">
        <f t="shared" ca="1" si="84"/>
        <v>2.7456500797344701</v>
      </c>
    </row>
    <row r="1037" spans="1:8" x14ac:dyDescent="0.25">
      <c r="A1037" s="1">
        <v>41683</v>
      </c>
      <c r="B1037">
        <v>597.71068060000005</v>
      </c>
      <c r="C1037" s="6">
        <v>-1.1131885228575181E-2</v>
      </c>
      <c r="D1037" s="6">
        <f t="shared" ca="1" si="82"/>
        <v>-8.372003280322636E-3</v>
      </c>
      <c r="E1037" s="6">
        <f t="shared" ca="1" si="83"/>
        <v>2.7598819482525447E-3</v>
      </c>
      <c r="F1037">
        <f t="shared" ca="1" si="81"/>
        <v>1.2003070388485316E-2</v>
      </c>
      <c r="G1037">
        <f t="shared" ca="1" si="80"/>
        <v>-0.1454449604608947</v>
      </c>
      <c r="H1037">
        <f t="shared" ca="1" si="84"/>
        <v>2.8113206371234933</v>
      </c>
    </row>
    <row r="1038" spans="1:8" x14ac:dyDescent="0.25">
      <c r="A1038" s="5">
        <v>41684</v>
      </c>
      <c r="B1038">
        <v>599.15526299999999</v>
      </c>
      <c r="C1038" s="6">
        <v>-2.4168589367515223E-3</v>
      </c>
      <c r="D1038" s="6">
        <f t="shared" ca="1" si="82"/>
        <v>2.8481989007892246E-3</v>
      </c>
      <c r="E1038" s="6">
        <f t="shared" ca="1" si="83"/>
        <v>5.2650578375407469E-3</v>
      </c>
      <c r="F1038">
        <f t="shared" ca="1" si="81"/>
        <v>7.7121938297777795E-3</v>
      </c>
      <c r="G1038">
        <f t="shared" ca="1" si="80"/>
        <v>0.19802016883238052</v>
      </c>
      <c r="H1038">
        <f t="shared" ca="1" si="84"/>
        <v>2.7927345403715611</v>
      </c>
    </row>
    <row r="1039" spans="1:8" x14ac:dyDescent="0.25">
      <c r="A1039" s="1">
        <v>41688</v>
      </c>
      <c r="B1039">
        <v>603.18017259999999</v>
      </c>
      <c r="C1039" s="6">
        <v>-6.7176403989962132E-3</v>
      </c>
      <c r="D1039" s="6">
        <f t="shared" ca="1" si="82"/>
        <v>-8.0980521171015798E-3</v>
      </c>
      <c r="E1039" s="6">
        <f t="shared" ca="1" si="83"/>
        <v>-1.3804117181053666E-3</v>
      </c>
      <c r="F1039">
        <f t="shared" ca="1" si="81"/>
        <v>7.6571784483167897E-3</v>
      </c>
      <c r="G1039">
        <f t="shared" ca="1" si="80"/>
        <v>-0.40255875078695269</v>
      </c>
      <c r="H1039">
        <f t="shared" ca="1" si="84"/>
        <v>2.8177569674867726</v>
      </c>
    </row>
    <row r="1040" spans="1:8" x14ac:dyDescent="0.25">
      <c r="A1040" s="5">
        <v>41689</v>
      </c>
      <c r="B1040">
        <v>598.92613679999999</v>
      </c>
      <c r="C1040" s="6">
        <v>7.0526784421030171E-3</v>
      </c>
      <c r="D1040" s="6">
        <f t="shared" ca="1" si="82"/>
        <v>1.093231494891461E-2</v>
      </c>
      <c r="E1040" s="6">
        <f t="shared" ca="1" si="83"/>
        <v>3.8796365068115932E-3</v>
      </c>
      <c r="F1040">
        <f t="shared" ca="1" si="81"/>
        <v>9.4516171450604279E-3</v>
      </c>
      <c r="G1040">
        <f t="shared" ca="1" si="80"/>
        <v>1.2718837851682825</v>
      </c>
      <c r="H1040">
        <f t="shared" ca="1" si="84"/>
        <v>2.8043821154056876</v>
      </c>
    </row>
    <row r="1041" spans="1:8" x14ac:dyDescent="0.25">
      <c r="A1041" s="1">
        <v>41690</v>
      </c>
      <c r="B1041">
        <v>599.80779110000003</v>
      </c>
      <c r="C1041" s="6">
        <v>-1.4720584823875338E-3</v>
      </c>
      <c r="D1041" s="6">
        <f t="shared" ca="1" si="82"/>
        <v>1.4631571474849055E-3</v>
      </c>
      <c r="E1041" s="6">
        <f t="shared" ca="1" si="83"/>
        <v>2.9352156298724395E-3</v>
      </c>
      <c r="F1041">
        <f t="shared" ca="1" si="81"/>
        <v>2.1347363029892485E-2</v>
      </c>
      <c r="G1041">
        <f t="shared" ca="1" si="80"/>
        <v>0.21031730551512159</v>
      </c>
      <c r="H1041">
        <f t="shared" ca="1" si="84"/>
        <v>2.8103803172573105</v>
      </c>
    </row>
    <row r="1042" spans="1:8" x14ac:dyDescent="0.25">
      <c r="A1042" s="5">
        <v>41691</v>
      </c>
      <c r="B1042">
        <v>599.64842799999997</v>
      </c>
      <c r="C1042" s="6">
        <v>2.6569028006089224E-4</v>
      </c>
      <c r="D1042" s="6">
        <f t="shared" ca="1" si="82"/>
        <v>5.2199128988853413E-3</v>
      </c>
      <c r="E1042" s="6">
        <f t="shared" ca="1" si="83"/>
        <v>4.9542226188244495E-3</v>
      </c>
      <c r="F1042">
        <f t="shared" ca="1" si="81"/>
        <v>9.2209022930766736E-3</v>
      </c>
      <c r="G1042">
        <f t="shared" ca="1" si="80"/>
        <v>0.22148636760338472</v>
      </c>
      <c r="H1042">
        <f t="shared" ca="1" si="84"/>
        <v>2.7956425744318421</v>
      </c>
    </row>
    <row r="1043" spans="1:8" x14ac:dyDescent="0.25">
      <c r="A1043" s="1">
        <v>41694</v>
      </c>
      <c r="B1043">
        <v>603.99212469999998</v>
      </c>
      <c r="C1043" s="6">
        <v>-7.2437389930087668E-3</v>
      </c>
      <c r="D1043" s="6">
        <f t="shared" ca="1" si="82"/>
        <v>-9.3645699173610618E-3</v>
      </c>
      <c r="E1043" s="6">
        <f t="shared" ca="1" si="83"/>
        <v>-2.120830924352295E-3</v>
      </c>
      <c r="F1043">
        <f t="shared" ca="1" si="81"/>
        <v>7.9194427800933376E-3</v>
      </c>
      <c r="G1043">
        <f t="shared" ca="1" si="80"/>
        <v>-1.0987298493588589</v>
      </c>
      <c r="H1043">
        <f t="shared" ca="1" si="84"/>
        <v>2.8157188958957513</v>
      </c>
    </row>
    <row r="1044" spans="1:8" x14ac:dyDescent="0.25">
      <c r="A1044" s="5">
        <v>41695</v>
      </c>
      <c r="B1044">
        <v>607.72314889999996</v>
      </c>
      <c r="C1044" s="6">
        <v>-6.1772729269494384E-3</v>
      </c>
      <c r="D1044" s="6">
        <f t="shared" ca="1" si="82"/>
        <v>-2.1655344226568778E-2</v>
      </c>
      <c r="E1044" s="6">
        <f t="shared" ca="1" si="83"/>
        <v>-1.5478071299619339E-2</v>
      </c>
      <c r="F1044">
        <f t="shared" ca="1" si="81"/>
        <v>1.8741783323458449E-2</v>
      </c>
      <c r="G1044">
        <f t="shared" ca="1" si="80"/>
        <v>-1.1618389043494355</v>
      </c>
      <c r="H1044">
        <f t="shared" ca="1" si="84"/>
        <v>2.6127750149616964</v>
      </c>
    </row>
    <row r="1045" spans="1:8" x14ac:dyDescent="0.25">
      <c r="A1045" s="1">
        <v>41696</v>
      </c>
      <c r="B1045">
        <v>607.8078051</v>
      </c>
      <c r="C1045" s="6">
        <v>-1.3930060119195892E-4</v>
      </c>
      <c r="D1045" s="6">
        <f t="shared" ca="1" si="82"/>
        <v>-1.2518937347948522E-2</v>
      </c>
      <c r="E1045" s="6">
        <f t="shared" ca="1" si="83"/>
        <v>-1.2379636746756562E-2</v>
      </c>
      <c r="F1045">
        <f t="shared" ca="1" si="81"/>
        <v>2.0131437698288419E-2</v>
      </c>
      <c r="G1045">
        <f t="shared" ca="1" si="80"/>
        <v>-0.45973459822212576</v>
      </c>
      <c r="H1045">
        <f t="shared" ca="1" si="84"/>
        <v>2.6879020735563808</v>
      </c>
    </row>
    <row r="1046" spans="1:8" x14ac:dyDescent="0.25">
      <c r="A1046" s="5">
        <v>41697</v>
      </c>
      <c r="B1046">
        <v>607.32965490000004</v>
      </c>
      <c r="C1046" s="6">
        <v>7.8667992741766641E-4</v>
      </c>
      <c r="D1046" s="6">
        <f t="shared" ca="1" si="82"/>
        <v>-1.3499411808706801E-3</v>
      </c>
      <c r="E1046" s="6">
        <f t="shared" ca="1" si="83"/>
        <v>-2.1366211082883466E-3</v>
      </c>
      <c r="F1046">
        <f t="shared" ca="1" si="81"/>
        <v>1.112052253070246E-2</v>
      </c>
      <c r="G1046">
        <f t="shared" ca="1" si="80"/>
        <v>0.12888550857557865</v>
      </c>
      <c r="H1046">
        <f t="shared" ca="1" si="84"/>
        <v>2.8156648945079525</v>
      </c>
    </row>
    <row r="1047" spans="1:8" x14ac:dyDescent="0.25">
      <c r="A1047" s="1">
        <v>41698</v>
      </c>
      <c r="B1047">
        <v>605.55627489999995</v>
      </c>
      <c r="C1047" s="6">
        <v>2.9199628005849385E-3</v>
      </c>
      <c r="D1047" s="6">
        <f t="shared" ca="1" si="82"/>
        <v>-1.5726901910038604E-3</v>
      </c>
      <c r="E1047" s="6">
        <f t="shared" ca="1" si="83"/>
        <v>-4.4926529915887987E-3</v>
      </c>
      <c r="F1047">
        <f t="shared" ca="1" si="81"/>
        <v>7.552882202508323E-3</v>
      </c>
      <c r="G1047">
        <f t="shared" ca="1" si="80"/>
        <v>-0.19991578220181366</v>
      </c>
      <c r="H1047">
        <f t="shared" ca="1" si="84"/>
        <v>2.8026760229627423</v>
      </c>
    </row>
    <row r="1048" spans="1:8" x14ac:dyDescent="0.25">
      <c r="A1048" s="5">
        <v>41701</v>
      </c>
      <c r="B1048">
        <v>599.10045339999999</v>
      </c>
      <c r="C1048" s="6">
        <v>1.0660976968764883E-2</v>
      </c>
      <c r="D1048" s="6">
        <f t="shared" ca="1" si="82"/>
        <v>-6.7586274979788159E-3</v>
      </c>
      <c r="E1048" s="6">
        <f t="shared" ca="1" si="83"/>
        <v>-1.7419604466743698E-2</v>
      </c>
      <c r="F1048">
        <f t="shared" ca="1" si="81"/>
        <v>7.6594362451351001E-3</v>
      </c>
      <c r="G1048">
        <f t="shared" ca="1" si="80"/>
        <v>-0.92867407687837189</v>
      </c>
      <c r="H1048">
        <f t="shared" ca="1" si="84"/>
        <v>2.5570637508257947</v>
      </c>
    </row>
    <row r="1049" spans="1:8" x14ac:dyDescent="0.25">
      <c r="A1049" s="1">
        <v>41702</v>
      </c>
      <c r="B1049">
        <v>605.18762219999996</v>
      </c>
      <c r="C1049" s="6">
        <v>-1.0160514427011736E-2</v>
      </c>
      <c r="D1049" s="6">
        <f t="shared" ca="1" si="82"/>
        <v>2.1396573221155873E-3</v>
      </c>
      <c r="E1049" s="6">
        <f t="shared" ca="1" si="83"/>
        <v>1.2300171749127323E-2</v>
      </c>
      <c r="F1049">
        <f t="shared" ca="1" si="81"/>
        <v>1.6269027187909506E-2</v>
      </c>
      <c r="G1049">
        <f t="shared" ca="1" si="80"/>
        <v>5.0640491005348821E-2</v>
      </c>
      <c r="H1049">
        <f t="shared" ca="1" si="84"/>
        <v>2.6813107853296141</v>
      </c>
    </row>
    <row r="1050" spans="1:8" x14ac:dyDescent="0.25">
      <c r="A1050" s="5">
        <v>41703</v>
      </c>
      <c r="B1050">
        <v>606.85638730000005</v>
      </c>
      <c r="C1050" s="6">
        <v>-2.7574342877895149E-3</v>
      </c>
      <c r="D1050" s="6">
        <f t="shared" ca="1" si="82"/>
        <v>8.9513677751063524E-3</v>
      </c>
      <c r="E1050" s="6">
        <f t="shared" ca="1" si="83"/>
        <v>1.1708802062895866E-2</v>
      </c>
      <c r="F1050">
        <f t="shared" ca="1" si="81"/>
        <v>7.9040967338743686E-3</v>
      </c>
      <c r="G1050">
        <f t="shared" ca="1" si="80"/>
        <v>0.52481124765752418</v>
      </c>
      <c r="H1050">
        <f t="shared" ca="1" si="84"/>
        <v>2.6940398585837562</v>
      </c>
    </row>
    <row r="1051" spans="1:8" x14ac:dyDescent="0.25">
      <c r="A1051" s="1">
        <v>41704</v>
      </c>
      <c r="B1051">
        <v>607.5288736</v>
      </c>
      <c r="C1051" s="6">
        <v>-1.1081473542561588E-3</v>
      </c>
      <c r="D1051" s="6">
        <f t="shared" ca="1" si="82"/>
        <v>1.2227195027103024E-2</v>
      </c>
      <c r="E1051" s="6">
        <f t="shared" ca="1" si="83"/>
        <v>1.3335342381359184E-2</v>
      </c>
      <c r="F1051">
        <f t="shared" ca="1" si="81"/>
        <v>1.0860970669377171E-2</v>
      </c>
      <c r="G1051">
        <f t="shared" ca="1" si="80"/>
        <v>1.5472954729106236</v>
      </c>
      <c r="H1051">
        <f t="shared" ca="1" si="84"/>
        <v>2.6575431368578784</v>
      </c>
    </row>
    <row r="1052" spans="1:8" x14ac:dyDescent="0.25">
      <c r="A1052" s="5">
        <v>41705</v>
      </c>
      <c r="B1052">
        <v>605.12786870000002</v>
      </c>
      <c r="C1052" s="6">
        <v>3.9520836034878052E-3</v>
      </c>
      <c r="D1052" s="6">
        <f t="shared" ca="1" si="82"/>
        <v>-3.6819233115065908E-2</v>
      </c>
      <c r="E1052" s="6">
        <f t="shared" ca="1" si="83"/>
        <v>-4.0771316718553711E-2</v>
      </c>
      <c r="F1052">
        <f t="shared" ca="1" si="81"/>
        <v>2.5532574418275993E-2</v>
      </c>
      <c r="G1052">
        <f t="shared" ca="1" si="80"/>
        <v>-1.3933899925599047</v>
      </c>
      <c r="H1052">
        <f t="shared" ca="1" si="84"/>
        <v>1.3657679663737572</v>
      </c>
    </row>
    <row r="1053" spans="1:8" x14ac:dyDescent="0.25">
      <c r="A1053" s="1">
        <v>41708</v>
      </c>
      <c r="B1053">
        <v>603.52386190000004</v>
      </c>
      <c r="C1053" s="6">
        <v>2.6506906770727267E-3</v>
      </c>
      <c r="D1053" s="6">
        <f t="shared" ca="1" si="82"/>
        <v>2.112339925072975E-2</v>
      </c>
      <c r="E1053" s="6">
        <f t="shared" ca="1" si="83"/>
        <v>1.8472708573657022E-2</v>
      </c>
      <c r="F1053">
        <f t="shared" ca="1" si="81"/>
        <v>2.3926461129763606E-2</v>
      </c>
      <c r="G1053">
        <f t="shared" ca="1" si="80"/>
        <v>0.90371146920342127</v>
      </c>
      <c r="H1053">
        <f t="shared" ca="1" si="84"/>
        <v>2.5116044831414119</v>
      </c>
    </row>
    <row r="1054" spans="1:8" x14ac:dyDescent="0.25">
      <c r="A1054" s="5">
        <v>41709</v>
      </c>
      <c r="B1054">
        <v>597.75548070000002</v>
      </c>
      <c r="C1054" s="6">
        <v>9.5578345184896846E-3</v>
      </c>
      <c r="D1054" s="6">
        <f t="shared" ca="1" si="82"/>
        <v>-3.7044816097967101E-2</v>
      </c>
      <c r="E1054" s="6">
        <f t="shared" ca="1" si="83"/>
        <v>-4.6602650616456784E-2</v>
      </c>
      <c r="F1054">
        <f t="shared" ca="1" si="81"/>
        <v>1.6906322917446478E-2</v>
      </c>
      <c r="G1054">
        <f t="shared" ca="1" si="80"/>
        <v>-2.2965075704672482</v>
      </c>
      <c r="H1054">
        <f t="shared" ca="1" si="84"/>
        <v>0.91810277326635137</v>
      </c>
    </row>
    <row r="1055" spans="1:8" x14ac:dyDescent="0.25">
      <c r="A1055" s="1">
        <v>41710</v>
      </c>
      <c r="B1055">
        <v>601.39684399999999</v>
      </c>
      <c r="C1055" s="6">
        <v>-6.0917271653214405E-3</v>
      </c>
      <c r="D1055" s="6">
        <f t="shared" ca="1" si="82"/>
        <v>2.4300195685279077E-2</v>
      </c>
      <c r="E1055" s="6">
        <f t="shared" ca="1" si="83"/>
        <v>3.0391922850600515E-2</v>
      </c>
      <c r="F1055">
        <f t="shared" ca="1" si="81"/>
        <v>3.7196059794686924E-2</v>
      </c>
      <c r="G1055">
        <f t="shared" ca="1" si="80"/>
        <v>0.62118812266982748</v>
      </c>
      <c r="H1055">
        <f t="shared" ca="1" si="84"/>
        <v>1.9936020152597358</v>
      </c>
    </row>
    <row r="1056" spans="1:8" x14ac:dyDescent="0.25">
      <c r="A1056" s="5">
        <v>41711</v>
      </c>
      <c r="B1056">
        <v>592.31089139999995</v>
      </c>
      <c r="C1056" s="6">
        <v>1.5108081611416042E-2</v>
      </c>
      <c r="D1056" s="6">
        <f t="shared" ca="1" si="82"/>
        <v>-2.638222621012528E-2</v>
      </c>
      <c r="E1056" s="6">
        <f t="shared" ca="1" si="83"/>
        <v>-4.1490307821541325E-2</v>
      </c>
      <c r="F1056">
        <f t="shared" ca="1" si="81"/>
        <v>1.5146489921510393E-2</v>
      </c>
      <c r="G1056">
        <f t="shared" ca="1" si="80"/>
        <v>-2.026111271364079</v>
      </c>
      <c r="H1056">
        <f t="shared" ca="1" si="84"/>
        <v>1.3138155689638746</v>
      </c>
    </row>
    <row r="1057" spans="1:8" x14ac:dyDescent="0.25">
      <c r="A1057" s="1">
        <v>41712</v>
      </c>
      <c r="B1057">
        <v>584.21126770000001</v>
      </c>
      <c r="C1057" s="6">
        <v>1.3674615506149949E-2</v>
      </c>
      <c r="D1057" s="6">
        <f t="shared" ca="1" si="82"/>
        <v>-2.4401802793807562E-2</v>
      </c>
      <c r="E1057" s="6">
        <f t="shared" ca="1" si="83"/>
        <v>-3.8076418299957511E-2</v>
      </c>
      <c r="F1057">
        <f t="shared" ca="1" si="81"/>
        <v>3.2974922536730338E-2</v>
      </c>
      <c r="G1057">
        <f t="shared" ca="1" si="80"/>
        <v>-0.65678343384444382</v>
      </c>
      <c r="H1057">
        <f t="shared" ca="1" si="84"/>
        <v>1.5523752787364515</v>
      </c>
    </row>
    <row r="1058" spans="1:8" x14ac:dyDescent="0.25">
      <c r="A1058" s="5">
        <v>41715</v>
      </c>
      <c r="B1058">
        <v>593.8252367</v>
      </c>
      <c r="C1058" s="6">
        <v>-1.6456322449667118E-2</v>
      </c>
      <c r="D1058" s="6">
        <f t="shared" ca="1" si="82"/>
        <v>-3.394216472198998E-3</v>
      </c>
      <c r="E1058" s="6">
        <f t="shared" ca="1" si="83"/>
        <v>1.3062105977468121E-2</v>
      </c>
      <c r="F1058">
        <f t="shared" ca="1" si="81"/>
        <v>1.4900165709338256E-2</v>
      </c>
      <c r="G1058">
        <f t="shared" ca="1" si="80"/>
        <v>-0.68465637351045106</v>
      </c>
      <c r="H1058">
        <f t="shared" ca="1" si="84"/>
        <v>2.6640004019045809</v>
      </c>
    </row>
    <row r="1059" spans="1:8" x14ac:dyDescent="0.25">
      <c r="A1059" s="1">
        <v>41716</v>
      </c>
      <c r="B1059">
        <v>603.36944270000004</v>
      </c>
      <c r="C1059" s="6">
        <v>-1.6072415603349904E-2</v>
      </c>
      <c r="D1059" s="6">
        <f t="shared" ca="1" si="82"/>
        <v>1.324488928628911E-2</v>
      </c>
      <c r="E1059" s="6">
        <f t="shared" ca="1" si="83"/>
        <v>2.9317304889639014E-2</v>
      </c>
      <c r="F1059">
        <f t="shared" ca="1" si="81"/>
        <v>1.328466604963504E-2</v>
      </c>
      <c r="G1059">
        <f t="shared" ca="1" si="80"/>
        <v>0.533244026474607</v>
      </c>
      <c r="H1059">
        <f t="shared" ca="1" si="84"/>
        <v>2.0505886068909303</v>
      </c>
    </row>
    <row r="1060" spans="1:8" x14ac:dyDescent="0.25">
      <c r="A1060" s="5">
        <v>41717</v>
      </c>
      <c r="B1060">
        <v>597.38688879999995</v>
      </c>
      <c r="C1060" s="6">
        <v>9.9152417683416837E-3</v>
      </c>
      <c r="D1060" s="6">
        <f t="shared" ca="1" si="82"/>
        <v>1.6551924004752833E-2</v>
      </c>
      <c r="E1060" s="6">
        <f t="shared" ca="1" si="83"/>
        <v>6.636682236411149E-3</v>
      </c>
      <c r="F1060">
        <f t="shared" ca="1" si="81"/>
        <v>1.128834308218799E-2</v>
      </c>
      <c r="G1060">
        <f t="shared" ca="1" si="80"/>
        <v>2.12313708772587</v>
      </c>
      <c r="H1060">
        <f t="shared" ca="1" si="84"/>
        <v>2.7778657309919943</v>
      </c>
    </row>
    <row r="1061" spans="1:8" x14ac:dyDescent="0.25">
      <c r="A1061" s="1">
        <v>41718</v>
      </c>
      <c r="B1061">
        <v>596.3457492</v>
      </c>
      <c r="C1061" s="6">
        <v>1.7428229837640713E-3</v>
      </c>
      <c r="D1061" s="6">
        <f t="shared" ca="1" si="82"/>
        <v>6.4770347929746256E-3</v>
      </c>
      <c r="E1061" s="6">
        <f t="shared" ca="1" si="83"/>
        <v>4.7342118092105548E-3</v>
      </c>
      <c r="F1061">
        <f t="shared" ca="1" si="81"/>
        <v>3.4375364858339467E-2</v>
      </c>
      <c r="G1061">
        <f t="shared" ca="1" si="80"/>
        <v>0.39907675016808863</v>
      </c>
      <c r="H1061">
        <f t="shared" ca="1" si="84"/>
        <v>2.7975978293635397</v>
      </c>
    </row>
    <row r="1062" spans="1:8" x14ac:dyDescent="0.25">
      <c r="A1062" s="5">
        <v>41719</v>
      </c>
      <c r="B1062">
        <v>589.31210650000003</v>
      </c>
      <c r="C1062" s="6">
        <v>1.1794571705148617E-2</v>
      </c>
      <c r="D1062" s="6">
        <f t="shared" ca="1" si="82"/>
        <v>1.4573014663926943E-2</v>
      </c>
      <c r="E1062" s="6">
        <f t="shared" ca="1" si="83"/>
        <v>2.7784429587783266E-3</v>
      </c>
      <c r="F1062">
        <f t="shared" ca="1" si="81"/>
        <v>1.2644184281952941E-2</v>
      </c>
      <c r="G1062">
        <f t="shared" ca="1" si="80"/>
        <v>0.79922949512280694</v>
      </c>
      <c r="H1062">
        <f t="shared" ca="1" si="84"/>
        <v>2.8112236617634259</v>
      </c>
    </row>
    <row r="1063" spans="1:8" x14ac:dyDescent="0.25">
      <c r="A1063" s="1">
        <v>41722</v>
      </c>
      <c r="B1063">
        <v>576.80396759999996</v>
      </c>
      <c r="C1063" s="6">
        <v>2.1224982080017836E-2</v>
      </c>
      <c r="D1063" s="6">
        <f t="shared" ca="1" si="82"/>
        <v>-4.7995511720713127E-4</v>
      </c>
      <c r="E1063" s="6">
        <f t="shared" ca="1" si="83"/>
        <v>-2.1704937197224966E-2</v>
      </c>
      <c r="F1063">
        <f t="shared" ca="1" si="81"/>
        <v>1.4666444988346503E-2</v>
      </c>
      <c r="G1063">
        <f t="shared" ca="1" si="80"/>
        <v>-8.6277974871985172E-2</v>
      </c>
      <c r="H1063">
        <f t="shared" ca="1" si="84"/>
        <v>2.4105500325899336</v>
      </c>
    </row>
    <row r="1064" spans="1:8" x14ac:dyDescent="0.25">
      <c r="A1064" s="5">
        <v>41723</v>
      </c>
      <c r="B1064">
        <v>577.19752300000005</v>
      </c>
      <c r="C1064" s="6">
        <v>-6.8230355910624295E-4</v>
      </c>
      <c r="D1064" s="6">
        <f t="shared" ca="1" si="82"/>
        <v>-2.2113580787704937E-3</v>
      </c>
      <c r="E1064" s="6">
        <f t="shared" ca="1" si="83"/>
        <v>-1.5290545196642506E-3</v>
      </c>
      <c r="F1064">
        <f t="shared" ca="1" si="81"/>
        <v>7.7814771126784865E-3</v>
      </c>
      <c r="G1064">
        <f t="shared" ca="1" si="80"/>
        <v>-0.96714736579424065</v>
      </c>
      <c r="H1064">
        <f t="shared" ca="1" si="84"/>
        <v>2.8174254407746817</v>
      </c>
    </row>
    <row r="1065" spans="1:8" x14ac:dyDescent="0.25">
      <c r="A1065" s="1">
        <v>41724</v>
      </c>
      <c r="B1065">
        <v>563.87242670000001</v>
      </c>
      <c r="C1065" s="6">
        <v>2.3085851496282391E-2</v>
      </c>
      <c r="D1065" s="6">
        <f t="shared" ca="1" si="82"/>
        <v>-2.7693650191621677E-3</v>
      </c>
      <c r="E1065" s="6">
        <f t="shared" ca="1" si="83"/>
        <v>-2.5855216515444559E-2</v>
      </c>
      <c r="F1065">
        <f t="shared" ca="1" si="81"/>
        <v>1.6824431462516401E-2</v>
      </c>
      <c r="G1065">
        <f t="shared" ca="1" si="80"/>
        <v>-0.73300642367512203</v>
      </c>
      <c r="H1065">
        <f t="shared" ca="1" si="84"/>
        <v>2.2377578443302477</v>
      </c>
    </row>
    <row r="1066" spans="1:8" x14ac:dyDescent="0.25">
      <c r="A1066" s="5">
        <v>41725</v>
      </c>
      <c r="B1066">
        <v>556.93349009999997</v>
      </c>
      <c r="C1066" s="6">
        <v>1.2305862587765427E-2</v>
      </c>
      <c r="D1066" s="6">
        <f t="shared" ca="1" si="82"/>
        <v>-2.3085458371032909E-2</v>
      </c>
      <c r="E1066" s="6">
        <f t="shared" ca="1" si="83"/>
        <v>-3.5391320958798336E-2</v>
      </c>
      <c r="F1066">
        <f t="shared" ca="1" si="81"/>
        <v>1.4054019168671401E-2</v>
      </c>
      <c r="G1066">
        <f t="shared" ca="1" si="80"/>
        <v>-1.6207764747725921</v>
      </c>
      <c r="H1066">
        <f t="shared" ca="1" si="84"/>
        <v>1.7255557225631217</v>
      </c>
    </row>
    <row r="1067" spans="1:8" x14ac:dyDescent="0.25">
      <c r="A1067" s="1">
        <v>41726</v>
      </c>
      <c r="B1067">
        <v>558.45931499999995</v>
      </c>
      <c r="C1067" s="6">
        <v>-2.7396896166650099E-3</v>
      </c>
      <c r="D1067" s="6">
        <f t="shared" ca="1" si="82"/>
        <v>1.522771387109258E-2</v>
      </c>
      <c r="E1067" s="6">
        <f t="shared" ca="1" si="83"/>
        <v>1.7967403487757591E-2</v>
      </c>
      <c r="F1067">
        <f t="shared" ca="1" si="81"/>
        <v>2.6743981639695803E-2</v>
      </c>
      <c r="G1067">
        <f t="shared" ca="1" si="80"/>
        <v>0.18045256622301648</v>
      </c>
      <c r="H1067">
        <f t="shared" ca="1" si="84"/>
        <v>2.5280243767962323</v>
      </c>
    </row>
    <row r="1068" spans="1:8" x14ac:dyDescent="0.25">
      <c r="A1068" s="5">
        <v>41729</v>
      </c>
      <c r="B1068">
        <v>555.4475218</v>
      </c>
      <c r="C1068" s="6">
        <v>5.3930395985962616E-3</v>
      </c>
      <c r="D1068" s="6">
        <f t="shared" ca="1" si="82"/>
        <v>7.2153211409407472E-3</v>
      </c>
      <c r="E1068" s="6">
        <f t="shared" ca="1" si="83"/>
        <v>1.8222815423444855E-3</v>
      </c>
      <c r="F1068">
        <f t="shared" ca="1" si="81"/>
        <v>9.9280907474787183E-3</v>
      </c>
      <c r="G1068">
        <f t="shared" ca="1" si="80"/>
        <v>0.16829770457421039</v>
      </c>
      <c r="H1068">
        <f t="shared" ca="1" si="84"/>
        <v>2.815428155769732</v>
      </c>
    </row>
    <row r="1069" spans="1:8" x14ac:dyDescent="0.25">
      <c r="A1069" s="1">
        <v>41730</v>
      </c>
      <c r="B1069">
        <v>565.60967659999994</v>
      </c>
      <c r="C1069" s="6">
        <v>-1.8295436384463744E-2</v>
      </c>
      <c r="D1069" s="6">
        <f t="shared" ca="1" si="82"/>
        <v>9.5067063010687829E-3</v>
      </c>
      <c r="E1069" s="6">
        <f t="shared" ca="1" si="83"/>
        <v>2.7802142685532528E-2</v>
      </c>
      <c r="F1069">
        <f t="shared" ca="1" si="81"/>
        <v>7.641085505962558E-3</v>
      </c>
      <c r="G1069">
        <f t="shared" ca="1" si="80"/>
        <v>1.4056907500736149</v>
      </c>
      <c r="H1069">
        <f t="shared" ca="1" si="84"/>
        <v>2.1274742851133586</v>
      </c>
    </row>
    <row r="1070" spans="1:8" x14ac:dyDescent="0.25">
      <c r="A1070" s="5">
        <v>41731</v>
      </c>
      <c r="B1070">
        <v>565.45013070000005</v>
      </c>
      <c r="C1070" s="6">
        <v>2.8207774124191533E-4</v>
      </c>
      <c r="D1070" s="6">
        <f t="shared" ca="1" si="82"/>
        <v>2.9395468500113533E-3</v>
      </c>
      <c r="E1070" s="6">
        <f t="shared" ca="1" si="83"/>
        <v>2.6574691087694379E-3</v>
      </c>
      <c r="F1070">
        <f t="shared" ca="1" si="81"/>
        <v>2.3311894326146547E-2</v>
      </c>
      <c r="G1070">
        <f t="shared" ca="1" si="80"/>
        <v>2.1876306816055156E-2</v>
      </c>
      <c r="H1070">
        <f t="shared" ca="1" si="84"/>
        <v>2.8118447782100588</v>
      </c>
    </row>
    <row r="1071" spans="1:8" x14ac:dyDescent="0.25">
      <c r="A1071" s="1">
        <v>41732</v>
      </c>
      <c r="B1071">
        <v>568.18262560000005</v>
      </c>
      <c r="C1071" s="6">
        <v>-4.8324242079797715E-3</v>
      </c>
      <c r="D1071" s="6">
        <f t="shared" ca="1" si="82"/>
        <v>-2.1298639608349811E-3</v>
      </c>
      <c r="E1071" s="6">
        <f t="shared" ca="1" si="83"/>
        <v>2.7025602471447904E-3</v>
      </c>
      <c r="F1071">
        <f t="shared" ca="1" si="81"/>
        <v>8.9239144843225593E-3</v>
      </c>
      <c r="G1071">
        <f t="shared" ca="1" si="80"/>
        <v>0.68504319433531136</v>
      </c>
      <c r="H1071">
        <f t="shared" ca="1" si="84"/>
        <v>2.8116162861662253</v>
      </c>
    </row>
    <row r="1072" spans="1:8" x14ac:dyDescent="0.25">
      <c r="A1072" s="5">
        <v>41733</v>
      </c>
      <c r="B1072">
        <v>541.65534530000002</v>
      </c>
      <c r="C1072" s="6">
        <v>4.6687946981812861E-2</v>
      </c>
      <c r="D1072" s="6">
        <f t="shared" ca="1" si="82"/>
        <v>2.4699980194501533E-2</v>
      </c>
      <c r="E1072" s="6">
        <f t="shared" ca="1" si="83"/>
        <v>-2.1987966787311328E-2</v>
      </c>
      <c r="F1072">
        <f t="shared" ca="1" si="81"/>
        <v>1.2945385750427993E-2</v>
      </c>
      <c r="G1072">
        <f t="shared" ca="1" si="80"/>
        <v>1.8982028440761527</v>
      </c>
      <c r="H1072">
        <f t="shared" ca="1" si="84"/>
        <v>2.3997323348008219</v>
      </c>
    </row>
    <row r="1073" spans="1:8" x14ac:dyDescent="0.25">
      <c r="A1073" s="1">
        <v>41736</v>
      </c>
      <c r="B1073">
        <v>536.67900380000003</v>
      </c>
      <c r="C1073" s="6">
        <v>9.1872840232820087E-3</v>
      </c>
      <c r="D1073" s="6">
        <f t="shared" ca="1" si="82"/>
        <v>1.407268657458776E-2</v>
      </c>
      <c r="E1073" s="6">
        <f t="shared" ca="1" si="83"/>
        <v>4.8854025513057515E-3</v>
      </c>
      <c r="F1073">
        <f t="shared" ca="1" si="81"/>
        <v>3.0947622116117256E-2</v>
      </c>
      <c r="G1073">
        <f t="shared" ca="1" si="80"/>
        <v>0.52505476584351218</v>
      </c>
      <c r="H1073">
        <f t="shared" ca="1" si="84"/>
        <v>2.7962633664801877</v>
      </c>
    </row>
    <row r="1074" spans="1:8" x14ac:dyDescent="0.25">
      <c r="A1074" s="5">
        <v>41737</v>
      </c>
      <c r="B1074">
        <v>553.38318149999998</v>
      </c>
      <c r="C1074" s="6">
        <v>-3.1125081439230221E-2</v>
      </c>
      <c r="D1074" s="6">
        <f t="shared" ca="1" si="82"/>
        <v>1.7664085653172762E-2</v>
      </c>
      <c r="E1074" s="6">
        <f t="shared" ca="1" si="83"/>
        <v>4.8789167092402982E-2</v>
      </c>
      <c r="F1074">
        <f t="shared" ca="1" si="81"/>
        <v>1.3221877147725115E-2</v>
      </c>
      <c r="G1074">
        <f t="shared" ca="1" si="80"/>
        <v>-0.25500494229170412</v>
      </c>
      <c r="H1074">
        <f t="shared" ca="1" si="84"/>
        <v>0.70187201680609179</v>
      </c>
    </row>
    <row r="1075" spans="1:8" x14ac:dyDescent="0.25">
      <c r="A1075" s="1">
        <v>41738</v>
      </c>
      <c r="B1075">
        <v>562.59794429999999</v>
      </c>
      <c r="C1075" s="6">
        <v>-1.6651685681922043E-2</v>
      </c>
      <c r="D1075" s="6">
        <f t="shared" ca="1" si="82"/>
        <v>-5.8436575894243213E-3</v>
      </c>
      <c r="E1075" s="6">
        <f t="shared" ca="1" si="83"/>
        <v>1.0808028092497722E-2</v>
      </c>
      <c r="F1075">
        <f t="shared" ca="1" si="81"/>
        <v>8.5095390365936621E-3</v>
      </c>
      <c r="G1075">
        <f t="shared" ca="1" si="80"/>
        <v>-1.173099637728209</v>
      </c>
      <c r="H1075">
        <f t="shared" ca="1" si="84"/>
        <v>2.7122426431471744</v>
      </c>
    </row>
    <row r="1076" spans="1:8" x14ac:dyDescent="0.25">
      <c r="A1076" s="5">
        <v>41739</v>
      </c>
      <c r="B1076">
        <v>539.47131449999995</v>
      </c>
      <c r="C1076" s="6">
        <v>4.1106850876916803E-2</v>
      </c>
      <c r="D1076" s="6">
        <f t="shared" ca="1" si="82"/>
        <v>-4.8037889698394169E-3</v>
      </c>
      <c r="E1076" s="6">
        <f t="shared" ca="1" si="83"/>
        <v>-4.5910639846756224E-2</v>
      </c>
      <c r="F1076">
        <f t="shared" ca="1" si="81"/>
        <v>1.9853683103609125E-2</v>
      </c>
      <c r="G1076">
        <f t="shared" ca="1" si="80"/>
        <v>0.46440286778657286</v>
      </c>
      <c r="H1076">
        <f t="shared" ca="1" si="84"/>
        <v>0.97436621592322781</v>
      </c>
    </row>
    <row r="1077" spans="1:8" x14ac:dyDescent="0.25">
      <c r="A1077" s="1">
        <v>41740</v>
      </c>
      <c r="B1077">
        <v>529.14961170000004</v>
      </c>
      <c r="C1077" s="6">
        <v>1.9132996551570886E-2</v>
      </c>
      <c r="D1077" s="6">
        <f t="shared" ca="1" si="82"/>
        <v>-1.9302864991801814E-3</v>
      </c>
      <c r="E1077" s="6">
        <f t="shared" ca="1" si="83"/>
        <v>-2.1063283050751065E-2</v>
      </c>
      <c r="F1077">
        <f t="shared" ca="1" si="81"/>
        <v>1.1137395003886545E-2</v>
      </c>
      <c r="G1077">
        <f t="shared" ca="1" si="80"/>
        <v>0.50025753776840043</v>
      </c>
      <c r="H1077">
        <f t="shared" ca="1" si="84"/>
        <v>2.4345511480980981</v>
      </c>
    </row>
    <row r="1078" spans="1:8" x14ac:dyDescent="0.25">
      <c r="A1078" s="5">
        <v>41743</v>
      </c>
      <c r="B1078">
        <v>531.06435480000005</v>
      </c>
      <c r="C1078" s="6">
        <v>-3.6185287821501192E-3</v>
      </c>
      <c r="D1078" s="6">
        <f t="shared" ca="1" si="82"/>
        <v>2.8813075247575835E-2</v>
      </c>
      <c r="E1078" s="6">
        <f t="shared" ca="1" si="83"/>
        <v>3.2431604029725954E-2</v>
      </c>
      <c r="F1078">
        <f t="shared" ca="1" si="81"/>
        <v>1.0750113825597622E-2</v>
      </c>
      <c r="G1078">
        <f t="shared" ca="1" si="80"/>
        <v>0.9573649836538789</v>
      </c>
      <c r="H1078">
        <f t="shared" ca="1" si="84"/>
        <v>1.8798327853237649</v>
      </c>
    </row>
    <row r="1079" spans="1:8" x14ac:dyDescent="0.25">
      <c r="A1079" s="1">
        <v>41744</v>
      </c>
      <c r="B1079">
        <v>534.97367380000003</v>
      </c>
      <c r="C1079" s="6">
        <v>-7.3612905190600488E-3</v>
      </c>
      <c r="D1079" s="6">
        <f t="shared" ca="1" si="82"/>
        <v>-1.0782849045377421E-3</v>
      </c>
      <c r="E1079" s="6">
        <f t="shared" ca="1" si="83"/>
        <v>6.2830056145223067E-3</v>
      </c>
      <c r="F1079">
        <f t="shared" ca="1" si="81"/>
        <v>1.6788032715274084E-2</v>
      </c>
      <c r="G1079">
        <f t="shared" ca="1" si="80"/>
        <v>-0.57771683298607313</v>
      </c>
      <c r="H1079">
        <f t="shared" ca="1" si="84"/>
        <v>2.7820174046089896</v>
      </c>
    </row>
    <row r="1080" spans="1:8" x14ac:dyDescent="0.25">
      <c r="A1080" s="5">
        <v>41745</v>
      </c>
      <c r="B1080">
        <v>555.01868620000005</v>
      </c>
      <c r="C1080" s="6">
        <v>-3.7469156673855038E-2</v>
      </c>
      <c r="D1080" s="6">
        <f t="shared" ca="1" si="82"/>
        <v>1.9577490294519068E-2</v>
      </c>
      <c r="E1080" s="6">
        <f t="shared" ca="1" si="83"/>
        <v>5.704664696837411E-2</v>
      </c>
      <c r="F1080">
        <f t="shared" ca="1" si="81"/>
        <v>1.2102876874738036E-2</v>
      </c>
      <c r="G1080">
        <f t="shared" ca="1" si="80"/>
        <v>1.7523077752061251</v>
      </c>
      <c r="H1080">
        <f t="shared" ca="1" si="84"/>
        <v>-7.214779002069531E-2</v>
      </c>
    </row>
    <row r="1081" spans="1:8" x14ac:dyDescent="0.25">
      <c r="A1081" s="1">
        <v>41746</v>
      </c>
      <c r="B1081">
        <v>534.63456080000003</v>
      </c>
      <c r="C1081" s="6">
        <v>3.672691732158119E-2</v>
      </c>
      <c r="D1081" s="6">
        <f t="shared" ca="1" si="82"/>
        <v>-1.239961919735353E-2</v>
      </c>
      <c r="E1081" s="6">
        <f t="shared" ca="1" si="83"/>
        <v>-4.912653651893472E-2</v>
      </c>
      <c r="F1081">
        <f t="shared" ca="1" si="81"/>
        <v>2.8689340187063237E-2</v>
      </c>
      <c r="G1081">
        <f t="shared" ca="1" si="80"/>
        <v>-0.31657469137336891</v>
      </c>
      <c r="H1081">
        <f t="shared" ca="1" si="84"/>
        <v>0.70573729796119733</v>
      </c>
    </row>
    <row r="1082" spans="1:8" x14ac:dyDescent="0.25">
      <c r="A1082" s="5">
        <v>41750</v>
      </c>
      <c r="B1082">
        <v>527.17505489999996</v>
      </c>
      <c r="C1082" s="6">
        <v>1.3952532153622918E-2</v>
      </c>
      <c r="D1082" s="6">
        <f t="shared" ca="1" si="82"/>
        <v>-1.2551781164808307E-2</v>
      </c>
      <c r="E1082" s="6">
        <f t="shared" ca="1" si="83"/>
        <v>-2.6504313318431227E-2</v>
      </c>
      <c r="F1082">
        <f t="shared" ca="1" si="81"/>
        <v>1.1061017818696993E-2</v>
      </c>
      <c r="G1082">
        <f t="shared" ca="1" si="80"/>
        <v>0.39142864770177255</v>
      </c>
      <c r="H1082">
        <f t="shared" ca="1" si="84"/>
        <v>2.2079842662035443</v>
      </c>
    </row>
    <row r="1083" spans="1:8" x14ac:dyDescent="0.25">
      <c r="A1083" s="1">
        <v>41751</v>
      </c>
      <c r="B1083">
        <v>533.34811769999999</v>
      </c>
      <c r="C1083" s="6">
        <v>-1.1709702010029658E-2</v>
      </c>
      <c r="D1083" s="6">
        <f t="shared" ca="1" si="82"/>
        <v>1.6885925645702959E-2</v>
      </c>
      <c r="E1083" s="6">
        <f t="shared" ca="1" si="83"/>
        <v>2.8595627655732619E-2</v>
      </c>
      <c r="F1083">
        <f t="shared" ca="1" si="81"/>
        <v>9.5478994196959311E-3</v>
      </c>
      <c r="G1083">
        <f t="shared" ca="1" si="80"/>
        <v>3.541386473317417E-2</v>
      </c>
      <c r="H1083">
        <f t="shared" ca="1" si="84"/>
        <v>2.0877148789034492</v>
      </c>
    </row>
    <row r="1084" spans="1:8" x14ac:dyDescent="0.25">
      <c r="A1084" s="5">
        <v>41752</v>
      </c>
      <c r="B1084">
        <v>525.49963179999997</v>
      </c>
      <c r="C1084" s="6">
        <v>1.4715503138636116E-2</v>
      </c>
      <c r="D1084" s="6">
        <f t="shared" ca="1" si="82"/>
        <v>1.0325982577552902E-3</v>
      </c>
      <c r="E1084" s="6">
        <f t="shared" ca="1" si="83"/>
        <v>-1.3682904880880826E-2</v>
      </c>
      <c r="F1084">
        <f t="shared" ca="1" si="81"/>
        <v>7.1511741244784455E-3</v>
      </c>
      <c r="G1084">
        <f t="shared" ca="1" si="80"/>
        <v>-0.73465110848566784</v>
      </c>
      <c r="H1084">
        <f t="shared" ca="1" si="84"/>
        <v>2.6583666632362739</v>
      </c>
    </row>
    <row r="1085" spans="1:8" x14ac:dyDescent="0.25">
      <c r="A1085" s="1">
        <v>41753</v>
      </c>
      <c r="B1085">
        <v>523.72447739999996</v>
      </c>
      <c r="C1085" s="6">
        <v>3.3780316722954924E-3</v>
      </c>
      <c r="D1085" s="6">
        <f t="shared" ca="1" si="82"/>
        <v>5.1965972089513595E-3</v>
      </c>
      <c r="E1085" s="6">
        <f t="shared" ca="1" si="83"/>
        <v>1.8185655366558672E-3</v>
      </c>
      <c r="F1085">
        <f t="shared" ca="1" si="81"/>
        <v>1.3542801600444661E-2</v>
      </c>
      <c r="G1085">
        <f t="shared" ca="1" si="80"/>
        <v>0.77326991910726683</v>
      </c>
      <c r="H1085">
        <f t="shared" ca="1" si="84"/>
        <v>2.8154413482866212</v>
      </c>
    </row>
    <row r="1086" spans="1:8" x14ac:dyDescent="0.25">
      <c r="A1086" s="5">
        <v>41754</v>
      </c>
      <c r="B1086">
        <v>514.76905360000001</v>
      </c>
      <c r="C1086" s="6">
        <v>1.7099494460252527E-2</v>
      </c>
      <c r="D1086" s="6">
        <f t="shared" ca="1" si="82"/>
        <v>-1.5414411822857561E-3</v>
      </c>
      <c r="E1086" s="6">
        <f t="shared" ca="1" si="83"/>
        <v>-1.8640935642538284E-2</v>
      </c>
      <c r="F1086">
        <f t="shared" ca="1" si="81"/>
        <v>1.4365842965697789E-2</v>
      </c>
      <c r="G1086">
        <f t="shared" ca="1" si="80"/>
        <v>-0.56882626961698901</v>
      </c>
      <c r="H1086">
        <f t="shared" ca="1" si="84"/>
        <v>2.5186093495340107</v>
      </c>
    </row>
    <row r="1087" spans="1:8" x14ac:dyDescent="0.25">
      <c r="A1087" s="1">
        <v>41757</v>
      </c>
      <c r="B1087">
        <v>515.73640469999998</v>
      </c>
      <c r="C1087" s="6">
        <v>-1.879194355672459E-3</v>
      </c>
      <c r="D1087" s="6">
        <f t="shared" ca="1" si="82"/>
        <v>3.7510971897860819E-3</v>
      </c>
      <c r="E1087" s="6">
        <f t="shared" ca="1" si="83"/>
        <v>5.6302915454585411E-3</v>
      </c>
      <c r="F1087">
        <f t="shared" ca="1" si="81"/>
        <v>1.17957909222917E-2</v>
      </c>
      <c r="G1087">
        <f t="shared" ca="1" si="80"/>
        <v>0.1889503472992104</v>
      </c>
      <c r="H1087">
        <f t="shared" ca="1" si="84"/>
        <v>2.7890996728845989</v>
      </c>
    </row>
    <row r="1088" spans="1:8" x14ac:dyDescent="0.25">
      <c r="A1088" s="5">
        <v>41758</v>
      </c>
      <c r="B1088">
        <v>526.25756980000006</v>
      </c>
      <c r="C1088" s="6">
        <v>-2.0400276195589023E-2</v>
      </c>
      <c r="D1088" s="6">
        <f t="shared" ca="1" si="82"/>
        <v>9.7244014527187173E-3</v>
      </c>
      <c r="E1088" s="6">
        <f t="shared" ca="1" si="83"/>
        <v>3.012467764830774E-2</v>
      </c>
      <c r="F1088">
        <f t="shared" ca="1" si="81"/>
        <v>7.9250995837274549E-3</v>
      </c>
      <c r="G1088">
        <f t="shared" ca="1" si="80"/>
        <v>0.25490366613123766</v>
      </c>
      <c r="H1088">
        <f t="shared" ca="1" si="84"/>
        <v>2.0079643396026272</v>
      </c>
    </row>
    <row r="1089" spans="1:8" x14ac:dyDescent="0.25">
      <c r="A1089" s="1">
        <v>41759</v>
      </c>
      <c r="B1089">
        <v>525.22039540000003</v>
      </c>
      <c r="C1089" s="6">
        <v>1.9708493701937552E-3</v>
      </c>
      <c r="D1089" s="6">
        <f t="shared" ca="1" si="82"/>
        <v>1.2218196243216874E-2</v>
      </c>
      <c r="E1089" s="6">
        <f t="shared" ca="1" si="83"/>
        <v>1.024734687302312E-2</v>
      </c>
      <c r="F1089">
        <f t="shared" ca="1" si="81"/>
        <v>8.0804557902289294E-3</v>
      </c>
      <c r="G1089">
        <f t="shared" ca="1" si="80"/>
        <v>1.6168911817304019</v>
      </c>
      <c r="H1089">
        <f t="shared" ca="1" si="84"/>
        <v>2.7228497379518632</v>
      </c>
    </row>
    <row r="1090" spans="1:8" x14ac:dyDescent="0.25">
      <c r="A1090" s="5">
        <v>41760</v>
      </c>
      <c r="B1090">
        <v>529.89760109999997</v>
      </c>
      <c r="C1090" s="6">
        <v>-8.9052248179316319E-3</v>
      </c>
      <c r="D1090" s="6">
        <f t="shared" ca="1" si="82"/>
        <v>4.7641854831935795E-4</v>
      </c>
      <c r="E1090" s="6">
        <f t="shared" ca="1" si="83"/>
        <v>9.3816433662509899E-3</v>
      </c>
      <c r="F1090">
        <f t="shared" ca="1" si="81"/>
        <v>2.6527411669232233E-2</v>
      </c>
      <c r="G1090">
        <f t="shared" ca="1" si="80"/>
        <v>0.36444835731782554</v>
      </c>
      <c r="H1090">
        <f t="shared" ca="1" si="84"/>
        <v>2.7381375994950927</v>
      </c>
    </row>
    <row r="1091" spans="1:8" x14ac:dyDescent="0.25">
      <c r="A1091" s="1">
        <v>41761</v>
      </c>
      <c r="B1091">
        <v>526.48694109999997</v>
      </c>
      <c r="C1091" s="6">
        <v>6.4364511047415784E-3</v>
      </c>
      <c r="D1091" s="6">
        <f t="shared" ca="1" si="82"/>
        <v>8.7609188224983536E-3</v>
      </c>
      <c r="E1091" s="6">
        <f t="shared" ca="1" si="83"/>
        <v>2.3244677177567752E-3</v>
      </c>
      <c r="F1091">
        <f t="shared" ca="1" si="81"/>
        <v>1.1087643925402752E-2</v>
      </c>
      <c r="G1091">
        <f t="shared" ref="G1091:G1154" ca="1" si="85">_xlfn.NORM.INV(RAND(),0,1)</f>
        <v>0.71007748363211143</v>
      </c>
      <c r="H1091">
        <f t="shared" ca="1" si="84"/>
        <v>2.8134210994191151</v>
      </c>
    </row>
    <row r="1092" spans="1:8" x14ac:dyDescent="0.25">
      <c r="A1092" s="5">
        <v>41764</v>
      </c>
      <c r="B1092">
        <v>526.3672507</v>
      </c>
      <c r="C1092" s="6">
        <v>2.2733783244442124E-4</v>
      </c>
      <c r="D1092" s="6">
        <f t="shared" ca="1" si="82"/>
        <v>-2.7694856881831861E-3</v>
      </c>
      <c r="E1092" s="6">
        <f t="shared" ca="1" si="83"/>
        <v>-2.9968235206276075E-3</v>
      </c>
      <c r="F1092">
        <f t="shared" ref="F1092:F1155" ca="1" si="86">SQRT($K$6+$K$7*POWER($G1091,2)+$K$8*POWER($F1091,2))</f>
        <v>1.3381843519537102E-2</v>
      </c>
      <c r="G1092">
        <f t="shared" ca="1" si="85"/>
        <v>9.2866018881475804E-2</v>
      </c>
      <c r="H1092">
        <f t="shared" ca="1" si="84"/>
        <v>2.8120580800810062</v>
      </c>
    </row>
    <row r="1093" spans="1:8" x14ac:dyDescent="0.25">
      <c r="A1093" s="1">
        <v>41765</v>
      </c>
      <c r="B1093">
        <v>513.73187910000001</v>
      </c>
      <c r="C1093" s="6">
        <v>2.4004858932991337E-2</v>
      </c>
      <c r="D1093" s="6">
        <f t="shared" ref="D1093:D1156" ca="1" si="87">($K$10*$C1092)+($K$11*$C1091)+($F1093*$G1093)</f>
        <v>-3.664247172502846E-3</v>
      </c>
      <c r="E1093" s="6">
        <f t="shared" ca="1" si="83"/>
        <v>-2.7669106105494182E-2</v>
      </c>
      <c r="F1093">
        <f t="shared" ca="1" si="86"/>
        <v>7.6525285171239465E-3</v>
      </c>
      <c r="G1093">
        <f t="shared" ca="1" si="85"/>
        <v>-0.85778687646148954</v>
      </c>
      <c r="H1093">
        <f t="shared" ca="1" si="84"/>
        <v>2.1526915875752479</v>
      </c>
    </row>
    <row r="1094" spans="1:8" x14ac:dyDescent="0.25">
      <c r="A1094" s="5">
        <v>41766</v>
      </c>
      <c r="B1094">
        <v>508.56605289999999</v>
      </c>
      <c r="C1094" s="6">
        <v>1.0055490831228866E-2</v>
      </c>
      <c r="D1094" s="6">
        <f t="shared" ca="1" si="87"/>
        <v>2.7628101892737994E-3</v>
      </c>
      <c r="E1094" s="6">
        <f t="shared" ref="E1094:E1157" ca="1" si="88">$D1094-$C1094</f>
        <v>-7.2926806419550665E-3</v>
      </c>
      <c r="F1094">
        <f t="shared" ca="1" si="86"/>
        <v>1.5263352877353011E-2</v>
      </c>
      <c r="G1094">
        <f t="shared" ca="1" si="85"/>
        <v>0.1742726195126755</v>
      </c>
      <c r="H1094">
        <f t="shared" ref="H1094:H1157" ca="1" si="89">LN(_xlfn.NORM.DIST($E1094,AVERAGE($E$5:$E$1763),_xlfn.STDEV.S($E$5:$E$1763),FALSE))</f>
        <v>2.7744988739757965</v>
      </c>
    </row>
    <row r="1095" spans="1:8" x14ac:dyDescent="0.25">
      <c r="A1095" s="1">
        <v>41767</v>
      </c>
      <c r="B1095">
        <v>509.6031974</v>
      </c>
      <c r="C1095" s="6">
        <v>-2.039350629256306E-3</v>
      </c>
      <c r="D1095" s="6">
        <f t="shared" ca="1" si="87"/>
        <v>1.8665404758252818E-3</v>
      </c>
      <c r="E1095" s="6">
        <f t="shared" ca="1" si="88"/>
        <v>3.9058911050815878E-3</v>
      </c>
      <c r="F1095">
        <f t="shared" ca="1" si="86"/>
        <v>8.2112521425420967E-3</v>
      </c>
      <c r="G1095">
        <f t="shared" ca="1" si="85"/>
        <v>-1.0898680323934513</v>
      </c>
      <c r="H1095">
        <f t="shared" ca="1" si="89"/>
        <v>2.8041928774810847</v>
      </c>
    </row>
    <row r="1096" spans="1:8" x14ac:dyDescent="0.25">
      <c r="A1096" s="5">
        <v>41768</v>
      </c>
      <c r="B1096">
        <v>517.31209460000002</v>
      </c>
      <c r="C1096" s="6">
        <v>-1.5127254380135144E-2</v>
      </c>
      <c r="D1096" s="6">
        <f t="shared" ca="1" si="87"/>
        <v>9.7541770796044343E-4</v>
      </c>
      <c r="E1096" s="6">
        <f t="shared" ca="1" si="88"/>
        <v>1.6102672088095588E-2</v>
      </c>
      <c r="F1096">
        <f t="shared" ca="1" si="86"/>
        <v>1.8619811163012898E-2</v>
      </c>
      <c r="G1096">
        <f t="shared" ca="1" si="85"/>
        <v>-0.19093209537860875</v>
      </c>
      <c r="H1096">
        <f t="shared" ca="1" si="89"/>
        <v>2.5847187205865563</v>
      </c>
    </row>
    <row r="1097" spans="1:8" x14ac:dyDescent="0.25">
      <c r="A1097" s="1">
        <v>41771</v>
      </c>
      <c r="B1097">
        <v>528.47150850000003</v>
      </c>
      <c r="C1097" s="6">
        <v>-2.1571917642151342E-2</v>
      </c>
      <c r="D1097" s="6">
        <f t="shared" ca="1" si="87"/>
        <v>-1.0079583650353673E-2</v>
      </c>
      <c r="E1097" s="6">
        <f t="shared" ca="1" si="88"/>
        <v>1.1492333991797669E-2</v>
      </c>
      <c r="F1097">
        <f t="shared" ca="1" si="86"/>
        <v>8.7271027254767763E-3</v>
      </c>
      <c r="G1097">
        <f t="shared" ca="1" si="85"/>
        <v>-1.0496599127997324</v>
      </c>
      <c r="H1097">
        <f t="shared" ca="1" si="89"/>
        <v>2.6985449546165392</v>
      </c>
    </row>
    <row r="1098" spans="1:8" x14ac:dyDescent="0.25">
      <c r="A1098" s="5">
        <v>41772</v>
      </c>
      <c r="B1098">
        <v>531.63283899999999</v>
      </c>
      <c r="C1098" s="6">
        <v>-5.9820263706798537E-3</v>
      </c>
      <c r="D1098" s="6">
        <f t="shared" ca="1" si="87"/>
        <v>5.7351550466547448E-3</v>
      </c>
      <c r="E1098" s="6">
        <f t="shared" ca="1" si="88"/>
        <v>1.1717181417334598E-2</v>
      </c>
      <c r="F1098">
        <f t="shared" ca="1" si="86"/>
        <v>1.8047556275250398E-2</v>
      </c>
      <c r="G1098">
        <f t="shared" ca="1" si="85"/>
        <v>0.6954515534396537</v>
      </c>
      <c r="H1098">
        <f t="shared" ca="1" si="89"/>
        <v>2.69386380624243</v>
      </c>
    </row>
    <row r="1099" spans="1:8" x14ac:dyDescent="0.25">
      <c r="A1099" s="1">
        <v>41773</v>
      </c>
      <c r="B1099">
        <v>525.21044670000003</v>
      </c>
      <c r="C1099" s="6">
        <v>1.2080503364089508E-2</v>
      </c>
      <c r="D1099" s="6">
        <f t="shared" ca="1" si="87"/>
        <v>-1.6243062301126196E-2</v>
      </c>
      <c r="E1099" s="6">
        <f t="shared" ca="1" si="88"/>
        <v>-2.8323565665215704E-2</v>
      </c>
      <c r="F1099">
        <f t="shared" ca="1" si="86"/>
        <v>1.3667136440606777E-2</v>
      </c>
      <c r="G1099">
        <f t="shared" ca="1" si="85"/>
        <v>-0.47731919246390192</v>
      </c>
      <c r="H1099">
        <f t="shared" ca="1" si="89"/>
        <v>2.1205737027275959</v>
      </c>
    </row>
    <row r="1100" spans="1:8" x14ac:dyDescent="0.25">
      <c r="A1100" s="5">
        <v>41774</v>
      </c>
      <c r="B1100">
        <v>518.55862130000003</v>
      </c>
      <c r="C1100" s="6">
        <v>1.2665066816158603E-2</v>
      </c>
      <c r="D1100" s="6">
        <f t="shared" ca="1" si="87"/>
        <v>6.9424789258636576E-3</v>
      </c>
      <c r="E1100" s="6">
        <f t="shared" ca="1" si="88"/>
        <v>-5.7225878902949457E-3</v>
      </c>
      <c r="F1100">
        <f t="shared" ca="1" si="86"/>
        <v>1.0673870010500335E-2</v>
      </c>
      <c r="G1100">
        <f t="shared" ca="1" si="85"/>
        <v>0.90290798771264691</v>
      </c>
      <c r="H1100">
        <f t="shared" ca="1" si="89"/>
        <v>2.7920031563698955</v>
      </c>
    </row>
    <row r="1101" spans="1:8" x14ac:dyDescent="0.25">
      <c r="A1101" s="1">
        <v>41775</v>
      </c>
      <c r="B1101">
        <v>519.20687950000001</v>
      </c>
      <c r="C1101" s="6">
        <v>-1.2501155575715553E-3</v>
      </c>
      <c r="D1101" s="6">
        <f t="shared" ca="1" si="87"/>
        <v>3.3936354662777363E-2</v>
      </c>
      <c r="E1101" s="6">
        <f t="shared" ca="1" si="88"/>
        <v>3.5186470220348917E-2</v>
      </c>
      <c r="F1101">
        <f t="shared" ca="1" si="86"/>
        <v>1.6011619909682365E-2</v>
      </c>
      <c r="G1101">
        <f t="shared" ca="1" si="85"/>
        <v>1.7795320469051561</v>
      </c>
      <c r="H1101">
        <f t="shared" ca="1" si="89"/>
        <v>1.7145158594673313</v>
      </c>
    </row>
    <row r="1102" spans="1:8" x14ac:dyDescent="0.25">
      <c r="A1102" s="5">
        <v>41778</v>
      </c>
      <c r="B1102">
        <v>527.41437480000002</v>
      </c>
      <c r="C1102" s="6">
        <v>-1.5807755297664549E-2</v>
      </c>
      <c r="D1102" s="6">
        <f t="shared" ca="1" si="87"/>
        <v>-6.011977672557562E-2</v>
      </c>
      <c r="E1102" s="6">
        <f t="shared" ca="1" si="88"/>
        <v>-4.4312021427911075E-2</v>
      </c>
      <c r="F1102">
        <f t="shared" ca="1" si="86"/>
        <v>2.9225361262131648E-2</v>
      </c>
      <c r="G1102">
        <f t="shared" ca="1" si="85"/>
        <v>-2.2523618778681369</v>
      </c>
      <c r="H1102">
        <f t="shared" ca="1" si="89"/>
        <v>1.1011092311480297</v>
      </c>
    </row>
    <row r="1103" spans="1:8" x14ac:dyDescent="0.25">
      <c r="A1103" s="1">
        <v>41779</v>
      </c>
      <c r="B1103">
        <v>528.32191020000005</v>
      </c>
      <c r="C1103" s="6">
        <v>-1.7207255686653856E-3</v>
      </c>
      <c r="D1103" s="6">
        <f t="shared" ca="1" si="87"/>
        <v>1.2439910967538294E-2</v>
      </c>
      <c r="E1103" s="6">
        <f t="shared" ca="1" si="88"/>
        <v>1.4160636536203679E-2</v>
      </c>
      <c r="F1103">
        <f t="shared" ca="1" si="86"/>
        <v>3.7004358594696599E-2</v>
      </c>
      <c r="G1103">
        <f t="shared" ca="1" si="85"/>
        <v>0.35140240655957578</v>
      </c>
      <c r="H1103">
        <f t="shared" ca="1" si="89"/>
        <v>2.6372392859833806</v>
      </c>
    </row>
    <row r="1104" spans="1:8" x14ac:dyDescent="0.25">
      <c r="A1104" s="5">
        <v>41780</v>
      </c>
      <c r="B1104">
        <v>537.46684979999998</v>
      </c>
      <c r="C1104" s="6">
        <v>-1.7309408191187921E-2</v>
      </c>
      <c r="D1104" s="6">
        <f t="shared" ca="1" si="87"/>
        <v>-5.0259595995746035E-3</v>
      </c>
      <c r="E1104" s="6">
        <f t="shared" ca="1" si="88"/>
        <v>1.2283448591613318E-2</v>
      </c>
      <c r="F1104">
        <f t="shared" ca="1" si="86"/>
        <v>1.2760180953877745E-2</v>
      </c>
      <c r="G1104">
        <f t="shared" ca="1" si="85"/>
        <v>0.16428939741349552</v>
      </c>
      <c r="H1104">
        <f t="shared" ca="1" si="89"/>
        <v>2.6816792273775563</v>
      </c>
    </row>
    <row r="1105" spans="1:8" x14ac:dyDescent="0.25">
      <c r="A1105" s="1">
        <v>41781</v>
      </c>
      <c r="B1105">
        <v>543.57008729999995</v>
      </c>
      <c r="C1105" s="6">
        <v>-1.1355560816952878E-2</v>
      </c>
      <c r="D1105" s="6">
        <f t="shared" ca="1" si="87"/>
        <v>-1.0697245797753135E-2</v>
      </c>
      <c r="E1105" s="6">
        <f t="shared" ca="1" si="88"/>
        <v>6.5831501919974209E-4</v>
      </c>
      <c r="F1105">
        <f t="shared" ca="1" si="86"/>
        <v>7.8821666720321568E-3</v>
      </c>
      <c r="G1105">
        <f t="shared" ca="1" si="85"/>
        <v>-1.25874966586299</v>
      </c>
      <c r="H1105">
        <f t="shared" ca="1" si="89"/>
        <v>2.8183686670793113</v>
      </c>
    </row>
    <row r="1106" spans="1:8" x14ac:dyDescent="0.25">
      <c r="A1106" s="5">
        <v>41782</v>
      </c>
      <c r="B1106">
        <v>551.18920200000002</v>
      </c>
      <c r="C1106" s="6">
        <v>-1.4016802760147154E-2</v>
      </c>
      <c r="D1106" s="6">
        <f t="shared" ca="1" si="87"/>
        <v>-1.5109814422129181E-2</v>
      </c>
      <c r="E1106" s="6">
        <f t="shared" ca="1" si="88"/>
        <v>-1.0930116619820279E-3</v>
      </c>
      <c r="F1106">
        <f t="shared" ca="1" si="86"/>
        <v>2.1110728437176318E-2</v>
      </c>
      <c r="G1106">
        <f t="shared" ca="1" si="85"/>
        <v>-0.34630509921003949</v>
      </c>
      <c r="H1106">
        <f t="shared" ca="1" si="89"/>
        <v>2.8182873808309545</v>
      </c>
    </row>
    <row r="1107" spans="1:8" x14ac:dyDescent="0.25">
      <c r="A1107" s="1">
        <v>41786</v>
      </c>
      <c r="B1107">
        <v>564.40300649999995</v>
      </c>
      <c r="C1107" s="6">
        <v>-2.3973264447223194E-2</v>
      </c>
      <c r="D1107" s="6">
        <f t="shared" ca="1" si="87"/>
        <v>3.7926043145137265E-3</v>
      </c>
      <c r="E1107" s="6">
        <f t="shared" ca="1" si="88"/>
        <v>2.7765868761736919E-2</v>
      </c>
      <c r="F1107">
        <f t="shared" ca="1" si="86"/>
        <v>1.0165541065502813E-2</v>
      </c>
      <c r="G1107">
        <f t="shared" ca="1" si="85"/>
        <v>0.87640811679289299</v>
      </c>
      <c r="H1107">
        <f t="shared" ca="1" si="89"/>
        <v>2.1292653127229371</v>
      </c>
    </row>
    <row r="1108" spans="1:8" x14ac:dyDescent="0.25">
      <c r="A1108" s="5">
        <v>41787</v>
      </c>
      <c r="B1108">
        <v>560.14468680000004</v>
      </c>
      <c r="C1108" s="6">
        <v>7.5448210781278013E-3</v>
      </c>
      <c r="D1108" s="6">
        <f t="shared" ca="1" si="87"/>
        <v>-3.0811221083238527E-2</v>
      </c>
      <c r="E1108" s="6">
        <f t="shared" ca="1" si="88"/>
        <v>-3.835604216136633E-2</v>
      </c>
      <c r="F1108">
        <f t="shared" ca="1" si="86"/>
        <v>1.5617144360556673E-2</v>
      </c>
      <c r="G1108">
        <f t="shared" ca="1" si="85"/>
        <v>-1.5684978290779592</v>
      </c>
      <c r="H1108">
        <f t="shared" ca="1" si="89"/>
        <v>1.5336088225239857</v>
      </c>
    </row>
    <row r="1109" spans="1:8" x14ac:dyDescent="0.25">
      <c r="A1109" s="1">
        <v>41788</v>
      </c>
      <c r="B1109">
        <v>558.54903760000002</v>
      </c>
      <c r="C1109" s="6">
        <v>2.8486375709741449E-3</v>
      </c>
      <c r="D1109" s="6">
        <f t="shared" ca="1" si="87"/>
        <v>-3.3219923100574214E-2</v>
      </c>
      <c r="E1109" s="6">
        <f t="shared" ca="1" si="88"/>
        <v>-3.6068560671548358E-2</v>
      </c>
      <c r="F1109">
        <f t="shared" ca="1" si="86"/>
        <v>2.6008466904057018E-2</v>
      </c>
      <c r="G1109">
        <f t="shared" ca="1" si="85"/>
        <v>-0.86197805253507531</v>
      </c>
      <c r="H1109">
        <f t="shared" ca="1" si="89"/>
        <v>1.683075865654146</v>
      </c>
    </row>
    <row r="1110" spans="1:8" x14ac:dyDescent="0.25">
      <c r="A1110" s="5">
        <v>41789</v>
      </c>
      <c r="B1110">
        <v>558.3595828</v>
      </c>
      <c r="C1110" s="6">
        <v>3.3919098816118229E-4</v>
      </c>
      <c r="D1110" s="6">
        <f t="shared" ca="1" si="87"/>
        <v>-1.649372596390861E-2</v>
      </c>
      <c r="E1110" s="6">
        <f t="shared" ca="1" si="88"/>
        <v>-1.6832916952069791E-2</v>
      </c>
      <c r="F1110">
        <f t="shared" ca="1" si="86"/>
        <v>1.6552053825612194E-2</v>
      </c>
      <c r="G1110">
        <f t="shared" ca="1" si="85"/>
        <v>-1.2018535378128747</v>
      </c>
      <c r="H1110">
        <f t="shared" ca="1" si="89"/>
        <v>2.5745998986468996</v>
      </c>
    </row>
    <row r="1111" spans="1:8" x14ac:dyDescent="0.25">
      <c r="A1111" s="1">
        <v>41792</v>
      </c>
      <c r="B1111">
        <v>552.41583030000004</v>
      </c>
      <c r="C1111" s="6">
        <v>1.0645026400718127E-2</v>
      </c>
      <c r="D1111" s="6">
        <f t="shared" ca="1" si="87"/>
        <v>1.6496369745258272E-2</v>
      </c>
      <c r="E1111" s="6">
        <f t="shared" ca="1" si="88"/>
        <v>5.8513433445401448E-3</v>
      </c>
      <c r="F1111">
        <f t="shared" ca="1" si="86"/>
        <v>2.0592512449083215E-2</v>
      </c>
      <c r="G1111">
        <f t="shared" ca="1" si="85"/>
        <v>0.73875836158031805</v>
      </c>
      <c r="H1111">
        <f t="shared" ca="1" si="89"/>
        <v>2.7867853586441651</v>
      </c>
    </row>
    <row r="1112" spans="1:8" x14ac:dyDescent="0.25">
      <c r="A1112" s="5">
        <v>41793</v>
      </c>
      <c r="B1112">
        <v>543.45039689999999</v>
      </c>
      <c r="C1112" s="6">
        <v>1.6229501234841879E-2</v>
      </c>
      <c r="D1112" s="6">
        <f t="shared" ca="1" si="87"/>
        <v>-5.9006188721996058E-3</v>
      </c>
      <c r="E1112" s="6">
        <f t="shared" ca="1" si="88"/>
        <v>-2.2130120107041483E-2</v>
      </c>
      <c r="F1112">
        <f t="shared" ca="1" si="86"/>
        <v>1.4442255888023866E-2</v>
      </c>
      <c r="G1112">
        <f t="shared" ca="1" si="85"/>
        <v>-0.41916026466083278</v>
      </c>
      <c r="H1112">
        <f t="shared" ca="1" si="89"/>
        <v>2.3942457424499883</v>
      </c>
    </row>
    <row r="1113" spans="1:8" x14ac:dyDescent="0.25">
      <c r="A1113" s="1">
        <v>41794</v>
      </c>
      <c r="B1113">
        <v>543.17115960000001</v>
      </c>
      <c r="C1113" s="6">
        <v>5.1382297555182274E-4</v>
      </c>
      <c r="D1113" s="6">
        <f t="shared" ca="1" si="87"/>
        <v>-7.4650251987118457E-3</v>
      </c>
      <c r="E1113" s="6">
        <f t="shared" ca="1" si="88"/>
        <v>-7.9788481742636679E-3</v>
      </c>
      <c r="F1113">
        <f t="shared" ca="1" si="86"/>
        <v>1.011239058122405E-2</v>
      </c>
      <c r="G1113">
        <f t="shared" ca="1" si="85"/>
        <v>-1.2125208068005024</v>
      </c>
      <c r="H1113">
        <f t="shared" ca="1" si="89"/>
        <v>2.7654828527749715</v>
      </c>
    </row>
    <row r="1114" spans="1:8" x14ac:dyDescent="0.25">
      <c r="A1114" s="5">
        <v>41795</v>
      </c>
      <c r="B1114">
        <v>552.38592340000002</v>
      </c>
      <c r="C1114" s="6">
        <v>-1.6964751602028934E-2</v>
      </c>
      <c r="D1114" s="6">
        <f t="shared" ca="1" si="87"/>
        <v>2.382295708694444E-2</v>
      </c>
      <c r="E1114" s="6">
        <f t="shared" ca="1" si="88"/>
        <v>4.078770868897337E-2</v>
      </c>
      <c r="F1114">
        <f t="shared" ca="1" si="86"/>
        <v>2.0484306536134284E-2</v>
      </c>
      <c r="G1114">
        <f t="shared" ca="1" si="85"/>
        <v>0.8060138345642579</v>
      </c>
      <c r="H1114">
        <f t="shared" ca="1" si="89"/>
        <v>1.3370865667104355</v>
      </c>
    </row>
    <row r="1115" spans="1:8" x14ac:dyDescent="0.25">
      <c r="A1115" s="1">
        <v>41796</v>
      </c>
      <c r="B1115">
        <v>554.80927410000004</v>
      </c>
      <c r="C1115" s="6">
        <v>-4.3870609248765919E-3</v>
      </c>
      <c r="D1115" s="6">
        <f t="shared" ca="1" si="87"/>
        <v>-7.9550132586677265E-3</v>
      </c>
      <c r="E1115" s="6">
        <f t="shared" ca="1" si="88"/>
        <v>-3.5679523337911346E-3</v>
      </c>
      <c r="F1115">
        <f t="shared" ca="1" si="86"/>
        <v>1.5307107805293915E-2</v>
      </c>
      <c r="G1115">
        <f t="shared" ca="1" si="85"/>
        <v>-0.53479986198138674</v>
      </c>
      <c r="H1115">
        <f t="shared" ca="1" si="89"/>
        <v>2.8089419383925303</v>
      </c>
    </row>
    <row r="1116" spans="1:8" x14ac:dyDescent="0.25">
      <c r="A1116" s="5">
        <v>41799</v>
      </c>
      <c r="B1116">
        <v>560.5834701</v>
      </c>
      <c r="C1116" s="6">
        <v>-1.040753330839096E-2</v>
      </c>
      <c r="D1116" s="6">
        <f t="shared" ca="1" si="87"/>
        <v>-2.8663644148907388E-2</v>
      </c>
      <c r="E1116" s="6">
        <f t="shared" ca="1" si="88"/>
        <v>-1.8256110840516426E-2</v>
      </c>
      <c r="F1116">
        <f t="shared" ca="1" si="86"/>
        <v>1.146782147089544E-2</v>
      </c>
      <c r="G1116">
        <f t="shared" ca="1" si="85"/>
        <v>-1.8329536577344254</v>
      </c>
      <c r="H1116">
        <f t="shared" ca="1" si="89"/>
        <v>2.5310098860680266</v>
      </c>
    </row>
    <row r="1117" spans="1:8" x14ac:dyDescent="0.25">
      <c r="A1117" s="1">
        <v>41800</v>
      </c>
      <c r="B1117">
        <v>559.01772779999999</v>
      </c>
      <c r="C1117" s="6">
        <v>2.7930582750160383E-3</v>
      </c>
      <c r="D1117" s="6">
        <f t="shared" ca="1" si="87"/>
        <v>2.4937381881796193E-2</v>
      </c>
      <c r="E1117" s="6">
        <f t="shared" ca="1" si="88"/>
        <v>2.2144323606780154E-2</v>
      </c>
      <c r="F1117">
        <f t="shared" ca="1" si="86"/>
        <v>2.9908464209109809E-2</v>
      </c>
      <c r="G1117">
        <f t="shared" ca="1" si="85"/>
        <v>0.89988487921813154</v>
      </c>
      <c r="H1117">
        <f t="shared" ca="1" si="89"/>
        <v>2.3787615068552457</v>
      </c>
    </row>
    <row r="1118" spans="1:8" x14ac:dyDescent="0.25">
      <c r="A1118" s="5">
        <v>41801</v>
      </c>
      <c r="B1118">
        <v>557.31239779999999</v>
      </c>
      <c r="C1118" s="6">
        <v>3.050583040919447E-3</v>
      </c>
      <c r="D1118" s="6">
        <f t="shared" ca="1" si="87"/>
        <v>1.3251009735937283E-3</v>
      </c>
      <c r="E1118" s="6">
        <f t="shared" ca="1" si="88"/>
        <v>-1.7254820673257188E-3</v>
      </c>
      <c r="F1118">
        <f t="shared" ca="1" si="86"/>
        <v>1.7450643853805087E-2</v>
      </c>
      <c r="G1118">
        <f t="shared" ca="1" si="85"/>
        <v>0.34464292554218234</v>
      </c>
      <c r="H1118">
        <f t="shared" ca="1" si="89"/>
        <v>2.816927521032063</v>
      </c>
    </row>
    <row r="1119" spans="1:8" x14ac:dyDescent="0.25">
      <c r="A1119" s="1">
        <v>41802</v>
      </c>
      <c r="B1119">
        <v>549.84288240000001</v>
      </c>
      <c r="C1119" s="6">
        <v>1.3402744007644572E-2</v>
      </c>
      <c r="D1119" s="6">
        <f t="shared" ca="1" si="87"/>
        <v>-2.1080641600595959E-2</v>
      </c>
      <c r="E1119" s="6">
        <f t="shared" ca="1" si="88"/>
        <v>-3.4483385608240533E-2</v>
      </c>
      <c r="F1119">
        <f t="shared" ca="1" si="86"/>
        <v>9.7003825297273128E-3</v>
      </c>
      <c r="G1119">
        <f t="shared" ca="1" si="85"/>
        <v>-2.3029116359635968</v>
      </c>
      <c r="H1119">
        <f t="shared" ca="1" si="89"/>
        <v>1.781235858994795</v>
      </c>
    </row>
    <row r="1120" spans="1:8" x14ac:dyDescent="0.25">
      <c r="A1120" s="5">
        <v>41803</v>
      </c>
      <c r="B1120">
        <v>550.25175879999995</v>
      </c>
      <c r="C1120" s="6">
        <v>-7.4362406623368902E-4</v>
      </c>
      <c r="D1120" s="6">
        <f t="shared" ca="1" si="87"/>
        <v>-1.4916904770186942E-3</v>
      </c>
      <c r="E1120" s="6">
        <f t="shared" ca="1" si="88"/>
        <v>-7.4806641078500522E-4</v>
      </c>
      <c r="F1120">
        <f t="shared" ca="1" si="86"/>
        <v>3.7131640449898348E-2</v>
      </c>
      <c r="G1120">
        <f t="shared" ca="1" si="85"/>
        <v>-7.719490560464555E-2</v>
      </c>
      <c r="H1120">
        <f t="shared" ca="1" si="89"/>
        <v>2.8187315057827176</v>
      </c>
    </row>
    <row r="1121" spans="1:8" x14ac:dyDescent="0.25">
      <c r="A1121" s="1">
        <v>41806</v>
      </c>
      <c r="B1121">
        <v>542.7922519</v>
      </c>
      <c r="C1121" s="6">
        <v>1.3556534405756E-2</v>
      </c>
      <c r="D1121" s="6">
        <f t="shared" ca="1" si="87"/>
        <v>-1.7376119498567141E-3</v>
      </c>
      <c r="E1121" s="6">
        <f t="shared" ca="1" si="88"/>
        <v>-1.5294146355612714E-2</v>
      </c>
      <c r="F1121">
        <f t="shared" ca="1" si="86"/>
        <v>1.1575734654024217E-2</v>
      </c>
      <c r="G1121">
        <f t="shared" ca="1" si="85"/>
        <v>-0.67177582879017805</v>
      </c>
      <c r="H1121">
        <f t="shared" ca="1" si="89"/>
        <v>2.6177076588498034</v>
      </c>
    </row>
    <row r="1122" spans="1:8" x14ac:dyDescent="0.25">
      <c r="A1122" s="5">
        <v>41807</v>
      </c>
      <c r="B1122">
        <v>541.52570619999995</v>
      </c>
      <c r="C1122" s="6">
        <v>2.3333894239768744E-3</v>
      </c>
      <c r="D1122" s="6">
        <f t="shared" ca="1" si="87"/>
        <v>-1.1441986759344484E-2</v>
      </c>
      <c r="E1122" s="6">
        <f t="shared" ca="1" si="88"/>
        <v>-1.3775376183321359E-2</v>
      </c>
      <c r="F1122">
        <f t="shared" ca="1" si="86"/>
        <v>1.2904445325873292E-2</v>
      </c>
      <c r="G1122">
        <f t="shared" ca="1" si="85"/>
        <v>-0.86072401781680807</v>
      </c>
      <c r="H1122">
        <f t="shared" ca="1" si="89"/>
        <v>2.6561571269921318</v>
      </c>
    </row>
    <row r="1123" spans="1:8" x14ac:dyDescent="0.25">
      <c r="A1123" s="1">
        <v>41808</v>
      </c>
      <c r="B1123">
        <v>551.8573566</v>
      </c>
      <c r="C1123" s="6">
        <v>-1.9078781084095577E-2</v>
      </c>
      <c r="D1123" s="6">
        <f t="shared" ca="1" si="87"/>
        <v>4.9672560187325777E-4</v>
      </c>
      <c r="E1123" s="6">
        <f t="shared" ca="1" si="88"/>
        <v>1.9575506685968837E-2</v>
      </c>
      <c r="F1123">
        <f t="shared" ca="1" si="86"/>
        <v>1.5526829573836833E-2</v>
      </c>
      <c r="G1123">
        <f t="shared" ca="1" si="85"/>
        <v>-0.36139402369860224</v>
      </c>
      <c r="H1123">
        <f t="shared" ca="1" si="89"/>
        <v>2.4742040393000337</v>
      </c>
    </row>
    <row r="1124" spans="1:8" x14ac:dyDescent="0.25">
      <c r="A1124" s="5">
        <v>41809</v>
      </c>
      <c r="B1124">
        <v>553.38318149999998</v>
      </c>
      <c r="C1124" s="6">
        <v>-2.7648900241189155E-3</v>
      </c>
      <c r="D1124" s="6">
        <f t="shared" ca="1" si="87"/>
        <v>4.5853932683831682E-3</v>
      </c>
      <c r="E1124" s="6">
        <f t="shared" ca="1" si="88"/>
        <v>7.3502832925020842E-3</v>
      </c>
      <c r="F1124">
        <f t="shared" ca="1" si="86"/>
        <v>9.6454036128775528E-3</v>
      </c>
      <c r="G1124">
        <f t="shared" ca="1" si="85"/>
        <v>0.36643195418155383</v>
      </c>
      <c r="H1124">
        <f t="shared" ca="1" si="89"/>
        <v>2.7688169341363671</v>
      </c>
    </row>
    <row r="1125" spans="1:8" x14ac:dyDescent="0.25">
      <c r="A1125" s="1">
        <v>41810</v>
      </c>
      <c r="B1125">
        <v>554.83918100000005</v>
      </c>
      <c r="C1125" s="6">
        <v>-2.6310873706957344E-3</v>
      </c>
      <c r="D1125" s="6">
        <f t="shared" ca="1" si="87"/>
        <v>-1.8219796979008149E-2</v>
      </c>
      <c r="E1125" s="6">
        <f t="shared" ca="1" si="88"/>
        <v>-1.5588709608312414E-2</v>
      </c>
      <c r="F1125">
        <f t="shared" ca="1" si="86"/>
        <v>9.1956587478337019E-3</v>
      </c>
      <c r="G1125">
        <f t="shared" ca="1" si="85"/>
        <v>-1.0465453993613487</v>
      </c>
      <c r="H1125">
        <f t="shared" ca="1" si="89"/>
        <v>2.6097790696007053</v>
      </c>
    </row>
    <row r="1126" spans="1:8" x14ac:dyDescent="0.25">
      <c r="A1126" s="5">
        <v>41813</v>
      </c>
      <c r="B1126">
        <v>563.40574849999996</v>
      </c>
      <c r="C1126" s="6">
        <v>-1.5439730634307718E-2</v>
      </c>
      <c r="D1126" s="6">
        <f t="shared" ca="1" si="87"/>
        <v>-1.6182116263282935E-3</v>
      </c>
      <c r="E1126" s="6">
        <f t="shared" ca="1" si="88"/>
        <v>1.3821519007979424E-2</v>
      </c>
      <c r="F1126">
        <f t="shared" ca="1" si="86"/>
        <v>1.8017006263715895E-2</v>
      </c>
      <c r="G1126">
        <f t="shared" ca="1" si="85"/>
        <v>-2.0670901692380377E-2</v>
      </c>
      <c r="H1126">
        <f t="shared" ca="1" si="89"/>
        <v>2.6457277366634506</v>
      </c>
    </row>
    <row r="1127" spans="1:8" x14ac:dyDescent="0.25">
      <c r="A1127" s="1">
        <v>41814</v>
      </c>
      <c r="B1127">
        <v>563.07664509999995</v>
      </c>
      <c r="C1127" s="6">
        <v>5.8413213013215853E-4</v>
      </c>
      <c r="D1127" s="6">
        <f t="shared" ca="1" si="87"/>
        <v>-3.3015763411518319E-4</v>
      </c>
      <c r="E1127" s="6">
        <f t="shared" ca="1" si="88"/>
        <v>-9.1428976424734172E-4</v>
      </c>
      <c r="F1127">
        <f t="shared" ca="1" si="86"/>
        <v>8.10811379916445E-3</v>
      </c>
      <c r="G1127">
        <f t="shared" ca="1" si="85"/>
        <v>0.105518053322271</v>
      </c>
      <c r="H1127">
        <f t="shared" ca="1" si="89"/>
        <v>2.818543706001472</v>
      </c>
    </row>
    <row r="1128" spans="1:8" x14ac:dyDescent="0.25">
      <c r="A1128" s="5">
        <v>41815</v>
      </c>
      <c r="B1128">
        <v>577.06828599999994</v>
      </c>
      <c r="C1128" s="6">
        <v>-2.4848554849074122E-2</v>
      </c>
      <c r="D1128" s="6">
        <f t="shared" ca="1" si="87"/>
        <v>-7.6805648458363202E-3</v>
      </c>
      <c r="E1128" s="6">
        <f t="shared" ca="1" si="88"/>
        <v>1.71679900032378E-2</v>
      </c>
      <c r="F1128">
        <f t="shared" ca="1" si="86"/>
        <v>7.2111161727684767E-3</v>
      </c>
      <c r="G1128">
        <f t="shared" ca="1" si="85"/>
        <v>-0.10041399606770186</v>
      </c>
      <c r="H1128">
        <f t="shared" ca="1" si="89"/>
        <v>2.5530808865481323</v>
      </c>
    </row>
    <row r="1129" spans="1:8" x14ac:dyDescent="0.25">
      <c r="A1129" s="1">
        <v>41816</v>
      </c>
      <c r="B1129">
        <v>574.42551279999998</v>
      </c>
      <c r="C1129" s="6">
        <v>4.5796542005775128E-3</v>
      </c>
      <c r="D1129" s="6">
        <f t="shared" ca="1" si="87"/>
        <v>-3.5594073594401687E-3</v>
      </c>
      <c r="E1129" s="6">
        <f t="shared" ca="1" si="88"/>
        <v>-8.1390615600176811E-3</v>
      </c>
      <c r="F1129">
        <f t="shared" ca="1" si="86"/>
        <v>7.1319947674451057E-3</v>
      </c>
      <c r="G1129">
        <f t="shared" ca="1" si="85"/>
        <v>-0.53592034719168857</v>
      </c>
      <c r="H1129">
        <f t="shared" ca="1" si="89"/>
        <v>2.7632580341121535</v>
      </c>
    </row>
    <row r="1130" spans="1:8" x14ac:dyDescent="0.25">
      <c r="A1130" s="5">
        <v>41817</v>
      </c>
      <c r="B1130">
        <v>575.66215160000002</v>
      </c>
      <c r="C1130" s="6">
        <v>-2.1528270810468033E-3</v>
      </c>
      <c r="D1130" s="6">
        <f t="shared" ca="1" si="87"/>
        <v>-1.1294683650203859E-2</v>
      </c>
      <c r="E1130" s="6">
        <f t="shared" ca="1" si="88"/>
        <v>-9.1418565691570551E-3</v>
      </c>
      <c r="F1130">
        <f t="shared" ca="1" si="86"/>
        <v>1.0962407747358882E-2</v>
      </c>
      <c r="G1130">
        <f t="shared" ca="1" si="85"/>
        <v>-9.0373398378961606E-3</v>
      </c>
      <c r="H1130">
        <f t="shared" ca="1" si="89"/>
        <v>2.74830341955253</v>
      </c>
    </row>
    <row r="1131" spans="1:8" x14ac:dyDescent="0.25">
      <c r="A1131" s="1">
        <v>41820</v>
      </c>
      <c r="B1131">
        <v>573.70749209999997</v>
      </c>
      <c r="C1131" s="6">
        <v>3.3954976796151206E-3</v>
      </c>
      <c r="D1131" s="6">
        <f t="shared" ca="1" si="87"/>
        <v>1.3940103452663759E-2</v>
      </c>
      <c r="E1131" s="6">
        <f t="shared" ca="1" si="88"/>
        <v>1.0544605773048639E-2</v>
      </c>
      <c r="F1131">
        <f t="shared" ca="1" si="86"/>
        <v>7.2585240087404204E-3</v>
      </c>
      <c r="G1131">
        <f t="shared" ca="1" si="85"/>
        <v>1.6362478303155261</v>
      </c>
      <c r="H1131">
        <f t="shared" ca="1" si="89"/>
        <v>2.7172952290584735</v>
      </c>
    </row>
    <row r="1132" spans="1:8" x14ac:dyDescent="0.25">
      <c r="A1132" s="5">
        <v>41821</v>
      </c>
      <c r="B1132">
        <v>581.07727629999999</v>
      </c>
      <c r="C1132" s="6">
        <v>-1.2845891506530017E-2</v>
      </c>
      <c r="D1132" s="6">
        <f t="shared" ca="1" si="87"/>
        <v>-8.1564609019371473E-3</v>
      </c>
      <c r="E1132" s="6">
        <f t="shared" ca="1" si="88"/>
        <v>4.6894306045928702E-3</v>
      </c>
      <c r="F1132">
        <f t="shared" ca="1" si="86"/>
        <v>2.6807998392121668E-2</v>
      </c>
      <c r="G1132">
        <f t="shared" ca="1" si="85"/>
        <v>-0.26807469241130505</v>
      </c>
      <c r="H1132">
        <f t="shared" ca="1" si="89"/>
        <v>2.7979853395354279</v>
      </c>
    </row>
    <row r="1133" spans="1:8" x14ac:dyDescent="0.25">
      <c r="A1133" s="1">
        <v>41822</v>
      </c>
      <c r="B1133">
        <v>580.74322949999998</v>
      </c>
      <c r="C1133" s="6">
        <v>5.7487500135446285E-4</v>
      </c>
      <c r="D1133" s="6">
        <f t="shared" ca="1" si="87"/>
        <v>1.1741191845215586E-3</v>
      </c>
      <c r="E1133" s="6">
        <f t="shared" ca="1" si="88"/>
        <v>5.9924418316709572E-4</v>
      </c>
      <c r="F1133">
        <f t="shared" ca="1" si="86"/>
        <v>1.0422271521603025E-2</v>
      </c>
      <c r="G1133">
        <f t="shared" ca="1" si="85"/>
        <v>-3.4112843261379873E-2</v>
      </c>
      <c r="H1133">
        <f t="shared" ca="1" si="89"/>
        <v>2.8184541410658768</v>
      </c>
    </row>
    <row r="1134" spans="1:8" x14ac:dyDescent="0.25">
      <c r="A1134" s="5">
        <v>41823</v>
      </c>
      <c r="B1134">
        <v>583.13166799999999</v>
      </c>
      <c r="C1134" s="6">
        <v>-4.1127272410155695E-3</v>
      </c>
      <c r="D1134" s="6">
        <f t="shared" ca="1" si="87"/>
        <v>-3.9694599627867443E-3</v>
      </c>
      <c r="E1134" s="6">
        <f t="shared" ca="1" si="88"/>
        <v>1.4326727822882527E-4</v>
      </c>
      <c r="F1134">
        <f t="shared" ca="1" si="86"/>
        <v>7.2266403185575643E-3</v>
      </c>
      <c r="G1134">
        <f t="shared" ca="1" si="85"/>
        <v>0.25161565961997634</v>
      </c>
      <c r="H1134">
        <f t="shared" ca="1" si="89"/>
        <v>2.8189066767412516</v>
      </c>
    </row>
    <row r="1135" spans="1:8" x14ac:dyDescent="0.25">
      <c r="A1135" s="1">
        <v>41827</v>
      </c>
      <c r="B1135">
        <v>580.65845119999994</v>
      </c>
      <c r="C1135" s="6">
        <v>4.2412664852906692E-3</v>
      </c>
      <c r="D1135" s="6">
        <f t="shared" ca="1" si="87"/>
        <v>-2.2395422338085604E-3</v>
      </c>
      <c r="E1135" s="6">
        <f t="shared" ca="1" si="88"/>
        <v>-6.4808087190992292E-3</v>
      </c>
      <c r="F1135">
        <f t="shared" ca="1" si="86"/>
        <v>8.012831674060859E-3</v>
      </c>
      <c r="G1135">
        <f t="shared" ca="1" si="85"/>
        <v>-0.31181088256819683</v>
      </c>
      <c r="H1135">
        <f t="shared" ca="1" si="89"/>
        <v>2.7840933193818862</v>
      </c>
    </row>
    <row r="1136" spans="1:8" x14ac:dyDescent="0.25">
      <c r="A1136" s="5">
        <v>41828</v>
      </c>
      <c r="B1136">
        <v>569.52894530000003</v>
      </c>
      <c r="C1136" s="6">
        <v>1.9167043684629858E-2</v>
      </c>
      <c r="D1136" s="6">
        <f t="shared" ca="1" si="87"/>
        <v>2.9177024150629401E-3</v>
      </c>
      <c r="E1136" s="6">
        <f t="shared" ca="1" si="88"/>
        <v>-1.6249341269566918E-2</v>
      </c>
      <c r="F1136">
        <f t="shared" ca="1" si="86"/>
        <v>8.5706789543007235E-3</v>
      </c>
      <c r="G1136">
        <f t="shared" ca="1" si="85"/>
        <v>0.55662451173544014</v>
      </c>
      <c r="H1136">
        <f t="shared" ca="1" si="89"/>
        <v>2.5914403524851233</v>
      </c>
    </row>
    <row r="1137" spans="1:8" x14ac:dyDescent="0.25">
      <c r="A1137" s="1">
        <v>41829</v>
      </c>
      <c r="B1137">
        <v>574.50528569999994</v>
      </c>
      <c r="C1137" s="6">
        <v>-8.7376426449732418E-3</v>
      </c>
      <c r="D1137" s="6">
        <f t="shared" ca="1" si="87"/>
        <v>1.8933468897716989E-2</v>
      </c>
      <c r="E1137" s="6">
        <f t="shared" ca="1" si="88"/>
        <v>2.7671111542690231E-2</v>
      </c>
      <c r="F1137">
        <f t="shared" ca="1" si="86"/>
        <v>1.1281428703312163E-2</v>
      </c>
      <c r="G1137">
        <f t="shared" ca="1" si="85"/>
        <v>1.5088709353101382</v>
      </c>
      <c r="H1137">
        <f t="shared" ca="1" si="89"/>
        <v>2.1339330002140242</v>
      </c>
    </row>
    <row r="1138" spans="1:8" x14ac:dyDescent="0.25">
      <c r="A1138" s="5">
        <v>41830</v>
      </c>
      <c r="B1138">
        <v>569.53889400000003</v>
      </c>
      <c r="C1138" s="6">
        <v>8.6446405692310897E-3</v>
      </c>
      <c r="D1138" s="6">
        <f t="shared" ca="1" si="87"/>
        <v>9.2943874487303423E-3</v>
      </c>
      <c r="E1138" s="6">
        <f t="shared" ca="1" si="88"/>
        <v>6.497468794992526E-4</v>
      </c>
      <c r="F1138">
        <f t="shared" ca="1" si="86"/>
        <v>2.4962031204045731E-2</v>
      </c>
      <c r="G1138">
        <f t="shared" ca="1" si="85"/>
        <v>2.6387586803867786E-2</v>
      </c>
      <c r="H1138">
        <f t="shared" ca="1" si="89"/>
        <v>2.8183814468212369</v>
      </c>
    </row>
    <row r="1139" spans="1:8" x14ac:dyDescent="0.25">
      <c r="A1139" s="1">
        <v>41831</v>
      </c>
      <c r="B1139">
        <v>577.59685279999997</v>
      </c>
      <c r="C1139" s="6">
        <v>-1.4148215134891099E-2</v>
      </c>
      <c r="D1139" s="6">
        <f t="shared" ca="1" si="87"/>
        <v>-2.4940807763420129E-3</v>
      </c>
      <c r="E1139" s="6">
        <f t="shared" ca="1" si="88"/>
        <v>1.1654134358549086E-2</v>
      </c>
      <c r="F1139">
        <f t="shared" ca="1" si="86"/>
        <v>9.2056510690271109E-3</v>
      </c>
      <c r="G1139">
        <f t="shared" ca="1" si="85"/>
        <v>0.15670609281314465</v>
      </c>
      <c r="H1139">
        <f t="shared" ca="1" si="89"/>
        <v>2.6951853991800823</v>
      </c>
    </row>
    <row r="1140" spans="1:8" x14ac:dyDescent="0.25">
      <c r="A1140" s="5">
        <v>41834</v>
      </c>
      <c r="B1140">
        <v>583.27125579999995</v>
      </c>
      <c r="C1140" s="6">
        <v>-9.8241584463148318E-3</v>
      </c>
      <c r="D1140" s="6">
        <f t="shared" ca="1" si="87"/>
        <v>1.2964177851098068E-3</v>
      </c>
      <c r="E1140" s="6">
        <f t="shared" ca="1" si="88"/>
        <v>1.1120576231424638E-2</v>
      </c>
      <c r="F1140">
        <f t="shared" ca="1" si="86"/>
        <v>7.5210459150776227E-3</v>
      </c>
      <c r="G1140">
        <f t="shared" ca="1" si="85"/>
        <v>-0.34546403083084715</v>
      </c>
      <c r="H1140">
        <f t="shared" ca="1" si="89"/>
        <v>2.706088933405995</v>
      </c>
    </row>
    <row r="1141" spans="1:8" x14ac:dyDescent="0.25">
      <c r="A1141" s="1">
        <v>41835</v>
      </c>
      <c r="B1141">
        <v>583.18153410000002</v>
      </c>
      <c r="C1141" s="6">
        <v>1.5382499841667545E-4</v>
      </c>
      <c r="D1141" s="6">
        <f t="shared" ca="1" si="87"/>
        <v>-6.7547317232819603E-3</v>
      </c>
      <c r="E1141" s="6">
        <f t="shared" ca="1" si="88"/>
        <v>-6.9085567216986355E-3</v>
      </c>
      <c r="F1141">
        <f t="shared" ca="1" si="86"/>
        <v>8.8605687834499482E-3</v>
      </c>
      <c r="G1141">
        <f t="shared" ca="1" si="85"/>
        <v>-4.2885841964159975E-2</v>
      </c>
      <c r="H1141">
        <f t="shared" ca="1" si="89"/>
        <v>2.7791833282510092</v>
      </c>
    </row>
    <row r="1142" spans="1:8" x14ac:dyDescent="0.25">
      <c r="A1142" s="5">
        <v>41836</v>
      </c>
      <c r="B1142">
        <v>581.06732769999996</v>
      </c>
      <c r="C1142" s="6">
        <v>3.6252972297259457E-3</v>
      </c>
      <c r="D1142" s="6">
        <f t="shared" ca="1" si="87"/>
        <v>-4.7928258843418911E-3</v>
      </c>
      <c r="E1142" s="6">
        <f t="shared" ca="1" si="88"/>
        <v>-8.4181231140678364E-3</v>
      </c>
      <c r="F1142">
        <f t="shared" ca="1" si="86"/>
        <v>7.1051476023429334E-3</v>
      </c>
      <c r="G1142">
        <f t="shared" ca="1" si="85"/>
        <v>-5.1580326647576835E-2</v>
      </c>
      <c r="H1142">
        <f t="shared" ca="1" si="89"/>
        <v>2.7592746398140422</v>
      </c>
    </row>
    <row r="1143" spans="1:8" x14ac:dyDescent="0.25">
      <c r="A1143" s="1">
        <v>41837</v>
      </c>
      <c r="B1143">
        <v>572.16170899999997</v>
      </c>
      <c r="C1143" s="6">
        <v>1.5326311212937246E-2</v>
      </c>
      <c r="D1143" s="6">
        <f t="shared" ca="1" si="87"/>
        <v>2.1538579778570327E-3</v>
      </c>
      <c r="E1143" s="6">
        <f t="shared" ca="1" si="88"/>
        <v>-1.3172453235080213E-2</v>
      </c>
      <c r="F1143">
        <f t="shared" ca="1" si="86"/>
        <v>6.9936290285951674E-3</v>
      </c>
      <c r="G1143">
        <f t="shared" ca="1" si="85"/>
        <v>0.29805571400403524</v>
      </c>
      <c r="H1143">
        <f t="shared" ca="1" si="89"/>
        <v>2.6702919477005933</v>
      </c>
    </row>
    <row r="1144" spans="1:8" x14ac:dyDescent="0.25">
      <c r="A1144" s="5">
        <v>41838</v>
      </c>
      <c r="B1144">
        <v>593.45336980000002</v>
      </c>
      <c r="C1144" s="6">
        <v>-3.7212662897719441E-2</v>
      </c>
      <c r="D1144" s="6">
        <f t="shared" ca="1" si="87"/>
        <v>6.3259806905976851E-3</v>
      </c>
      <c r="E1144" s="6">
        <f t="shared" ca="1" si="88"/>
        <v>4.3538643588317126E-2</v>
      </c>
      <c r="F1144">
        <f t="shared" ca="1" si="86"/>
        <v>8.3896422868241297E-3</v>
      </c>
      <c r="G1144">
        <f t="shared" ca="1" si="85"/>
        <v>0.55929969999354612</v>
      </c>
      <c r="H1144">
        <f t="shared" ca="1" si="89"/>
        <v>1.1314436080985941</v>
      </c>
    </row>
    <row r="1145" spans="1:8" x14ac:dyDescent="0.25">
      <c r="A1145" s="1">
        <v>41841</v>
      </c>
      <c r="B1145">
        <v>587.85867900000005</v>
      </c>
      <c r="C1145" s="6">
        <v>9.4273469234582592E-3</v>
      </c>
      <c r="D1145" s="6">
        <f t="shared" ca="1" si="87"/>
        <v>1.2265236522619634E-2</v>
      </c>
      <c r="E1145" s="6">
        <f t="shared" ca="1" si="88"/>
        <v>2.8378895991613747E-3</v>
      </c>
      <c r="F1145">
        <f t="shared" ca="1" si="86"/>
        <v>1.1305894504482222E-2</v>
      </c>
      <c r="G1145">
        <f t="shared" ca="1" si="85"/>
        <v>0.4741311222327933</v>
      </c>
      <c r="H1145">
        <f t="shared" ca="1" si="89"/>
        <v>2.8109089796915403</v>
      </c>
    </row>
    <row r="1146" spans="1:8" x14ac:dyDescent="0.25">
      <c r="A1146" s="5">
        <v>41842</v>
      </c>
      <c r="B1146">
        <v>593.11431760000005</v>
      </c>
      <c r="C1146" s="6">
        <v>-8.9403096147875321E-3</v>
      </c>
      <c r="D1146" s="6">
        <f t="shared" ca="1" si="87"/>
        <v>-3.0916382176357615E-2</v>
      </c>
      <c r="E1146" s="6">
        <f t="shared" ca="1" si="88"/>
        <v>-2.1976072561570081E-2</v>
      </c>
      <c r="F1146">
        <f t="shared" ca="1" si="86"/>
        <v>1.0460947285336947E-2</v>
      </c>
      <c r="G1146">
        <f t="shared" ca="1" si="85"/>
        <v>-1.3526609837706229</v>
      </c>
      <c r="H1146">
        <f t="shared" ca="1" si="89"/>
        <v>2.4001897909663121</v>
      </c>
    </row>
    <row r="1147" spans="1:8" x14ac:dyDescent="0.25">
      <c r="A1147" s="1">
        <v>41843</v>
      </c>
      <c r="B1147">
        <v>594.35089559999994</v>
      </c>
      <c r="C1147" s="6">
        <v>-2.084889815176997E-3</v>
      </c>
      <c r="D1147" s="6">
        <f t="shared" ca="1" si="87"/>
        <v>-4.9676785598189053E-3</v>
      </c>
      <c r="E1147" s="6">
        <f t="shared" ca="1" si="88"/>
        <v>-2.8827887446419083E-3</v>
      </c>
      <c r="F1147">
        <f t="shared" ca="1" si="86"/>
        <v>2.2584542053774491E-2</v>
      </c>
      <c r="G1147">
        <f t="shared" ca="1" si="85"/>
        <v>-0.40802629831617138</v>
      </c>
      <c r="H1147">
        <f t="shared" ca="1" si="89"/>
        <v>2.8126113157246295</v>
      </c>
    </row>
    <row r="1148" spans="1:8" x14ac:dyDescent="0.25">
      <c r="A1148" s="5">
        <v>41844</v>
      </c>
      <c r="B1148">
        <v>591.7280816</v>
      </c>
      <c r="C1148" s="6">
        <v>4.4129049344700756E-3</v>
      </c>
      <c r="D1148" s="6">
        <f t="shared" ca="1" si="87"/>
        <v>9.0588504913047228E-3</v>
      </c>
      <c r="E1148" s="6">
        <f t="shared" ca="1" si="88"/>
        <v>4.6459455568346473E-3</v>
      </c>
      <c r="F1148">
        <f t="shared" ca="1" si="86"/>
        <v>1.0912362458680158E-2</v>
      </c>
      <c r="G1148">
        <f t="shared" ca="1" si="85"/>
        <v>1.1992823196997029</v>
      </c>
      <c r="H1148">
        <f t="shared" ca="1" si="89"/>
        <v>2.7983582463247285</v>
      </c>
    </row>
    <row r="1149" spans="1:8" x14ac:dyDescent="0.25">
      <c r="A1149" s="1">
        <v>41845</v>
      </c>
      <c r="B1149">
        <v>587.40994699999999</v>
      </c>
      <c r="C1149" s="6">
        <v>7.2974981824827558E-3</v>
      </c>
      <c r="D1149" s="6">
        <f t="shared" ca="1" si="87"/>
        <v>-1.6253646196021133E-2</v>
      </c>
      <c r="E1149" s="6">
        <f t="shared" ca="1" si="88"/>
        <v>-2.3551144378503891E-2</v>
      </c>
      <c r="F1149">
        <f t="shared" ca="1" si="86"/>
        <v>2.0314531465777913E-2</v>
      </c>
      <c r="G1149">
        <f t="shared" ca="1" si="85"/>
        <v>-0.7538622132373286</v>
      </c>
      <c r="H1149">
        <f t="shared" ca="1" si="89"/>
        <v>2.3374391884483474</v>
      </c>
    </row>
    <row r="1150" spans="1:8" x14ac:dyDescent="0.25">
      <c r="A1150" s="5">
        <v>41848</v>
      </c>
      <c r="B1150">
        <v>588.98563690000003</v>
      </c>
      <c r="C1150" s="6">
        <v>-2.6824365301393901E-3</v>
      </c>
      <c r="D1150" s="6">
        <f t="shared" ca="1" si="87"/>
        <v>-5.850753706020442E-3</v>
      </c>
      <c r="E1150" s="6">
        <f t="shared" ca="1" si="88"/>
        <v>-3.1683171758810518E-3</v>
      </c>
      <c r="F1150">
        <f t="shared" ca="1" si="86"/>
        <v>1.4611691855140815E-2</v>
      </c>
      <c r="G1150">
        <f t="shared" ca="1" si="85"/>
        <v>-0.53649771418614034</v>
      </c>
      <c r="H1150">
        <f t="shared" ca="1" si="89"/>
        <v>2.8111828727539847</v>
      </c>
    </row>
    <row r="1151" spans="1:8" x14ac:dyDescent="0.25">
      <c r="A1151" s="1">
        <v>41849</v>
      </c>
      <c r="B1151">
        <v>584.00923560000001</v>
      </c>
      <c r="C1151" s="6">
        <v>8.449104677988829E-3</v>
      </c>
      <c r="D1151" s="6">
        <f t="shared" ca="1" si="87"/>
        <v>-1.1763861682411277E-2</v>
      </c>
      <c r="E1151" s="6">
        <f t="shared" ca="1" si="88"/>
        <v>-2.0212966360400104E-2</v>
      </c>
      <c r="F1151">
        <f t="shared" ca="1" si="86"/>
        <v>1.1430067732863466E-2</v>
      </c>
      <c r="G1151">
        <f t="shared" ca="1" si="85"/>
        <v>-1.3168562064497611</v>
      </c>
      <c r="H1151">
        <f t="shared" ca="1" si="89"/>
        <v>2.4652377386384856</v>
      </c>
    </row>
    <row r="1152" spans="1:8" x14ac:dyDescent="0.25">
      <c r="A1152" s="5">
        <v>41850</v>
      </c>
      <c r="B1152">
        <v>585.81429679999997</v>
      </c>
      <c r="C1152" s="6">
        <v>-3.0908093399335868E-3</v>
      </c>
      <c r="D1152" s="6">
        <f t="shared" ca="1" si="87"/>
        <v>-1.5032793236903321E-2</v>
      </c>
      <c r="E1152" s="6">
        <f t="shared" ca="1" si="88"/>
        <v>-1.1941983896969734E-2</v>
      </c>
      <c r="F1152">
        <f t="shared" ca="1" si="86"/>
        <v>2.2078899269755137E-2</v>
      </c>
      <c r="G1152">
        <f t="shared" ca="1" si="85"/>
        <v>-0.62613368891004817</v>
      </c>
      <c r="H1152">
        <f t="shared" ca="1" si="89"/>
        <v>2.6971480323283648</v>
      </c>
    </row>
    <row r="1153" spans="1:8" x14ac:dyDescent="0.25">
      <c r="A1153" s="1">
        <v>41851</v>
      </c>
      <c r="B1153">
        <v>570.03755390000003</v>
      </c>
      <c r="C1153" s="6">
        <v>2.6931303974962892E-2</v>
      </c>
      <c r="D1153" s="6">
        <f t="shared" ca="1" si="87"/>
        <v>-3.5290320170769467E-3</v>
      </c>
      <c r="E1153" s="6">
        <f t="shared" ca="1" si="88"/>
        <v>-3.0460335992039837E-2</v>
      </c>
      <c r="F1153">
        <f t="shared" ca="1" si="86"/>
        <v>1.3195346792962893E-2</v>
      </c>
      <c r="G1153">
        <f t="shared" ca="1" si="85"/>
        <v>-0.55593715022460133</v>
      </c>
      <c r="H1153">
        <f t="shared" ca="1" si="89"/>
        <v>2.0104474529208263</v>
      </c>
    </row>
    <row r="1154" spans="1:8" x14ac:dyDescent="0.25">
      <c r="A1154" s="5">
        <v>41852</v>
      </c>
      <c r="B1154">
        <v>564.5226361</v>
      </c>
      <c r="C1154" s="6">
        <v>9.6746569805250069E-3</v>
      </c>
      <c r="D1154" s="6">
        <f t="shared" ca="1" si="87"/>
        <v>-5.2948204254405253E-3</v>
      </c>
      <c r="E1154" s="6">
        <f t="shared" ca="1" si="88"/>
        <v>-1.4969477405965532E-2</v>
      </c>
      <c r="F1154">
        <f t="shared" ca="1" si="86"/>
        <v>1.1552693282646714E-2</v>
      </c>
      <c r="G1154">
        <f t="shared" ca="1" si="85"/>
        <v>-0.33781562959890854</v>
      </c>
      <c r="H1154">
        <f t="shared" ca="1" si="89"/>
        <v>2.6262691664042346</v>
      </c>
    </row>
    <row r="1155" spans="1:8" x14ac:dyDescent="0.25">
      <c r="A1155" s="1">
        <v>41855</v>
      </c>
      <c r="B1155">
        <v>571.58333689999995</v>
      </c>
      <c r="C1155" s="6">
        <v>-1.2507382961255094E-2</v>
      </c>
      <c r="D1155" s="6">
        <f t="shared" ca="1" si="87"/>
        <v>2.1644614716883441E-3</v>
      </c>
      <c r="E1155" s="6">
        <f t="shared" ca="1" si="88"/>
        <v>1.4671844432943438E-2</v>
      </c>
      <c r="F1155">
        <f t="shared" ca="1" si="86"/>
        <v>9.0597725078474557E-3</v>
      </c>
      <c r="G1155">
        <f t="shared" ref="G1155:G1218" ca="1" si="90">_xlfn.NORM.INV(RAND(),0,1)</f>
        <v>-1.1004452908505915</v>
      </c>
      <c r="H1155">
        <f t="shared" ca="1" si="89"/>
        <v>2.624059631751634</v>
      </c>
    </row>
    <row r="1156" spans="1:8" x14ac:dyDescent="0.25">
      <c r="A1156" s="5">
        <v>41856</v>
      </c>
      <c r="B1156">
        <v>563.52537810000001</v>
      </c>
      <c r="C1156" s="6">
        <v>1.4097609709377689E-2</v>
      </c>
      <c r="D1156" s="6">
        <f t="shared" ca="1" si="87"/>
        <v>2.5042107539313345E-2</v>
      </c>
      <c r="E1156" s="6">
        <f t="shared" ca="1" si="88"/>
        <v>1.0944497829935656E-2</v>
      </c>
      <c r="F1156">
        <f t="shared" ref="F1156:F1219" ca="1" si="91">SQRT($K$6+$K$7*POWER($G1155,2)+$K$8*POWER($F1155,2))</f>
        <v>1.8799659019299114E-2</v>
      </c>
      <c r="G1156">
        <f t="shared" ca="1" si="90"/>
        <v>1.1001971221736833</v>
      </c>
      <c r="H1156">
        <f t="shared" ca="1" si="89"/>
        <v>2.7095769180999518</v>
      </c>
    </row>
    <row r="1157" spans="1:8" x14ac:dyDescent="0.25">
      <c r="A1157" s="1">
        <v>41857</v>
      </c>
      <c r="B1157">
        <v>564.82585959999994</v>
      </c>
      <c r="C1157" s="6">
        <v>-2.3077603077694161E-3</v>
      </c>
      <c r="D1157" s="6">
        <f t="shared" ref="D1157:D1220" ca="1" si="92">($K$10*$C1156)+($K$11*$C1155)+($F1157*$G1157)</f>
        <v>5.7793592919224953E-3</v>
      </c>
      <c r="E1157" s="6">
        <f t="shared" ca="1" si="88"/>
        <v>8.087119599691911E-3</v>
      </c>
      <c r="F1157">
        <f t="shared" ca="1" si="91"/>
        <v>1.9248474303429002E-2</v>
      </c>
      <c r="G1157">
        <f t="shared" ca="1" si="90"/>
        <v>0.59300357504494139</v>
      </c>
      <c r="H1157">
        <f t="shared" ca="1" si="89"/>
        <v>2.7585303620574422</v>
      </c>
    </row>
    <row r="1158" spans="1:8" x14ac:dyDescent="0.25">
      <c r="A1158" s="5">
        <v>41858</v>
      </c>
      <c r="B1158">
        <v>561.82004810000001</v>
      </c>
      <c r="C1158" s="6">
        <v>5.3216605594662413E-3</v>
      </c>
      <c r="D1158" s="6">
        <f t="shared" ca="1" si="92"/>
        <v>1.7760171440043774E-2</v>
      </c>
      <c r="E1158" s="6">
        <f t="shared" ref="E1158:E1221" ca="1" si="93">$D1158-$C1158</f>
        <v>1.2438510880577533E-2</v>
      </c>
      <c r="F1158">
        <f t="shared" ca="1" si="91"/>
        <v>1.2513384250922351E-2</v>
      </c>
      <c r="G1158">
        <f t="shared" ca="1" si="90"/>
        <v>0.91169852539949914</v>
      </c>
      <c r="H1158">
        <f t="shared" ref="H1158:H1221" ca="1" si="94">LN(_xlfn.NORM.DIST($E1158,AVERAGE($E$5:$E$1763),_xlfn.STDEV.S($E$5:$E$1763),FALSE))</f>
        <v>2.6782439884270626</v>
      </c>
    </row>
    <row r="1159" spans="1:8" x14ac:dyDescent="0.25">
      <c r="A1159" s="1">
        <v>41859</v>
      </c>
      <c r="B1159">
        <v>567.21527549999996</v>
      </c>
      <c r="C1159" s="6">
        <v>-9.6031236661024977E-3</v>
      </c>
      <c r="D1159" s="6">
        <f t="shared" ca="1" si="92"/>
        <v>-1.4953392674796149E-2</v>
      </c>
      <c r="E1159" s="6">
        <f t="shared" ca="1" si="93"/>
        <v>-5.3502690086936512E-3</v>
      </c>
      <c r="F1159">
        <f t="shared" ca="1" si="91"/>
        <v>1.6219472496606893E-2</v>
      </c>
      <c r="G1159">
        <f t="shared" ca="1" si="90"/>
        <v>-0.85783944711751581</v>
      </c>
      <c r="H1159">
        <f t="shared" ca="1" si="94"/>
        <v>2.7955157686620082</v>
      </c>
    </row>
    <row r="1160" spans="1:8" x14ac:dyDescent="0.25">
      <c r="A1160" s="5">
        <v>41862</v>
      </c>
      <c r="B1160">
        <v>566.32769829999995</v>
      </c>
      <c r="C1160" s="6">
        <v>1.5647977731516678E-3</v>
      </c>
      <c r="D1160" s="6">
        <f t="shared" ca="1" si="92"/>
        <v>-1.3168106408415196E-2</v>
      </c>
      <c r="E1160" s="6">
        <f t="shared" ca="1" si="93"/>
        <v>-1.4732904181566864E-2</v>
      </c>
      <c r="F1160">
        <f t="shared" ca="1" si="91"/>
        <v>1.5683299977673409E-2</v>
      </c>
      <c r="G1160">
        <f t="shared" ca="1" si="90"/>
        <v>-0.99249893759764474</v>
      </c>
      <c r="H1160">
        <f t="shared" ca="1" si="94"/>
        <v>2.6323904214343274</v>
      </c>
    </row>
    <row r="1161" spans="1:8" x14ac:dyDescent="0.25">
      <c r="A1161" s="1">
        <v>41863</v>
      </c>
      <c r="B1161">
        <v>561.19180989999995</v>
      </c>
      <c r="C1161" s="6">
        <v>9.0687572149779835E-3</v>
      </c>
      <c r="D1161" s="6">
        <f t="shared" ca="1" si="92"/>
        <v>7.2716828297783387E-3</v>
      </c>
      <c r="E1161" s="6">
        <f t="shared" ca="1" si="93"/>
        <v>-1.7970743851996448E-3</v>
      </c>
      <c r="F1161">
        <f t="shared" ca="1" si="91"/>
        <v>1.7528870838818617E-2</v>
      </c>
      <c r="G1161">
        <f t="shared" ca="1" si="90"/>
        <v>0.66167472492748991</v>
      </c>
      <c r="H1161">
        <f t="shared" ca="1" si="94"/>
        <v>2.8167291100419938</v>
      </c>
    </row>
    <row r="1162" spans="1:8" x14ac:dyDescent="0.25">
      <c r="A1162" s="5">
        <v>41864</v>
      </c>
      <c r="B1162">
        <v>573.20883219999996</v>
      </c>
      <c r="C1162" s="6">
        <v>-2.1413395719622759E-2</v>
      </c>
      <c r="D1162" s="6">
        <f t="shared" ca="1" si="92"/>
        <v>-3.1950059975697979E-3</v>
      </c>
      <c r="E1162" s="6">
        <f t="shared" ca="1" si="93"/>
        <v>1.8218389722052961E-2</v>
      </c>
      <c r="F1162">
        <f t="shared" ca="1" si="91"/>
        <v>1.3196354773349643E-2</v>
      </c>
      <c r="G1162">
        <f t="shared" ca="1" si="90"/>
        <v>-0.29555028949716716</v>
      </c>
      <c r="H1162">
        <f t="shared" ca="1" si="94"/>
        <v>2.5199249060983711</v>
      </c>
    </row>
    <row r="1163" spans="1:8" x14ac:dyDescent="0.25">
      <c r="A1163" s="1">
        <v>41865</v>
      </c>
      <c r="B1163">
        <v>573.0791931</v>
      </c>
      <c r="C1163" s="6">
        <v>2.2616382148614604E-4</v>
      </c>
      <c r="D1163" s="6">
        <f t="shared" ca="1" si="92"/>
        <v>8.6928014848452265E-3</v>
      </c>
      <c r="E1163" s="6">
        <f t="shared" ca="1" si="93"/>
        <v>8.4666376633590803E-3</v>
      </c>
      <c r="F1163">
        <f t="shared" ca="1" si="91"/>
        <v>8.8293872380031547E-3</v>
      </c>
      <c r="G1163">
        <f t="shared" ca="1" si="90"/>
        <v>0.52179887698501082</v>
      </c>
      <c r="H1163">
        <f t="shared" ca="1" si="94"/>
        <v>2.7528582283855845</v>
      </c>
    </row>
    <row r="1164" spans="1:8" x14ac:dyDescent="0.25">
      <c r="A1164" s="5">
        <v>41866</v>
      </c>
      <c r="B1164">
        <v>571.91244040000004</v>
      </c>
      <c r="C1164" s="6">
        <v>2.035936244149013E-3</v>
      </c>
      <c r="D1164" s="6">
        <f t="shared" ca="1" si="92"/>
        <v>1.8046312290128878E-3</v>
      </c>
      <c r="E1164" s="6">
        <f t="shared" ca="1" si="93"/>
        <v>-2.3130501513612522E-4</v>
      </c>
      <c r="F1164">
        <f t="shared" ca="1" si="91"/>
        <v>1.0869846747285293E-2</v>
      </c>
      <c r="G1164">
        <f t="shared" ca="1" si="90"/>
        <v>1.0536101775366351</v>
      </c>
      <c r="H1164">
        <f t="shared" ca="1" si="94"/>
        <v>2.8190038807960858</v>
      </c>
    </row>
    <row r="1165" spans="1:8" x14ac:dyDescent="0.25">
      <c r="A1165" s="1">
        <v>41869</v>
      </c>
      <c r="B1165">
        <v>580.56866769999999</v>
      </c>
      <c r="C1165" s="6">
        <v>-1.5135581408136046E-2</v>
      </c>
      <c r="D1165" s="6">
        <f t="shared" ca="1" si="92"/>
        <v>-4.8657583403928263E-3</v>
      </c>
      <c r="E1165" s="6">
        <f t="shared" ca="1" si="93"/>
        <v>1.026982306774322E-2</v>
      </c>
      <c r="F1165">
        <f t="shared" ca="1" si="91"/>
        <v>1.8178507898286074E-2</v>
      </c>
      <c r="G1165">
        <f t="shared" ca="1" si="90"/>
        <v>-0.27327279665456206</v>
      </c>
      <c r="H1165">
        <f t="shared" ca="1" si="94"/>
        <v>2.7224352034208974</v>
      </c>
    </row>
    <row r="1166" spans="1:8" x14ac:dyDescent="0.25">
      <c r="A1166" s="5">
        <v>41870</v>
      </c>
      <c r="B1166">
        <v>585.25582310000004</v>
      </c>
      <c r="C1166" s="6">
        <v>-8.0733867684745046E-3</v>
      </c>
      <c r="D1166" s="6">
        <f t="shared" ca="1" si="92"/>
        <v>-9.9487726704943179E-3</v>
      </c>
      <c r="E1166" s="6">
        <f t="shared" ca="1" si="93"/>
        <v>-1.8753859020198133E-3</v>
      </c>
      <c r="F1166">
        <f t="shared" ca="1" si="91"/>
        <v>9.2033458196801188E-3</v>
      </c>
      <c r="G1166">
        <f t="shared" ca="1" si="90"/>
        <v>-1.1806388342478833</v>
      </c>
      <c r="H1166">
        <f t="shared" ca="1" si="94"/>
        <v>2.8165017178085097</v>
      </c>
    </row>
    <row r="1167" spans="1:8" x14ac:dyDescent="0.25">
      <c r="A1167" s="1">
        <v>41871</v>
      </c>
      <c r="B1167">
        <v>582.89228720000006</v>
      </c>
      <c r="C1167" s="6">
        <v>4.0384662684443571E-3</v>
      </c>
      <c r="D1167" s="6">
        <f t="shared" ca="1" si="92"/>
        <v>-9.1911040468078981E-3</v>
      </c>
      <c r="E1167" s="6">
        <f t="shared" ca="1" si="93"/>
        <v>-1.3229570315252254E-2</v>
      </c>
      <c r="F1167">
        <f t="shared" ca="1" si="91"/>
        <v>1.9984769031740061E-2</v>
      </c>
      <c r="G1167">
        <f t="shared" ca="1" si="90"/>
        <v>-0.1186668468703954</v>
      </c>
      <c r="H1167">
        <f t="shared" ca="1" si="94"/>
        <v>2.6689804161008257</v>
      </c>
    </row>
    <row r="1168" spans="1:8" x14ac:dyDescent="0.25">
      <c r="A1168" s="5">
        <v>41872</v>
      </c>
      <c r="B1168">
        <v>581.77539960000001</v>
      </c>
      <c r="C1168" s="6">
        <v>1.916113190251938E-3</v>
      </c>
      <c r="D1168" s="6">
        <f t="shared" ca="1" si="92"/>
        <v>1.6955301131578514E-2</v>
      </c>
      <c r="E1168" s="6">
        <f t="shared" ca="1" si="93"/>
        <v>1.5039187941326576E-2</v>
      </c>
      <c r="F1168">
        <f t="shared" ca="1" si="91"/>
        <v>8.5967261940112557E-3</v>
      </c>
      <c r="G1168">
        <f t="shared" ca="1" si="90"/>
        <v>2.3954182280312475</v>
      </c>
      <c r="H1168">
        <f t="shared" ca="1" si="94"/>
        <v>2.6143041984144442</v>
      </c>
    </row>
    <row r="1169" spans="1:8" x14ac:dyDescent="0.25">
      <c r="A1169" s="1">
        <v>41873</v>
      </c>
      <c r="B1169">
        <v>580.96759550000002</v>
      </c>
      <c r="C1169" s="6">
        <v>1.3885153971023949E-3</v>
      </c>
      <c r="D1169" s="6">
        <f t="shared" ca="1" si="92"/>
        <v>-3.5430141599164869E-2</v>
      </c>
      <c r="E1169" s="6">
        <f t="shared" ca="1" si="93"/>
        <v>-3.6818656996267261E-2</v>
      </c>
      <c r="F1169">
        <f t="shared" ca="1" si="91"/>
        <v>3.8552428828845305E-2</v>
      </c>
      <c r="G1169">
        <f t="shared" ca="1" si="90"/>
        <v>-0.96620973978585167</v>
      </c>
      <c r="H1169">
        <f t="shared" ca="1" si="94"/>
        <v>1.6350812560977377</v>
      </c>
    </row>
    <row r="1170" spans="1:8" x14ac:dyDescent="0.25">
      <c r="A1170" s="5">
        <v>41876</v>
      </c>
      <c r="B1170">
        <v>578.61406910000005</v>
      </c>
      <c r="C1170" s="6">
        <v>4.051045907258289E-3</v>
      </c>
      <c r="D1170" s="6">
        <f t="shared" ca="1" si="92"/>
        <v>-2.0149196770644237E-2</v>
      </c>
      <c r="E1170" s="6">
        <f t="shared" ca="1" si="93"/>
        <v>-2.4200242677902526E-2</v>
      </c>
      <c r="F1170">
        <f t="shared" ca="1" si="91"/>
        <v>1.9314536341834866E-2</v>
      </c>
      <c r="G1170">
        <f t="shared" ca="1" si="90"/>
        <v>-1.0879131359023815</v>
      </c>
      <c r="H1170">
        <f t="shared" ca="1" si="94"/>
        <v>2.3103051723932277</v>
      </c>
    </row>
    <row r="1171" spans="1:8" x14ac:dyDescent="0.25">
      <c r="A1171" s="1">
        <v>41877</v>
      </c>
      <c r="B1171">
        <v>576.280441</v>
      </c>
      <c r="C1171" s="6">
        <v>4.0331340432663105E-3</v>
      </c>
      <c r="D1171" s="6">
        <f t="shared" ca="1" si="92"/>
        <v>5.2909962499324116E-3</v>
      </c>
      <c r="E1171" s="6">
        <f t="shared" ca="1" si="93"/>
        <v>1.2578622066661011E-3</v>
      </c>
      <c r="F1171">
        <f t="shared" ca="1" si="91"/>
        <v>1.9105479703426444E-2</v>
      </c>
      <c r="G1171">
        <f t="shared" ca="1" si="90"/>
        <v>0.24418774559005746</v>
      </c>
      <c r="H1171">
        <f t="shared" ca="1" si="94"/>
        <v>2.8171526689727333</v>
      </c>
    </row>
    <row r="1172" spans="1:8" x14ac:dyDescent="0.25">
      <c r="A1172" s="5">
        <v>41878</v>
      </c>
      <c r="B1172">
        <v>569.43916179999997</v>
      </c>
      <c r="C1172" s="6">
        <v>1.1871440904932657E-2</v>
      </c>
      <c r="D1172" s="6">
        <f t="shared" ca="1" si="92"/>
        <v>4.7825286750876519E-3</v>
      </c>
      <c r="E1172" s="6">
        <f t="shared" ca="1" si="93"/>
        <v>-7.0889122298450052E-3</v>
      </c>
      <c r="F1172">
        <f t="shared" ca="1" si="91"/>
        <v>9.1173481484453697E-3</v>
      </c>
      <c r="G1172">
        <f t="shared" ca="1" si="90"/>
        <v>0.3243525571339298</v>
      </c>
      <c r="H1172">
        <f t="shared" ca="1" si="94"/>
        <v>2.7770162951661845</v>
      </c>
    </row>
    <row r="1173" spans="1:8" x14ac:dyDescent="0.25">
      <c r="A1173" s="1">
        <v>41879</v>
      </c>
      <c r="B1173">
        <v>567.64411010000003</v>
      </c>
      <c r="C1173" s="6">
        <v>3.1523151557152546E-3</v>
      </c>
      <c r="D1173" s="6">
        <f t="shared" ca="1" si="92"/>
        <v>-1.418401483093488E-2</v>
      </c>
      <c r="E1173" s="6">
        <f t="shared" ca="1" si="93"/>
        <v>-1.7336329986650134E-2</v>
      </c>
      <c r="F1173">
        <f t="shared" ca="1" si="91"/>
        <v>8.7552431053806029E-3</v>
      </c>
      <c r="G1173">
        <f t="shared" ca="1" si="90"/>
        <v>-1.8276325930719348</v>
      </c>
      <c r="H1173">
        <f t="shared" ca="1" si="94"/>
        <v>2.5595898282803806</v>
      </c>
    </row>
    <row r="1174" spans="1:8" x14ac:dyDescent="0.25">
      <c r="A1174" s="5">
        <v>41880</v>
      </c>
      <c r="B1174">
        <v>570.03755390000003</v>
      </c>
      <c r="C1174" s="6">
        <v>-4.2164513951855409E-3</v>
      </c>
      <c r="D1174" s="6">
        <f t="shared" ca="1" si="92"/>
        <v>-1.0676081511176085E-2</v>
      </c>
      <c r="E1174" s="6">
        <f t="shared" ca="1" si="93"/>
        <v>-6.4596301159905436E-3</v>
      </c>
      <c r="F1174">
        <f t="shared" ca="1" si="91"/>
        <v>2.9768436384355168E-2</v>
      </c>
      <c r="G1174">
        <f t="shared" ca="1" si="90"/>
        <v>-0.53831828200133214</v>
      </c>
      <c r="H1174">
        <f t="shared" ca="1" si="94"/>
        <v>2.7843280318824912</v>
      </c>
    </row>
    <row r="1175" spans="1:8" x14ac:dyDescent="0.25">
      <c r="A1175" s="1">
        <v>41884</v>
      </c>
      <c r="B1175">
        <v>575.75187419999997</v>
      </c>
      <c r="C1175" s="6">
        <v>-1.0024462881269023E-2</v>
      </c>
      <c r="D1175" s="6">
        <f t="shared" ca="1" si="92"/>
        <v>-1.5382644343656861E-2</v>
      </c>
      <c r="E1175" s="6">
        <f t="shared" ca="1" si="93"/>
        <v>-5.3581814623878381E-3</v>
      </c>
      <c r="F1175">
        <f t="shared" ca="1" si="91"/>
        <v>1.3183601065964222E-2</v>
      </c>
      <c r="G1175">
        <f t="shared" ca="1" si="90"/>
        <v>-1.2745282514084428</v>
      </c>
      <c r="H1175">
        <f t="shared" ca="1" si="94"/>
        <v>2.7954436637683213</v>
      </c>
    </row>
    <row r="1176" spans="1:8" x14ac:dyDescent="0.25">
      <c r="A1176" s="5">
        <v>41885</v>
      </c>
      <c r="B1176">
        <v>576.36021400000004</v>
      </c>
      <c r="C1176" s="6">
        <v>-1.056600642152225E-3</v>
      </c>
      <c r="D1176" s="6">
        <f t="shared" ca="1" si="92"/>
        <v>-3.4292145330070016E-2</v>
      </c>
      <c r="E1176" s="6">
        <f t="shared" ca="1" si="93"/>
        <v>-3.3235544687917791E-2</v>
      </c>
      <c r="F1176">
        <f t="shared" ca="1" si="91"/>
        <v>2.1511730112843921E-2</v>
      </c>
      <c r="G1176">
        <f t="shared" ca="1" si="90"/>
        <v>-1.5057937218700292</v>
      </c>
      <c r="H1176">
        <f t="shared" ca="1" si="94"/>
        <v>1.8553871395510697</v>
      </c>
    </row>
    <row r="1177" spans="1:8" x14ac:dyDescent="0.25">
      <c r="A1177" s="1">
        <v>41886</v>
      </c>
      <c r="B1177">
        <v>580.38916259999996</v>
      </c>
      <c r="C1177" s="6">
        <v>-6.9903308766554127E-3</v>
      </c>
      <c r="D1177" s="6">
        <f t="shared" ca="1" si="92"/>
        <v>-2.9808212080152524E-3</v>
      </c>
      <c r="E1177" s="6">
        <f t="shared" ca="1" si="93"/>
        <v>4.0095096686401602E-3</v>
      </c>
      <c r="F1177">
        <f t="shared" ca="1" si="91"/>
        <v>2.5338949688858491E-2</v>
      </c>
      <c r="G1177">
        <f t="shared" ca="1" si="90"/>
        <v>6.0609750305176374E-2</v>
      </c>
      <c r="H1177">
        <f t="shared" ca="1" si="94"/>
        <v>2.8034341396514773</v>
      </c>
    </row>
    <row r="1178" spans="1:8" x14ac:dyDescent="0.25">
      <c r="A1178" s="5">
        <v>41887</v>
      </c>
      <c r="B1178">
        <v>584.47798769999997</v>
      </c>
      <c r="C1178" s="6">
        <v>-7.0449714837594185E-3</v>
      </c>
      <c r="D1178" s="6">
        <f t="shared" ca="1" si="92"/>
        <v>1.3603260086803898E-2</v>
      </c>
      <c r="E1178" s="6">
        <f t="shared" ca="1" si="93"/>
        <v>2.0648231570563315E-2</v>
      </c>
      <c r="F1178">
        <f t="shared" ca="1" si="91"/>
        <v>9.3108592054489507E-3</v>
      </c>
      <c r="G1178">
        <f t="shared" ca="1" si="90"/>
        <v>1.5121520084644928</v>
      </c>
      <c r="H1178">
        <f t="shared" ca="1" si="94"/>
        <v>2.4357640171268642</v>
      </c>
    </row>
    <row r="1179" spans="1:8" x14ac:dyDescent="0.25">
      <c r="A1179" s="1">
        <v>41890</v>
      </c>
      <c r="B1179">
        <v>588.10800849999998</v>
      </c>
      <c r="C1179" s="6">
        <v>-6.2107057517848266E-3</v>
      </c>
      <c r="D1179" s="6">
        <f t="shared" ca="1" si="92"/>
        <v>9.0832679287508305E-3</v>
      </c>
      <c r="E1179" s="6">
        <f t="shared" ca="1" si="93"/>
        <v>1.5293973680535658E-2</v>
      </c>
      <c r="F1179">
        <f t="shared" ca="1" si="91"/>
        <v>2.4960177112284439E-2</v>
      </c>
      <c r="G1179">
        <f t="shared" ca="1" si="90"/>
        <v>0.49009774135361472</v>
      </c>
      <c r="H1179">
        <f t="shared" ca="1" si="94"/>
        <v>2.6073980463771722</v>
      </c>
    </row>
    <row r="1180" spans="1:8" x14ac:dyDescent="0.25">
      <c r="A1180" s="5">
        <v>41891</v>
      </c>
      <c r="B1180">
        <v>579.42181240000002</v>
      </c>
      <c r="C1180" s="6">
        <v>1.4769729326003492E-2</v>
      </c>
      <c r="D1180" s="6">
        <f t="shared" ca="1" si="92"/>
        <v>-5.111440353946786E-3</v>
      </c>
      <c r="E1180" s="6">
        <f t="shared" ca="1" si="93"/>
        <v>-1.9881169679950277E-2</v>
      </c>
      <c r="F1180">
        <f t="shared" ca="1" si="91"/>
        <v>1.2029075946975432E-2</v>
      </c>
      <c r="G1180">
        <f t="shared" ca="1" si="90"/>
        <v>-0.16104121053148412</v>
      </c>
      <c r="H1180">
        <f t="shared" ca="1" si="94"/>
        <v>2.4768656294629476</v>
      </c>
    </row>
    <row r="1181" spans="1:8" x14ac:dyDescent="0.25">
      <c r="A1181" s="1">
        <v>41892</v>
      </c>
      <c r="B1181">
        <v>581.50611100000003</v>
      </c>
      <c r="C1181" s="6">
        <v>-3.5972042394585057E-3</v>
      </c>
      <c r="D1181" s="6">
        <f t="shared" ca="1" si="92"/>
        <v>-5.4214488268570704E-3</v>
      </c>
      <c r="E1181" s="6">
        <f t="shared" ca="1" si="93"/>
        <v>-1.8242445873985647E-3</v>
      </c>
      <c r="F1181">
        <f t="shared" ca="1" si="91"/>
        <v>7.7919379966078358E-3</v>
      </c>
      <c r="G1181">
        <f t="shared" ca="1" si="90"/>
        <v>-0.3366834625937834</v>
      </c>
      <c r="H1181">
        <f t="shared" ca="1" si="94"/>
        <v>2.8166514424731948</v>
      </c>
    </row>
    <row r="1182" spans="1:8" x14ac:dyDescent="0.25">
      <c r="A1182" s="5">
        <v>41893</v>
      </c>
      <c r="B1182">
        <v>579.76092540000002</v>
      </c>
      <c r="C1182" s="6">
        <v>3.0011474806324319E-3</v>
      </c>
      <c r="D1182" s="6">
        <f t="shared" ca="1" si="92"/>
        <v>-2.0033651780585748E-3</v>
      </c>
      <c r="E1182" s="6">
        <f t="shared" ca="1" si="93"/>
        <v>-5.0045126586910071E-3</v>
      </c>
      <c r="F1182">
        <f t="shared" ca="1" si="91"/>
        <v>8.7905216530928688E-3</v>
      </c>
      <c r="G1182">
        <f t="shared" ca="1" si="90"/>
        <v>-0.98491418457030999</v>
      </c>
      <c r="H1182">
        <f t="shared" ca="1" si="94"/>
        <v>2.7985586766293542</v>
      </c>
    </row>
    <row r="1183" spans="1:8" x14ac:dyDescent="0.25">
      <c r="A1183" s="1">
        <v>41894</v>
      </c>
      <c r="B1183">
        <v>574.04654419999997</v>
      </c>
      <c r="C1183" s="6">
        <v>9.8564441818107529E-3</v>
      </c>
      <c r="D1183" s="6">
        <f t="shared" ca="1" si="92"/>
        <v>1.9454768166333042E-2</v>
      </c>
      <c r="E1183" s="6">
        <f t="shared" ca="1" si="93"/>
        <v>9.598323984522289E-3</v>
      </c>
      <c r="F1183">
        <f t="shared" ca="1" si="91"/>
        <v>1.7111550319363233E-2</v>
      </c>
      <c r="G1183">
        <f t="shared" ca="1" si="90"/>
        <v>1.2316513350358582</v>
      </c>
      <c r="H1183">
        <f t="shared" ca="1" si="94"/>
        <v>2.734435239816015</v>
      </c>
    </row>
    <row r="1184" spans="1:8" x14ac:dyDescent="0.25">
      <c r="A1184" s="5">
        <v>41897</v>
      </c>
      <c r="B1184">
        <v>571.5334709</v>
      </c>
      <c r="C1184" s="6">
        <v>4.3778214944264334E-3</v>
      </c>
      <c r="D1184" s="6">
        <f t="shared" ca="1" si="92"/>
        <v>3.4221899432802516E-2</v>
      </c>
      <c r="E1184" s="6">
        <f t="shared" ca="1" si="93"/>
        <v>2.9844077938376082E-2</v>
      </c>
      <c r="F1184">
        <f t="shared" ca="1" si="91"/>
        <v>2.1057079020318416E-2</v>
      </c>
      <c r="G1184">
        <f t="shared" ca="1" si="90"/>
        <v>1.5609737985127179</v>
      </c>
      <c r="H1184">
        <f t="shared" ca="1" si="94"/>
        <v>2.0229087035867916</v>
      </c>
    </row>
    <row r="1185" spans="1:8" x14ac:dyDescent="0.25">
      <c r="A1185" s="1">
        <v>41898</v>
      </c>
      <c r="B1185">
        <v>578.36473960000001</v>
      </c>
      <c r="C1185" s="6">
        <v>-1.1952526051086276E-2</v>
      </c>
      <c r="D1185" s="6">
        <f t="shared" ca="1" si="92"/>
        <v>6.0791525779941681E-3</v>
      </c>
      <c r="E1185" s="6">
        <f t="shared" ca="1" si="93"/>
        <v>1.8031678629080443E-2</v>
      </c>
      <c r="F1185">
        <f t="shared" ca="1" si="91"/>
        <v>2.6138119011414229E-2</v>
      </c>
      <c r="G1185">
        <f t="shared" ca="1" si="90"/>
        <v>6.2674403124636374E-2</v>
      </c>
      <c r="H1185">
        <f t="shared" ca="1" si="94"/>
        <v>2.5259607714585193</v>
      </c>
    </row>
    <row r="1186" spans="1:8" x14ac:dyDescent="0.25">
      <c r="A1186" s="5">
        <v>41899</v>
      </c>
      <c r="B1186">
        <v>583.1715246</v>
      </c>
      <c r="C1186" s="6">
        <v>-8.310992477384406E-3</v>
      </c>
      <c r="D1186" s="6">
        <f t="shared" ca="1" si="92"/>
        <v>-3.3637500894619587E-3</v>
      </c>
      <c r="E1186" s="6">
        <f t="shared" ca="1" si="93"/>
        <v>4.9472423879224469E-3</v>
      </c>
      <c r="F1186">
        <f t="shared" ca="1" si="91"/>
        <v>9.4533341635828182E-3</v>
      </c>
      <c r="G1186">
        <f t="shared" ca="1" si="90"/>
        <v>-0.56445800693378845</v>
      </c>
      <c r="H1186">
        <f t="shared" ca="1" si="94"/>
        <v>2.7957059205982757</v>
      </c>
    </row>
    <row r="1187" spans="1:8" x14ac:dyDescent="0.25">
      <c r="A1187" s="1">
        <v>41900</v>
      </c>
      <c r="B1187">
        <v>587.65927650000003</v>
      </c>
      <c r="C1187" s="6">
        <v>-7.6954235772712055E-3</v>
      </c>
      <c r="D1187" s="6">
        <f t="shared" ca="1" si="92"/>
        <v>3.484770036213735E-3</v>
      </c>
      <c r="E1187" s="6">
        <f t="shared" ca="1" si="93"/>
        <v>1.1180193613484941E-2</v>
      </c>
      <c r="F1187">
        <f t="shared" ca="1" si="91"/>
        <v>1.1422717779598949E-2</v>
      </c>
      <c r="G1187">
        <f t="shared" ca="1" si="90"/>
        <v>0.77654031488443209</v>
      </c>
      <c r="H1187">
        <f t="shared" ca="1" si="94"/>
        <v>2.7048955562750661</v>
      </c>
    </row>
    <row r="1188" spans="1:8" x14ac:dyDescent="0.25">
      <c r="A1188" s="5">
        <v>41901</v>
      </c>
      <c r="B1188">
        <v>594.45062780000001</v>
      </c>
      <c r="C1188" s="6">
        <v>-1.1556613792346003E-2</v>
      </c>
      <c r="D1188" s="6">
        <f t="shared" ca="1" si="92"/>
        <v>1.2128656576805267E-2</v>
      </c>
      <c r="E1188" s="6">
        <f t="shared" ca="1" si="93"/>
        <v>2.368527036915127E-2</v>
      </c>
      <c r="F1188">
        <f t="shared" ca="1" si="91"/>
        <v>1.4292961802766494E-2</v>
      </c>
      <c r="G1188">
        <f t="shared" ca="1" si="90"/>
        <v>1.1105717120871323</v>
      </c>
      <c r="H1188">
        <f t="shared" ca="1" si="94"/>
        <v>2.3159200398555733</v>
      </c>
    </row>
    <row r="1189" spans="1:8" x14ac:dyDescent="0.25">
      <c r="A1189" s="1">
        <v>41904</v>
      </c>
      <c r="B1189">
        <v>585.76443180000001</v>
      </c>
      <c r="C1189" s="6">
        <v>1.461214034233037E-2</v>
      </c>
      <c r="D1189" s="6">
        <f t="shared" ca="1" si="92"/>
        <v>-2.2454138063948643E-2</v>
      </c>
      <c r="E1189" s="6">
        <f t="shared" ca="1" si="93"/>
        <v>-3.7066278406279012E-2</v>
      </c>
      <c r="F1189">
        <f t="shared" ca="1" si="91"/>
        <v>1.9151634957386574E-2</v>
      </c>
      <c r="G1189">
        <f t="shared" ca="1" si="90"/>
        <v>-0.99138901632885235</v>
      </c>
      <c r="H1189">
        <f t="shared" ca="1" si="94"/>
        <v>1.6190192772876071</v>
      </c>
    </row>
    <row r="1190" spans="1:8" x14ac:dyDescent="0.25">
      <c r="A1190" s="5">
        <v>41905</v>
      </c>
      <c r="B1190">
        <v>579.54150279999999</v>
      </c>
      <c r="C1190" s="6">
        <v>1.0623603384175334E-2</v>
      </c>
      <c r="D1190" s="6">
        <f t="shared" ca="1" si="92"/>
        <v>-1.5420179443123808E-2</v>
      </c>
      <c r="E1190" s="6">
        <f t="shared" ca="1" si="93"/>
        <v>-2.604378282729914E-2</v>
      </c>
      <c r="F1190">
        <f t="shared" ca="1" si="91"/>
        <v>1.7730605398933771E-2</v>
      </c>
      <c r="G1190">
        <f t="shared" ca="1" si="90"/>
        <v>-0.57603835688015503</v>
      </c>
      <c r="H1190">
        <f t="shared" ca="1" si="94"/>
        <v>2.2291850859722038</v>
      </c>
    </row>
    <row r="1191" spans="1:8" x14ac:dyDescent="0.25">
      <c r="A1191" s="1">
        <v>41906</v>
      </c>
      <c r="B1191">
        <v>586.38272019999999</v>
      </c>
      <c r="C1191" s="6">
        <v>-1.1804534044494329E-2</v>
      </c>
      <c r="D1191" s="6">
        <f t="shared" ca="1" si="92"/>
        <v>9.6518082065413686E-3</v>
      </c>
      <c r="E1191" s="6">
        <f t="shared" ca="1" si="93"/>
        <v>2.1456342251035695E-2</v>
      </c>
      <c r="F1191">
        <f t="shared" ca="1" si="91"/>
        <v>1.216794085372544E-2</v>
      </c>
      <c r="G1191">
        <f t="shared" ca="1" si="90"/>
        <v>0.25214056637242815</v>
      </c>
      <c r="H1191">
        <f t="shared" ca="1" si="94"/>
        <v>2.4054648722149459</v>
      </c>
    </row>
    <row r="1192" spans="1:8" x14ac:dyDescent="0.25">
      <c r="A1192" s="5">
        <v>41907</v>
      </c>
      <c r="B1192">
        <v>573.48806950000005</v>
      </c>
      <c r="C1192" s="6">
        <v>2.1990161469290757E-2</v>
      </c>
      <c r="D1192" s="6">
        <f t="shared" ca="1" si="92"/>
        <v>1.2094415497946123E-2</v>
      </c>
      <c r="E1192" s="6">
        <f t="shared" ca="1" si="93"/>
        <v>-9.8957459713446341E-3</v>
      </c>
      <c r="F1192">
        <f t="shared" ca="1" si="91"/>
        <v>8.3875539732356768E-3</v>
      </c>
      <c r="G1192">
        <f t="shared" ca="1" si="90"/>
        <v>0.87129963464991511</v>
      </c>
      <c r="H1192">
        <f t="shared" ca="1" si="94"/>
        <v>2.7358920038091421</v>
      </c>
    </row>
    <row r="1193" spans="1:8" x14ac:dyDescent="0.25">
      <c r="A1193" s="1">
        <v>41908</v>
      </c>
      <c r="B1193">
        <v>575.52250300000003</v>
      </c>
      <c r="C1193" s="6">
        <v>-3.5474731004843984E-3</v>
      </c>
      <c r="D1193" s="6">
        <f t="shared" ca="1" si="92"/>
        <v>-2.9285470042013304E-2</v>
      </c>
      <c r="E1193" s="6">
        <f t="shared" ca="1" si="93"/>
        <v>-2.5737996941528906E-2</v>
      </c>
      <c r="F1193">
        <f t="shared" ca="1" si="91"/>
        <v>1.5477964520578395E-2</v>
      </c>
      <c r="G1193">
        <f t="shared" ca="1" si="90"/>
        <v>-1.5484735878716116</v>
      </c>
      <c r="H1193">
        <f t="shared" ca="1" si="94"/>
        <v>2.2430553461705536</v>
      </c>
    </row>
    <row r="1194" spans="1:8" x14ac:dyDescent="0.25">
      <c r="A1194" s="5">
        <v>41911</v>
      </c>
      <c r="B1194">
        <v>574.7845231</v>
      </c>
      <c r="C1194" s="6">
        <v>1.282278097125991E-3</v>
      </c>
      <c r="D1194" s="6">
        <f t="shared" ca="1" si="92"/>
        <v>5.6932394491661193E-3</v>
      </c>
      <c r="E1194" s="6">
        <f t="shared" ca="1" si="93"/>
        <v>4.4109613520401285E-3</v>
      </c>
      <c r="F1194">
        <f t="shared" ca="1" si="91"/>
        <v>2.5700967702553309E-2</v>
      </c>
      <c r="G1194">
        <f t="shared" ca="1" si="90"/>
        <v>-0.16398298285155832</v>
      </c>
      <c r="H1194">
        <f t="shared" ca="1" si="94"/>
        <v>2.8003156113872185</v>
      </c>
    </row>
    <row r="1195" spans="1:8" x14ac:dyDescent="0.25">
      <c r="A1195" s="1">
        <v>41912</v>
      </c>
      <c r="B1195">
        <v>575.78178109999999</v>
      </c>
      <c r="C1195" s="6">
        <v>-1.735011921722337E-3</v>
      </c>
      <c r="D1195" s="6">
        <f t="shared" ca="1" si="92"/>
        <v>-5.6998353542721709E-3</v>
      </c>
      <c r="E1195" s="6">
        <f t="shared" ca="1" si="93"/>
        <v>-3.9648234325498338E-3</v>
      </c>
      <c r="F1195">
        <f t="shared" ca="1" si="91"/>
        <v>9.6786754704275817E-3</v>
      </c>
      <c r="G1195">
        <f t="shared" ca="1" si="90"/>
        <v>-0.42376852232520917</v>
      </c>
      <c r="H1195">
        <f t="shared" ca="1" si="94"/>
        <v>2.8064375411043434</v>
      </c>
    </row>
    <row r="1196" spans="1:8" x14ac:dyDescent="0.25">
      <c r="A1196" s="5">
        <v>41913</v>
      </c>
      <c r="B1196">
        <v>566.71667639999998</v>
      </c>
      <c r="C1196" s="6">
        <v>1.5743993640579618E-2</v>
      </c>
      <c r="D1196" s="6">
        <f t="shared" ca="1" si="92"/>
        <v>8.3589610275437501E-3</v>
      </c>
      <c r="E1196" s="6">
        <f t="shared" ca="1" si="93"/>
        <v>-7.3850326130358683E-3</v>
      </c>
      <c r="F1196">
        <f t="shared" ca="1" si="91"/>
        <v>9.7950995829722935E-3</v>
      </c>
      <c r="G1196">
        <f t="shared" ca="1" si="90"/>
        <v>0.79440238330901214</v>
      </c>
      <c r="H1196">
        <f t="shared" ca="1" si="94"/>
        <v>2.7733337941575753</v>
      </c>
    </row>
    <row r="1197" spans="1:8" x14ac:dyDescent="0.25">
      <c r="A1197" s="1">
        <v>41914</v>
      </c>
      <c r="B1197">
        <v>568.52167770000005</v>
      </c>
      <c r="C1197" s="6">
        <v>-3.1850153262934257E-3</v>
      </c>
      <c r="D1197" s="6">
        <f t="shared" ca="1" si="92"/>
        <v>-4.2910620807861764E-3</v>
      </c>
      <c r="E1197" s="6">
        <f t="shared" ca="1" si="93"/>
        <v>-1.1060467544927507E-3</v>
      </c>
      <c r="F1197">
        <f t="shared" ca="1" si="91"/>
        <v>1.4461089885265819E-2</v>
      </c>
      <c r="G1197">
        <f t="shared" ca="1" si="90"/>
        <v>-0.24269269465757828</v>
      </c>
      <c r="H1197">
        <f t="shared" ca="1" si="94"/>
        <v>2.8182664799087171</v>
      </c>
    </row>
    <row r="1198" spans="1:8" x14ac:dyDescent="0.25">
      <c r="A1198" s="5">
        <v>41915</v>
      </c>
      <c r="B1198">
        <v>573.70749209999997</v>
      </c>
      <c r="C1198" s="6">
        <v>-9.1215772474666935E-3</v>
      </c>
      <c r="D1198" s="6">
        <f t="shared" ca="1" si="92"/>
        <v>-3.5693515639930824E-3</v>
      </c>
      <c r="E1198" s="6">
        <f t="shared" ca="1" si="93"/>
        <v>5.5522256834736111E-3</v>
      </c>
      <c r="F1198">
        <f t="shared" ca="1" si="91"/>
        <v>8.5471813378101055E-3</v>
      </c>
      <c r="G1198">
        <f t="shared" ca="1" si="90"/>
        <v>-1.2475298908059187</v>
      </c>
      <c r="H1198">
        <f t="shared" ca="1" si="94"/>
        <v>2.7898963810432154</v>
      </c>
    </row>
    <row r="1199" spans="1:8" x14ac:dyDescent="0.25">
      <c r="A1199" s="1">
        <v>41918</v>
      </c>
      <c r="B1199">
        <v>575.77183239999999</v>
      </c>
      <c r="C1199" s="6">
        <v>-3.5982453226185195E-3</v>
      </c>
      <c r="D1199" s="6">
        <f t="shared" ca="1" si="92"/>
        <v>5.1651361475807175E-3</v>
      </c>
      <c r="E1199" s="6">
        <f t="shared" ca="1" si="93"/>
        <v>8.7633814701992378E-3</v>
      </c>
      <c r="F1199">
        <f t="shared" ca="1" si="91"/>
        <v>2.095986439295764E-2</v>
      </c>
      <c r="G1199">
        <f t="shared" ca="1" si="90"/>
        <v>0.31490269249232056</v>
      </c>
      <c r="H1199">
        <f t="shared" ca="1" si="94"/>
        <v>2.7482461137073368</v>
      </c>
    </row>
    <row r="1200" spans="1:8" x14ac:dyDescent="0.25">
      <c r="A1200" s="5">
        <v>41919</v>
      </c>
      <c r="B1200">
        <v>562.19901660000005</v>
      </c>
      <c r="C1200" s="6">
        <v>2.3573254258417147E-2</v>
      </c>
      <c r="D1200" s="6">
        <f t="shared" ca="1" si="92"/>
        <v>-1.3472413142298214E-2</v>
      </c>
      <c r="E1200" s="6">
        <f t="shared" ca="1" si="93"/>
        <v>-3.7045667400715361E-2</v>
      </c>
      <c r="F1200">
        <f t="shared" ca="1" si="91"/>
        <v>9.8862173472006494E-3</v>
      </c>
      <c r="G1200">
        <f t="shared" ca="1" si="90"/>
        <v>-0.94703196608748474</v>
      </c>
      <c r="H1200">
        <f t="shared" ca="1" si="94"/>
        <v>1.6203603405643869</v>
      </c>
    </row>
    <row r="1201" spans="1:8" x14ac:dyDescent="0.25">
      <c r="A1201" s="1">
        <v>41920</v>
      </c>
      <c r="B1201">
        <v>570.93507969999996</v>
      </c>
      <c r="C1201" s="6">
        <v>-1.5539093527471513E-2</v>
      </c>
      <c r="D1201" s="6">
        <f t="shared" ca="1" si="92"/>
        <v>1.4226338466100382E-2</v>
      </c>
      <c r="E1201" s="6">
        <f t="shared" ca="1" si="93"/>
        <v>2.9765431993571893E-2</v>
      </c>
      <c r="F1201">
        <f t="shared" ca="1" si="91"/>
        <v>1.6606641483225226E-2</v>
      </c>
      <c r="G1201">
        <f t="shared" ca="1" si="90"/>
        <v>0.95426657420127559</v>
      </c>
      <c r="H1201">
        <f t="shared" ca="1" si="94"/>
        <v>2.0270723480581672</v>
      </c>
    </row>
    <row r="1202" spans="1:8" x14ac:dyDescent="0.25">
      <c r="A1202" s="5">
        <v>41921</v>
      </c>
      <c r="B1202">
        <v>559.34683129999996</v>
      </c>
      <c r="C1202" s="6">
        <v>2.0296963371192901E-2</v>
      </c>
      <c r="D1202" s="6">
        <f t="shared" ca="1" si="92"/>
        <v>1.9053456200363184E-3</v>
      </c>
      <c r="E1202" s="6">
        <f t="shared" ca="1" si="93"/>
        <v>-1.839161775115658E-2</v>
      </c>
      <c r="F1202">
        <f t="shared" ca="1" si="91"/>
        <v>1.7044608081181561E-2</v>
      </c>
      <c r="G1202">
        <f t="shared" ca="1" si="90"/>
        <v>-0.51133415294918794</v>
      </c>
      <c r="H1202">
        <f t="shared" ca="1" si="94"/>
        <v>2.5266731458601113</v>
      </c>
    </row>
    <row r="1203" spans="1:8" x14ac:dyDescent="0.25">
      <c r="A1203" s="1">
        <v>41922</v>
      </c>
      <c r="B1203">
        <v>543.00166490000004</v>
      </c>
      <c r="C1203" s="6">
        <v>2.9221880746175825E-2</v>
      </c>
      <c r="D1203" s="6">
        <f t="shared" ca="1" si="92"/>
        <v>-8.5807948649057747E-3</v>
      </c>
      <c r="E1203" s="6">
        <f t="shared" ca="1" si="93"/>
        <v>-3.7802675611081596E-2</v>
      </c>
      <c r="F1203">
        <f t="shared" ca="1" si="91"/>
        <v>1.1354774743001606E-2</v>
      </c>
      <c r="G1203">
        <f t="shared" ca="1" si="90"/>
        <v>-0.13913833416558535</v>
      </c>
      <c r="H1203">
        <f t="shared" ca="1" si="94"/>
        <v>1.5706133518567544</v>
      </c>
    </row>
    <row r="1204" spans="1:8" x14ac:dyDescent="0.25">
      <c r="A1204" s="5">
        <v>41925</v>
      </c>
      <c r="B1204">
        <v>531.75246760000005</v>
      </c>
      <c r="C1204" s="6">
        <v>2.0716690255584501E-2</v>
      </c>
      <c r="D1204" s="6">
        <f t="shared" ca="1" si="92"/>
        <v>6.8081833437553807E-3</v>
      </c>
      <c r="E1204" s="6">
        <f t="shared" ca="1" si="93"/>
        <v>-1.390850691182912E-2</v>
      </c>
      <c r="F1204">
        <f t="shared" ca="1" si="91"/>
        <v>7.6202360960422226E-3</v>
      </c>
      <c r="G1204">
        <f t="shared" ca="1" si="90"/>
        <v>-0.30671456093199134</v>
      </c>
      <c r="H1204">
        <f t="shared" ca="1" si="94"/>
        <v>2.6529495575574282</v>
      </c>
    </row>
    <row r="1205" spans="1:8" x14ac:dyDescent="0.25">
      <c r="A1205" s="1">
        <v>41926</v>
      </c>
      <c r="B1205">
        <v>536.4695309</v>
      </c>
      <c r="C1205" s="6">
        <v>-8.8707877958514036E-3</v>
      </c>
      <c r="D1205" s="6">
        <f t="shared" ca="1" si="92"/>
        <v>7.7032401350367145E-3</v>
      </c>
      <c r="E1205" s="6">
        <f t="shared" ca="1" si="93"/>
        <v>1.6574027930888118E-2</v>
      </c>
      <c r="F1205">
        <f t="shared" ca="1" si="91"/>
        <v>8.5016480890581971E-3</v>
      </c>
      <c r="G1205">
        <f t="shared" ca="1" si="90"/>
        <v>-0.64260754382038721</v>
      </c>
      <c r="H1205">
        <f t="shared" ca="1" si="94"/>
        <v>2.5709674515662022</v>
      </c>
    </row>
    <row r="1206" spans="1:8" x14ac:dyDescent="0.25">
      <c r="A1206" s="5">
        <v>41927</v>
      </c>
      <c r="B1206">
        <v>528.58118930000001</v>
      </c>
      <c r="C1206" s="6">
        <v>1.4704174506921637E-2</v>
      </c>
      <c r="D1206" s="6">
        <f t="shared" ca="1" si="92"/>
        <v>5.7266166779706314E-3</v>
      </c>
      <c r="E1206" s="6">
        <f t="shared" ca="1" si="93"/>
        <v>-8.9775578289510057E-3</v>
      </c>
      <c r="F1206">
        <f t="shared" ca="1" si="91"/>
        <v>1.2369767689454615E-2</v>
      </c>
      <c r="G1206">
        <f t="shared" ca="1" si="90"/>
        <v>-0.29162106221771028</v>
      </c>
      <c r="H1206">
        <f t="shared" ca="1" si="94"/>
        <v>2.7508751700225433</v>
      </c>
    </row>
    <row r="1207" spans="1:8" x14ac:dyDescent="0.25">
      <c r="A1207" s="1">
        <v>41928</v>
      </c>
      <c r="B1207">
        <v>523.07628109999996</v>
      </c>
      <c r="C1207" s="6">
        <v>1.0414498872519839E-2</v>
      </c>
      <c r="D1207" s="6">
        <f t="shared" ca="1" si="92"/>
        <v>-6.5848010997864624E-3</v>
      </c>
      <c r="E1207" s="6">
        <f t="shared" ca="1" si="93"/>
        <v>-1.69992999723063E-2</v>
      </c>
      <c r="F1207">
        <f t="shared" ca="1" si="91"/>
        <v>8.7200856898924234E-3</v>
      </c>
      <c r="G1207">
        <f t="shared" ca="1" si="90"/>
        <v>-0.2968146835455826</v>
      </c>
      <c r="H1207">
        <f t="shared" ca="1" si="94"/>
        <v>2.5696884071693242</v>
      </c>
    </row>
    <row r="1208" spans="1:8" x14ac:dyDescent="0.25">
      <c r="A1208" s="5">
        <v>41929</v>
      </c>
      <c r="B1208">
        <v>509.77272399999998</v>
      </c>
      <c r="C1208" s="6">
        <v>2.5433302140986675E-2</v>
      </c>
      <c r="D1208" s="6">
        <f t="shared" ca="1" si="92"/>
        <v>1.6654364911371206E-2</v>
      </c>
      <c r="E1208" s="6">
        <f t="shared" ca="1" si="93"/>
        <v>-8.7789372296154695E-3</v>
      </c>
      <c r="F1208">
        <f t="shared" ca="1" si="91"/>
        <v>8.4806980104620878E-3</v>
      </c>
      <c r="G1208">
        <f t="shared" ca="1" si="90"/>
        <v>1.1825824973094807</v>
      </c>
      <c r="H1208">
        <f t="shared" ca="1" si="94"/>
        <v>2.7539205445426869</v>
      </c>
    </row>
    <row r="1209" spans="1:8" x14ac:dyDescent="0.25">
      <c r="A1209" s="1">
        <v>41932</v>
      </c>
      <c r="B1209">
        <v>519.41629160000002</v>
      </c>
      <c r="C1209" s="6">
        <v>-1.8917386407673001E-2</v>
      </c>
      <c r="D1209" s="6">
        <f t="shared" ca="1" si="92"/>
        <v>-4.8686921041456513E-4</v>
      </c>
      <c r="E1209" s="6">
        <f t="shared" ca="1" si="93"/>
        <v>1.8430517197258436E-2</v>
      </c>
      <c r="F1209">
        <f t="shared" ca="1" si="91"/>
        <v>1.9993256061259682E-2</v>
      </c>
      <c r="G1209">
        <f t="shared" ca="1" si="90"/>
        <v>-0.2590680802256598</v>
      </c>
      <c r="H1209">
        <f t="shared" ca="1" si="94"/>
        <v>2.5129927355351915</v>
      </c>
    </row>
    <row r="1210" spans="1:8" x14ac:dyDescent="0.25">
      <c r="A1210" s="5">
        <v>41933</v>
      </c>
      <c r="B1210">
        <v>525.10070499999995</v>
      </c>
      <c r="C1210" s="6">
        <v>-1.0943848877919804E-2</v>
      </c>
      <c r="D1210" s="6">
        <f t="shared" ca="1" si="92"/>
        <v>1.6167473537810159E-2</v>
      </c>
      <c r="E1210" s="6">
        <f t="shared" ca="1" si="93"/>
        <v>2.7111322415729965E-2</v>
      </c>
      <c r="F1210">
        <f t="shared" ca="1" si="91"/>
        <v>9.3382441980900035E-3</v>
      </c>
      <c r="G1210">
        <f t="shared" ca="1" si="90"/>
        <v>0.50423141797961812</v>
      </c>
      <c r="H1210">
        <f t="shared" ca="1" si="94"/>
        <v>2.1611845497158488</v>
      </c>
    </row>
    <row r="1211" spans="1:8" x14ac:dyDescent="0.25">
      <c r="A1211" s="1">
        <v>41934</v>
      </c>
      <c r="B1211">
        <v>531.25386949999995</v>
      </c>
      <c r="C1211" s="6">
        <v>-1.1718065585152858E-2</v>
      </c>
      <c r="D1211" s="6">
        <f t="shared" ca="1" si="92"/>
        <v>-1.2552731677677221E-2</v>
      </c>
      <c r="E1211" s="6">
        <f t="shared" ca="1" si="93"/>
        <v>-8.346660925243627E-4</v>
      </c>
      <c r="F1211">
        <f t="shared" ca="1" si="91"/>
        <v>1.0687721337318495E-2</v>
      </c>
      <c r="G1211">
        <f t="shared" ca="1" si="90"/>
        <v>-0.37699254386442327</v>
      </c>
      <c r="H1211">
        <f t="shared" ca="1" si="94"/>
        <v>2.8186397501963718</v>
      </c>
    </row>
    <row r="1212" spans="1:8" x14ac:dyDescent="0.25">
      <c r="A1212" s="5">
        <v>41935</v>
      </c>
      <c r="B1212">
        <v>542.49305630000003</v>
      </c>
      <c r="C1212" s="6">
        <v>-2.1155962234360882E-2</v>
      </c>
      <c r="D1212" s="6">
        <f t="shared" ca="1" si="92"/>
        <v>-3.5928491372658397E-3</v>
      </c>
      <c r="E1212" s="6">
        <f t="shared" ca="1" si="93"/>
        <v>1.7563113097095042E-2</v>
      </c>
      <c r="F1212">
        <f t="shared" ca="1" si="91"/>
        <v>9.3739074767962144E-3</v>
      </c>
      <c r="G1212">
        <f t="shared" ca="1" si="90"/>
        <v>0.14275493599025865</v>
      </c>
      <c r="H1212">
        <f t="shared" ca="1" si="94"/>
        <v>2.5408372717078391</v>
      </c>
    </row>
    <row r="1213" spans="1:8" x14ac:dyDescent="0.25">
      <c r="A1213" s="1">
        <v>41936</v>
      </c>
      <c r="B1213">
        <v>538.30449999999996</v>
      </c>
      <c r="C1213" s="6">
        <v>7.7209399297523736E-3</v>
      </c>
      <c r="D1213" s="6">
        <f t="shared" ca="1" si="92"/>
        <v>-8.0226418173316057E-3</v>
      </c>
      <c r="E1213" s="6">
        <f t="shared" ca="1" si="93"/>
        <v>-1.5743581747083978E-2</v>
      </c>
      <c r="F1213">
        <f t="shared" ca="1" si="91"/>
        <v>7.4644819545105741E-3</v>
      </c>
      <c r="G1213">
        <f t="shared" ca="1" si="90"/>
        <v>-0.36742486952657022</v>
      </c>
      <c r="H1213">
        <f t="shared" ca="1" si="94"/>
        <v>2.6055490402219634</v>
      </c>
    </row>
    <row r="1214" spans="1:8" x14ac:dyDescent="0.25">
      <c r="A1214" s="5">
        <v>41939</v>
      </c>
      <c r="B1214">
        <v>539.29180929999995</v>
      </c>
      <c r="C1214" s="6">
        <v>-1.8341093191678551E-3</v>
      </c>
      <c r="D1214" s="6">
        <f t="shared" ca="1" si="92"/>
        <v>-7.134862405031946E-3</v>
      </c>
      <c r="E1214" s="6">
        <f t="shared" ca="1" si="93"/>
        <v>-5.3007530858640911E-3</v>
      </c>
      <c r="F1214">
        <f t="shared" ca="1" si="91"/>
        <v>9.0760903800215318E-3</v>
      </c>
      <c r="G1214">
        <f t="shared" ca="1" si="90"/>
        <v>0.26409775753111159</v>
      </c>
      <c r="H1214">
        <f t="shared" ca="1" si="94"/>
        <v>2.7959644897032963</v>
      </c>
    </row>
    <row r="1215" spans="1:8" x14ac:dyDescent="0.25">
      <c r="A1215" s="1">
        <v>41940</v>
      </c>
      <c r="B1215">
        <v>547.39957249999998</v>
      </c>
      <c r="C1215" s="6">
        <v>-1.5034092971899365E-2</v>
      </c>
      <c r="D1215" s="6">
        <f t="shared" ca="1" si="92"/>
        <v>-2.103422950592466E-3</v>
      </c>
      <c r="E1215" s="6">
        <f t="shared" ca="1" si="93"/>
        <v>1.2930670021306899E-2</v>
      </c>
      <c r="F1215">
        <f t="shared" ca="1" si="91"/>
        <v>8.2298083390838928E-3</v>
      </c>
      <c r="G1215">
        <f t="shared" ca="1" si="90"/>
        <v>-0.67828013910763363</v>
      </c>
      <c r="H1215">
        <f t="shared" ca="1" si="94"/>
        <v>2.6670596269038338</v>
      </c>
    </row>
    <row r="1216" spans="1:8" x14ac:dyDescent="0.25">
      <c r="A1216" s="5">
        <v>41941</v>
      </c>
      <c r="B1216">
        <v>547.82840710000005</v>
      </c>
      <c r="C1216" s="6">
        <v>-7.8340324242776591E-4</v>
      </c>
      <c r="D1216" s="6">
        <f t="shared" ca="1" si="92"/>
        <v>9.7716413271829467E-3</v>
      </c>
      <c r="E1216" s="6">
        <f t="shared" ca="1" si="93"/>
        <v>1.0555044569610712E-2</v>
      </c>
      <c r="F1216">
        <f t="shared" ca="1" si="91"/>
        <v>1.2826509718870768E-2</v>
      </c>
      <c r="G1216">
        <f t="shared" ca="1" si="90"/>
        <v>0.82627783317506454</v>
      </c>
      <c r="H1216">
        <f t="shared" ca="1" si="94"/>
        <v>2.7170973376635552</v>
      </c>
    </row>
    <row r="1217" spans="1:8" x14ac:dyDescent="0.25">
      <c r="A1217" s="1">
        <v>41942</v>
      </c>
      <c r="B1217">
        <v>548.80576780000001</v>
      </c>
      <c r="C1217" s="6">
        <v>-1.7840635632126985E-3</v>
      </c>
      <c r="D1217" s="6">
        <f t="shared" ca="1" si="92"/>
        <v>-3.7209868075811191E-2</v>
      </c>
      <c r="E1217" s="6">
        <f t="shared" ca="1" si="93"/>
        <v>-3.542580451259849E-2</v>
      </c>
      <c r="F1217">
        <f t="shared" ca="1" si="91"/>
        <v>1.5046818493487601E-2</v>
      </c>
      <c r="G1217">
        <f t="shared" ca="1" si="90"/>
        <v>-2.0227625175652841</v>
      </c>
      <c r="H1217">
        <f t="shared" ca="1" si="94"/>
        <v>1.7234123016867129</v>
      </c>
    </row>
    <row r="1218" spans="1:8" x14ac:dyDescent="0.25">
      <c r="A1218" s="5">
        <v>41943</v>
      </c>
      <c r="B1218">
        <v>557.55177960000003</v>
      </c>
      <c r="C1218" s="6">
        <v>-1.5936442933280736E-2</v>
      </c>
      <c r="D1218" s="6">
        <f t="shared" ca="1" si="92"/>
        <v>-3.8314549382509201E-2</v>
      </c>
      <c r="E1218" s="6">
        <f t="shared" ca="1" si="93"/>
        <v>-2.2378106449228465E-2</v>
      </c>
      <c r="F1218">
        <f t="shared" ca="1" si="91"/>
        <v>3.2920511701988155E-2</v>
      </c>
      <c r="G1218">
        <f t="shared" ca="1" si="90"/>
        <v>-1.1531276446094323</v>
      </c>
      <c r="H1218">
        <f t="shared" ca="1" si="94"/>
        <v>2.3845890071799065</v>
      </c>
    </row>
    <row r="1219" spans="1:8" x14ac:dyDescent="0.25">
      <c r="A1219" s="1">
        <v>41946</v>
      </c>
      <c r="B1219">
        <v>553.70233519999999</v>
      </c>
      <c r="C1219" s="6">
        <v>6.9041917555383199E-3</v>
      </c>
      <c r="D1219" s="6">
        <f t="shared" ca="1" si="92"/>
        <v>1.1046593112670018E-2</v>
      </c>
      <c r="E1219" s="6">
        <f t="shared" ca="1" si="93"/>
        <v>4.1424013571316979E-3</v>
      </c>
      <c r="F1219">
        <f t="shared" ca="1" si="91"/>
        <v>2.1135124748603681E-2</v>
      </c>
      <c r="G1219">
        <f t="shared" ref="G1219:G1282" ca="1" si="95">_xlfn.NORM.INV(RAND(),0,1)</f>
        <v>0.56071014712382405</v>
      </c>
      <c r="H1219">
        <f t="shared" ca="1" si="94"/>
        <v>2.8024333152502758</v>
      </c>
    </row>
    <row r="1220" spans="1:8" x14ac:dyDescent="0.25">
      <c r="A1220" s="5">
        <v>41947</v>
      </c>
      <c r="B1220">
        <v>552.59533550000003</v>
      </c>
      <c r="C1220" s="6">
        <v>1.9992686135233773E-3</v>
      </c>
      <c r="D1220" s="6">
        <f t="shared" ca="1" si="92"/>
        <v>-1.7035833776855601E-2</v>
      </c>
      <c r="E1220" s="6">
        <f t="shared" ca="1" si="93"/>
        <v>-1.9035102390378977E-2</v>
      </c>
      <c r="F1220">
        <f t="shared" ref="F1220:F1283" ca="1" si="96">SQRT($K$6+$K$7*POWER($G1219,2)+$K$8*POWER($F1219,2))</f>
        <v>1.2332490326222969E-2</v>
      </c>
      <c r="G1220">
        <f t="shared" ca="1" si="95"/>
        <v>-0.7991632701348268</v>
      </c>
      <c r="H1220">
        <f t="shared" ca="1" si="94"/>
        <v>2.5056368106075886</v>
      </c>
    </row>
    <row r="1221" spans="1:8" x14ac:dyDescent="0.25">
      <c r="A1221" s="1">
        <v>41948</v>
      </c>
      <c r="B1221">
        <v>544.42775759999995</v>
      </c>
      <c r="C1221" s="6">
        <v>1.4780396024533729E-2</v>
      </c>
      <c r="D1221" s="6">
        <f t="shared" ref="D1221:D1284" ca="1" si="97">($K$10*$C1220)+($K$11*$C1219)+($F1221*$G1221)</f>
        <v>1.1988400433091021E-2</v>
      </c>
      <c r="E1221" s="6">
        <f t="shared" ca="1" si="93"/>
        <v>-2.7919955914427075E-3</v>
      </c>
      <c r="F1221">
        <f t="shared" ca="1" si="96"/>
        <v>1.4648694490437439E-2</v>
      </c>
      <c r="G1221">
        <f t="shared" ca="1" si="95"/>
        <v>0.60603598360799737</v>
      </c>
      <c r="H1221">
        <f t="shared" ca="1" si="94"/>
        <v>2.8130353839361075</v>
      </c>
    </row>
    <row r="1222" spans="1:8" x14ac:dyDescent="0.25">
      <c r="A1222" s="5">
        <v>41949</v>
      </c>
      <c r="B1222">
        <v>540.55835500000001</v>
      </c>
      <c r="C1222" s="6">
        <v>7.1072838333178043E-3</v>
      </c>
      <c r="D1222" s="6">
        <f t="shared" ca="1" si="97"/>
        <v>-4.1632958038888782E-3</v>
      </c>
      <c r="E1222" s="6">
        <f t="shared" ref="E1222:E1285" ca="1" si="98">$D1222-$C1222</f>
        <v>-1.1270579637206683E-2</v>
      </c>
      <c r="F1222">
        <f t="shared" ca="1" si="96"/>
        <v>1.2272163638636126E-2</v>
      </c>
      <c r="G1222">
        <f t="shared" ca="1" si="95"/>
        <v>-0.41266762328785472</v>
      </c>
      <c r="H1222">
        <f t="shared" ref="H1222:H1285" ca="1" si="99">LN(_xlfn.NORM.DIST($E1222,AVERAGE($E$5:$E$1763),_xlfn.STDEV.S($E$5:$E$1763),FALSE))</f>
        <v>2.7106751591520832</v>
      </c>
    </row>
    <row r="1223" spans="1:8" x14ac:dyDescent="0.25">
      <c r="A1223" s="1">
        <v>41950</v>
      </c>
      <c r="B1223">
        <v>539.5311901</v>
      </c>
      <c r="C1223" s="6">
        <v>1.9001924408327802E-3</v>
      </c>
      <c r="D1223" s="6">
        <f t="shared" ca="1" si="97"/>
        <v>9.7116089640056236E-3</v>
      </c>
      <c r="E1223" s="6">
        <f t="shared" ca="1" si="98"/>
        <v>7.8114165231728434E-3</v>
      </c>
      <c r="F1223">
        <f t="shared" ca="1" si="96"/>
        <v>9.8605649368229444E-3</v>
      </c>
      <c r="G1223">
        <f t="shared" ca="1" si="95"/>
        <v>0.30952401580378081</v>
      </c>
      <c r="H1223">
        <f t="shared" ca="1" si="99"/>
        <v>2.7624914985245312</v>
      </c>
    </row>
    <row r="1224" spans="1:8" x14ac:dyDescent="0.25">
      <c r="A1224" s="5">
        <v>41953</v>
      </c>
      <c r="B1224">
        <v>545.99343799999997</v>
      </c>
      <c r="C1224" s="6">
        <v>-1.1977524225804653E-2</v>
      </c>
      <c r="D1224" s="6">
        <f t="shared" ca="1" si="97"/>
        <v>6.3529461880954836E-3</v>
      </c>
      <c r="E1224" s="6">
        <f t="shared" ca="1" si="98"/>
        <v>1.8330470413900138E-2</v>
      </c>
      <c r="F1224">
        <f t="shared" ca="1" si="96"/>
        <v>8.6715514793836036E-3</v>
      </c>
      <c r="G1224">
        <f t="shared" ca="1" si="95"/>
        <v>0.3633350772216839</v>
      </c>
      <c r="H1224">
        <f t="shared" ca="1" si="99"/>
        <v>2.5162720867254271</v>
      </c>
    </row>
    <row r="1225" spans="1:8" x14ac:dyDescent="0.25">
      <c r="A1225" s="1">
        <v>41954</v>
      </c>
      <c r="B1225">
        <v>548.78580959999999</v>
      </c>
      <c r="C1225" s="6">
        <v>-5.1142951648441319E-3</v>
      </c>
      <c r="D1225" s="6">
        <f t="shared" ca="1" si="97"/>
        <v>4.8827757666275434E-3</v>
      </c>
      <c r="E1225" s="6">
        <f t="shared" ca="1" si="98"/>
        <v>9.9970709314716744E-3</v>
      </c>
      <c r="F1225">
        <f t="shared" ca="1" si="96"/>
        <v>9.1028980889249298E-3</v>
      </c>
      <c r="G1225">
        <f t="shared" ca="1" si="95"/>
        <v>0.44236780315304791</v>
      </c>
      <c r="H1225">
        <f t="shared" ca="1" si="99"/>
        <v>2.7274054034927779</v>
      </c>
    </row>
    <row r="1226" spans="1:8" x14ac:dyDescent="0.25">
      <c r="A1226" s="5">
        <v>41955</v>
      </c>
      <c r="B1226">
        <v>545.81393279999998</v>
      </c>
      <c r="C1226" s="6">
        <v>5.4153674311771382E-3</v>
      </c>
      <c r="D1226" s="6">
        <f t="shared" ca="1" si="97"/>
        <v>-7.4041836795105415E-3</v>
      </c>
      <c r="E1226" s="6">
        <f t="shared" ca="1" si="98"/>
        <v>-1.281955111068768E-2</v>
      </c>
      <c r="F1226">
        <f t="shared" ca="1" si="96"/>
        <v>9.9644926769230212E-3</v>
      </c>
      <c r="G1226">
        <f t="shared" ca="1" si="95"/>
        <v>-0.20146962776911309</v>
      </c>
      <c r="H1226">
        <f t="shared" ca="1" si="99"/>
        <v>2.6782676506960552</v>
      </c>
    </row>
    <row r="1227" spans="1:8" x14ac:dyDescent="0.25">
      <c r="A1227" s="1">
        <v>41956</v>
      </c>
      <c r="B1227">
        <v>543.88924210000005</v>
      </c>
      <c r="C1227" s="6">
        <v>3.5262762350648596E-3</v>
      </c>
      <c r="D1227" s="6">
        <f t="shared" ca="1" si="97"/>
        <v>-9.4465595610942373E-3</v>
      </c>
      <c r="E1227" s="6">
        <f t="shared" ca="1" si="98"/>
        <v>-1.2972835796159097E-2</v>
      </c>
      <c r="F1227">
        <f t="shared" ca="1" si="96"/>
        <v>7.8423838203475309E-3</v>
      </c>
      <c r="G1227">
        <f t="shared" ca="1" si="95"/>
        <v>-0.91073941434055483</v>
      </c>
      <c r="H1227">
        <f t="shared" ca="1" si="99"/>
        <v>2.6748303693633524</v>
      </c>
    </row>
    <row r="1228" spans="1:8" x14ac:dyDescent="0.25">
      <c r="A1228" s="5">
        <v>41957</v>
      </c>
      <c r="B1228">
        <v>542.91188139999997</v>
      </c>
      <c r="C1228" s="6">
        <v>1.7969847982769588E-3</v>
      </c>
      <c r="D1228" s="6">
        <f t="shared" ca="1" si="97"/>
        <v>-1.9976628894913468E-4</v>
      </c>
      <c r="E1228" s="6">
        <f t="shared" ca="1" si="98"/>
        <v>-1.9967510872260933E-3</v>
      </c>
      <c r="F1228">
        <f t="shared" ca="1" si="96"/>
        <v>1.601880267118299E-2</v>
      </c>
      <c r="G1228">
        <f t="shared" ca="1" si="95"/>
        <v>-0.1647910867602127</v>
      </c>
      <c r="H1228">
        <f t="shared" ca="1" si="99"/>
        <v>2.8161279252053109</v>
      </c>
    </row>
    <row r="1229" spans="1:8" x14ac:dyDescent="0.25">
      <c r="A1229" s="1">
        <v>41960</v>
      </c>
      <c r="B1229">
        <v>535.04343719999997</v>
      </c>
      <c r="C1229" s="6">
        <v>1.4493041080091565E-2</v>
      </c>
      <c r="D1229" s="6">
        <f t="shared" ca="1" si="97"/>
        <v>4.0316771458878834E-3</v>
      </c>
      <c r="E1229" s="6">
        <f t="shared" ca="1" si="98"/>
        <v>-1.0461363934203681E-2</v>
      </c>
      <c r="F1229">
        <f t="shared" ca="1" si="96"/>
        <v>8.2534196218619817E-3</v>
      </c>
      <c r="G1229">
        <f t="shared" ca="1" si="95"/>
        <v>0.2959814677760102</v>
      </c>
      <c r="H1229">
        <f t="shared" ca="1" si="99"/>
        <v>2.725921503942847</v>
      </c>
    </row>
    <row r="1230" spans="1:8" x14ac:dyDescent="0.25">
      <c r="A1230" s="5">
        <v>41961</v>
      </c>
      <c r="B1230">
        <v>533.56753930000002</v>
      </c>
      <c r="C1230" s="6">
        <v>2.7584637010476167E-3</v>
      </c>
      <c r="D1230" s="6">
        <f t="shared" ca="1" si="97"/>
        <v>1.3104242692796178E-2</v>
      </c>
      <c r="E1230" s="6">
        <f t="shared" ca="1" si="98"/>
        <v>1.0345778991748562E-2</v>
      </c>
      <c r="F1230">
        <f t="shared" ca="1" si="96"/>
        <v>8.4437020007478471E-3</v>
      </c>
      <c r="G1230">
        <f t="shared" ca="1" si="95"/>
        <v>1.456038953133509</v>
      </c>
      <c r="H1230">
        <f t="shared" ca="1" si="99"/>
        <v>2.7210277299027905</v>
      </c>
    </row>
    <row r="1231" spans="1:8" x14ac:dyDescent="0.25">
      <c r="A1231" s="1">
        <v>41962</v>
      </c>
      <c r="B1231">
        <v>535.52213900000004</v>
      </c>
      <c r="C1231" s="6">
        <v>-3.6632657649382176E-3</v>
      </c>
      <c r="D1231" s="6">
        <f t="shared" ca="1" si="97"/>
        <v>1.8454616894200082E-2</v>
      </c>
      <c r="E1231" s="6">
        <f t="shared" ca="1" si="98"/>
        <v>2.2117882659138298E-2</v>
      </c>
      <c r="F1231">
        <f t="shared" ca="1" si="96"/>
        <v>2.4090156548870974E-2</v>
      </c>
      <c r="G1231">
        <f t="shared" ca="1" si="95"/>
        <v>0.49500015730454072</v>
      </c>
      <c r="H1231">
        <f t="shared" ca="1" si="99"/>
        <v>2.3798032241802121</v>
      </c>
    </row>
    <row r="1232" spans="1:8" x14ac:dyDescent="0.25">
      <c r="A1232" s="5">
        <v>41963</v>
      </c>
      <c r="B1232">
        <v>533.36807590000001</v>
      </c>
      <c r="C1232" s="6">
        <v>4.0223605022611962E-3</v>
      </c>
      <c r="D1232" s="6">
        <f t="shared" ca="1" si="97"/>
        <v>3.9276733984054256E-2</v>
      </c>
      <c r="E1232" s="6">
        <f t="shared" ca="1" si="98"/>
        <v>3.5254373481793062E-2</v>
      </c>
      <c r="F1232">
        <f t="shared" ca="1" si="96"/>
        <v>1.1966645358456049E-2</v>
      </c>
      <c r="G1232">
        <f t="shared" ca="1" si="95"/>
        <v>3.1783301437908533</v>
      </c>
      <c r="H1232">
        <f t="shared" ca="1" si="99"/>
        <v>1.7102718983745673</v>
      </c>
    </row>
    <row r="1233" spans="1:8" x14ac:dyDescent="0.25">
      <c r="A1233" s="1">
        <v>41964</v>
      </c>
      <c r="B1233">
        <v>536.03074660000004</v>
      </c>
      <c r="C1233" s="6">
        <v>-4.992182360196701E-3</v>
      </c>
      <c r="D1233" s="6">
        <f t="shared" ca="1" si="97"/>
        <v>-2.8022975759664025E-2</v>
      </c>
      <c r="E1233" s="6">
        <f t="shared" ca="1" si="98"/>
        <v>-2.3030793399467325E-2</v>
      </c>
      <c r="F1233">
        <f t="shared" ca="1" si="96"/>
        <v>5.0825041892409321E-2</v>
      </c>
      <c r="G1233">
        <f t="shared" ca="1" si="95"/>
        <v>-0.5188885549926695</v>
      </c>
      <c r="H1233">
        <f t="shared" ca="1" si="99"/>
        <v>2.3586542152240755</v>
      </c>
    </row>
    <row r="1234" spans="1:8" x14ac:dyDescent="0.25">
      <c r="A1234" s="5">
        <v>41967</v>
      </c>
      <c r="B1234">
        <v>537.79595219999999</v>
      </c>
      <c r="C1234" s="6">
        <v>-3.2931051272646244E-3</v>
      </c>
      <c r="D1234" s="6">
        <f t="shared" ca="1" si="97"/>
        <v>8.0453531887473527E-3</v>
      </c>
      <c r="E1234" s="6">
        <f t="shared" ca="1" si="98"/>
        <v>1.1338458316011976E-2</v>
      </c>
      <c r="F1234">
        <f t="shared" ca="1" si="96"/>
        <v>1.6622809094621924E-2</v>
      </c>
      <c r="G1234">
        <f t="shared" ca="1" si="95"/>
        <v>0.37497473265924552</v>
      </c>
      <c r="H1234">
        <f t="shared" ca="1" si="99"/>
        <v>2.7016970985357327</v>
      </c>
    </row>
    <row r="1235" spans="1:8" x14ac:dyDescent="0.25">
      <c r="A1235" s="1">
        <v>41968</v>
      </c>
      <c r="B1235">
        <v>539.60095360000003</v>
      </c>
      <c r="C1235" s="6">
        <v>-3.3562941346363621E-3</v>
      </c>
      <c r="D1235" s="6">
        <f t="shared" ca="1" si="97"/>
        <v>-1.5018491480357139E-3</v>
      </c>
      <c r="E1235" s="6">
        <f t="shared" ca="1" si="98"/>
        <v>1.8544449866006482E-3</v>
      </c>
      <c r="F1235">
        <f t="shared" ca="1" si="96"/>
        <v>9.8880074891799334E-3</v>
      </c>
      <c r="G1235">
        <f t="shared" ca="1" si="95"/>
        <v>7.5593353315121778E-2</v>
      </c>
      <c r="H1235">
        <f t="shared" ca="1" si="99"/>
        <v>2.8153129511201813</v>
      </c>
    </row>
    <row r="1236" spans="1:8" x14ac:dyDescent="0.25">
      <c r="A1236" s="5">
        <v>41969</v>
      </c>
      <c r="B1236">
        <v>538.89294240000004</v>
      </c>
      <c r="C1236" s="6">
        <v>1.3121014617865701E-3</v>
      </c>
      <c r="D1236" s="6">
        <f t="shared" ca="1" si="97"/>
        <v>3.7442885072552761E-3</v>
      </c>
      <c r="E1236" s="6">
        <f t="shared" ca="1" si="98"/>
        <v>2.4321870454687058E-3</v>
      </c>
      <c r="F1236">
        <f t="shared" ca="1" si="96"/>
        <v>7.2577733358304662E-3</v>
      </c>
      <c r="G1236">
        <f t="shared" ca="1" si="95"/>
        <v>0.72034150053276602</v>
      </c>
      <c r="H1236">
        <f t="shared" ca="1" si="99"/>
        <v>2.812932606296815</v>
      </c>
    </row>
    <row r="1237" spans="1:8" x14ac:dyDescent="0.25">
      <c r="A1237" s="1">
        <v>41971</v>
      </c>
      <c r="B1237">
        <v>540.34894299999996</v>
      </c>
      <c r="C1237" s="6">
        <v>-2.7018364603468683E-3</v>
      </c>
      <c r="D1237" s="6">
        <f t="shared" ca="1" si="97"/>
        <v>1.7428044421863301E-2</v>
      </c>
      <c r="E1237" s="6">
        <f t="shared" ca="1" si="98"/>
        <v>2.0129880882210169E-2</v>
      </c>
      <c r="F1237">
        <f t="shared" ca="1" si="96"/>
        <v>1.3352616695281575E-2</v>
      </c>
      <c r="G1237">
        <f t="shared" ca="1" si="95"/>
        <v>1.4184653619894747</v>
      </c>
      <c r="H1237">
        <f t="shared" ca="1" si="99"/>
        <v>2.4545921858263915</v>
      </c>
    </row>
    <row r="1238" spans="1:8" x14ac:dyDescent="0.25">
      <c r="A1238" s="5">
        <v>41974</v>
      </c>
      <c r="B1238">
        <v>532.34084919999998</v>
      </c>
      <c r="C1238" s="6">
        <v>1.4820226640102789E-2</v>
      </c>
      <c r="D1238" s="6">
        <f t="shared" ca="1" si="97"/>
        <v>-1.4221549708157206E-2</v>
      </c>
      <c r="E1238" s="6">
        <f t="shared" ca="1" si="98"/>
        <v>-2.9041776348259996E-2</v>
      </c>
      <c r="F1238">
        <f t="shared" ca="1" si="96"/>
        <v>2.3666075022975894E-2</v>
      </c>
      <c r="G1238">
        <f t="shared" ca="1" si="95"/>
        <v>-0.62590359402298434</v>
      </c>
      <c r="H1238">
        <f t="shared" ca="1" si="99"/>
        <v>2.084457192815989</v>
      </c>
    </row>
    <row r="1239" spans="1:8" x14ac:dyDescent="0.25">
      <c r="A1239" s="1">
        <v>41975</v>
      </c>
      <c r="B1239">
        <v>532.29098409999995</v>
      </c>
      <c r="C1239" s="6">
        <v>9.3671376290154585E-5</v>
      </c>
      <c r="D1239" s="6">
        <f t="shared" ca="1" si="97"/>
        <v>-2.1818716015158498E-2</v>
      </c>
      <c r="E1239" s="6">
        <f t="shared" ca="1" si="98"/>
        <v>-2.1912387391448653E-2</v>
      </c>
      <c r="F1239">
        <f t="shared" ca="1" si="96"/>
        <v>1.3366034164349727E-2</v>
      </c>
      <c r="G1239">
        <f t="shared" ca="1" si="95"/>
        <v>-1.5413420154601774</v>
      </c>
      <c r="H1239">
        <f t="shared" ca="1" si="99"/>
        <v>2.402634897682185</v>
      </c>
    </row>
    <row r="1240" spans="1:8" x14ac:dyDescent="0.25">
      <c r="A1240" s="5">
        <v>41976</v>
      </c>
      <c r="B1240">
        <v>529.86763240000005</v>
      </c>
      <c r="C1240" s="6">
        <v>4.5526822215433771E-3</v>
      </c>
      <c r="D1240" s="6">
        <f t="shared" ca="1" si="97"/>
        <v>-4.0951244007731966E-2</v>
      </c>
      <c r="E1240" s="6">
        <f t="shared" ca="1" si="98"/>
        <v>-4.5503926229275342E-2</v>
      </c>
      <c r="F1240">
        <f t="shared" ca="1" si="96"/>
        <v>2.5517811951971309E-2</v>
      </c>
      <c r="G1240">
        <f t="shared" ca="1" si="95"/>
        <v>-1.8664845305223263</v>
      </c>
      <c r="H1240">
        <f t="shared" ca="1" si="99"/>
        <v>1.0070394246727044</v>
      </c>
    </row>
    <row r="1241" spans="1:8" x14ac:dyDescent="0.25">
      <c r="A1241" s="1">
        <v>41977</v>
      </c>
      <c r="B1241">
        <v>535.84129270000005</v>
      </c>
      <c r="C1241" s="6">
        <v>-1.127387282167569E-2</v>
      </c>
      <c r="D1241" s="6">
        <f t="shared" ca="1" si="97"/>
        <v>9.0972399536804818E-3</v>
      </c>
      <c r="E1241" s="6">
        <f t="shared" ca="1" si="98"/>
        <v>2.0371112775356172E-2</v>
      </c>
      <c r="F1241">
        <f t="shared" ca="1" si="96"/>
        <v>3.0960240798801678E-2</v>
      </c>
      <c r="G1241">
        <f t="shared" ca="1" si="95"/>
        <v>0.292470605095002</v>
      </c>
      <c r="H1241">
        <f t="shared" ca="1" si="99"/>
        <v>2.4458888594371242</v>
      </c>
    </row>
    <row r="1242" spans="1:8" x14ac:dyDescent="0.25">
      <c r="A1242" s="5">
        <v>41978</v>
      </c>
      <c r="B1242">
        <v>523.82420960000002</v>
      </c>
      <c r="C1242" s="6">
        <v>2.2426571568324442E-2</v>
      </c>
      <c r="D1242" s="6">
        <f t="shared" ca="1" si="97"/>
        <v>-3.5425393224574144E-3</v>
      </c>
      <c r="E1242" s="6">
        <f t="shared" ca="1" si="98"/>
        <v>-2.5969110890781858E-2</v>
      </c>
      <c r="F1242">
        <f t="shared" ca="1" si="96"/>
        <v>1.1281122502553805E-2</v>
      </c>
      <c r="G1242">
        <f t="shared" ca="1" si="95"/>
        <v>-0.49583676884170452</v>
      </c>
      <c r="H1242">
        <f t="shared" ca="1" si="99"/>
        <v>2.232587388871047</v>
      </c>
    </row>
    <row r="1243" spans="1:8" x14ac:dyDescent="0.25">
      <c r="A1243" s="1">
        <v>41981</v>
      </c>
      <c r="B1243">
        <v>525.53948830000002</v>
      </c>
      <c r="C1243" s="6">
        <v>-3.2745311663044578E-3</v>
      </c>
      <c r="D1243" s="6">
        <f t="shared" ca="1" si="97"/>
        <v>-1.9107672092248448E-2</v>
      </c>
      <c r="E1243" s="6">
        <f t="shared" ca="1" si="98"/>
        <v>-1.5833140925943991E-2</v>
      </c>
      <c r="F1243">
        <f t="shared" ca="1" si="96"/>
        <v>1.0708263101214114E-2</v>
      </c>
      <c r="G1243">
        <f t="shared" ca="1" si="95"/>
        <v>-1.3100650850515647</v>
      </c>
      <c r="H1243">
        <f t="shared" ca="1" si="99"/>
        <v>2.6030835880083583</v>
      </c>
    </row>
    <row r="1244" spans="1:8" x14ac:dyDescent="0.25">
      <c r="A1244" s="5">
        <v>41982</v>
      </c>
      <c r="B1244">
        <v>531.91207540000005</v>
      </c>
      <c r="C1244" s="6">
        <v>-1.2125800709312812E-2</v>
      </c>
      <c r="D1244" s="6">
        <f t="shared" ca="1" si="97"/>
        <v>-3.3774889067691976E-3</v>
      </c>
      <c r="E1244" s="6">
        <f t="shared" ca="1" si="98"/>
        <v>8.7483118025436148E-3</v>
      </c>
      <c r="F1244">
        <f t="shared" ca="1" si="96"/>
        <v>2.1954448132629211E-2</v>
      </c>
      <c r="G1244">
        <f t="shared" ca="1" si="95"/>
        <v>-0.61408429519165453</v>
      </c>
      <c r="H1244">
        <f t="shared" ca="1" si="99"/>
        <v>2.7484840786103173</v>
      </c>
    </row>
    <row r="1245" spans="1:8" x14ac:dyDescent="0.25">
      <c r="A1245" s="1">
        <v>41983</v>
      </c>
      <c r="B1245">
        <v>524.62200329999996</v>
      </c>
      <c r="C1245" s="6">
        <v>1.3705408162651552E-2</v>
      </c>
      <c r="D1245" s="6">
        <f t="shared" ca="1" si="97"/>
        <v>2.0520407115910359E-2</v>
      </c>
      <c r="E1245" s="6">
        <f t="shared" ca="1" si="98"/>
        <v>6.8149989532588062E-3</v>
      </c>
      <c r="F1245">
        <f t="shared" ca="1" si="96"/>
        <v>1.3039487429538197E-2</v>
      </c>
      <c r="G1245">
        <f t="shared" ca="1" si="95"/>
        <v>1.6868738509341796</v>
      </c>
      <c r="H1245">
        <f t="shared" ca="1" si="99"/>
        <v>2.7756888244094307</v>
      </c>
    </row>
    <row r="1246" spans="1:8" x14ac:dyDescent="0.25">
      <c r="A1246" s="5">
        <v>41984</v>
      </c>
      <c r="B1246">
        <v>526.89581750000002</v>
      </c>
      <c r="C1246" s="6">
        <v>-4.3341952600104774E-3</v>
      </c>
      <c r="D1246" s="6">
        <f t="shared" ca="1" si="97"/>
        <v>-1.3767068221937169E-3</v>
      </c>
      <c r="E1246" s="6">
        <f t="shared" ca="1" si="98"/>
        <v>2.9574884378167606E-3</v>
      </c>
      <c r="F1246">
        <f t="shared" ca="1" si="96"/>
        <v>2.7716994911385868E-2</v>
      </c>
      <c r="G1246">
        <f t="shared" ca="1" si="95"/>
        <v>0.14743409007415956</v>
      </c>
      <c r="H1246">
        <f t="shared" ca="1" si="99"/>
        <v>2.8102569834776743</v>
      </c>
    </row>
    <row r="1247" spans="1:8" x14ac:dyDescent="0.25">
      <c r="A1247" s="1">
        <v>41985</v>
      </c>
      <c r="B1247">
        <v>517.24227029999997</v>
      </c>
      <c r="C1247" s="6">
        <v>1.8321548358087029E-2</v>
      </c>
      <c r="D1247" s="6">
        <f t="shared" ca="1" si="97"/>
        <v>3.3713945830862978E-3</v>
      </c>
      <c r="E1247" s="6">
        <f t="shared" ca="1" si="98"/>
        <v>-1.4950153775000731E-2</v>
      </c>
      <c r="F1247">
        <f t="shared" ca="1" si="96"/>
        <v>9.9608286271442286E-3</v>
      </c>
      <c r="G1247">
        <f t="shared" ca="1" si="95"/>
        <v>-0.28146255209065651</v>
      </c>
      <c r="H1247">
        <f t="shared" ca="1" si="99"/>
        <v>2.6267728637658827</v>
      </c>
    </row>
    <row r="1248" spans="1:8" x14ac:dyDescent="0.25">
      <c r="A1248" s="5">
        <v>41988</v>
      </c>
      <c r="B1248">
        <v>512.39556900000002</v>
      </c>
      <c r="C1248" s="6">
        <v>9.3702730389549713E-3</v>
      </c>
      <c r="D1248" s="6">
        <f t="shared" ca="1" si="97"/>
        <v>-2.8212384355453198E-2</v>
      </c>
      <c r="E1248" s="6">
        <f t="shared" ca="1" si="98"/>
        <v>-3.7582657394408171E-2</v>
      </c>
      <c r="F1248">
        <f t="shared" ca="1" si="96"/>
        <v>8.4362289067702288E-3</v>
      </c>
      <c r="G1248">
        <f t="shared" ca="1" si="95"/>
        <v>-3.1127516840499472</v>
      </c>
      <c r="H1248">
        <f t="shared" ca="1" si="99"/>
        <v>1.5851761687313919</v>
      </c>
    </row>
    <row r="1249" spans="1:8" x14ac:dyDescent="0.25">
      <c r="A1249" s="1">
        <v>41989</v>
      </c>
      <c r="B1249">
        <v>494.0358665</v>
      </c>
      <c r="C1249" s="6">
        <v>3.5831110982928946E-2</v>
      </c>
      <c r="D1249" s="6">
        <f t="shared" ca="1" si="97"/>
        <v>8.3499695304099328E-2</v>
      </c>
      <c r="E1249" s="6">
        <f t="shared" ca="1" si="98"/>
        <v>4.7668584321170382E-2</v>
      </c>
      <c r="F1249">
        <f t="shared" ca="1" si="96"/>
        <v>4.9752669355657371E-2</v>
      </c>
      <c r="G1249">
        <f t="shared" ca="1" si="95"/>
        <v>1.5123739257110589</v>
      </c>
      <c r="H1249">
        <f t="shared" ca="1" si="99"/>
        <v>0.79763658130790027</v>
      </c>
    </row>
    <row r="1250" spans="1:8" x14ac:dyDescent="0.25">
      <c r="A1250" s="5">
        <v>41990</v>
      </c>
      <c r="B1250">
        <v>503.50990849999999</v>
      </c>
      <c r="C1250" s="6">
        <v>-1.917683035266023E-2</v>
      </c>
      <c r="D1250" s="6">
        <f t="shared" ca="1" si="97"/>
        <v>4.2779215672845601E-3</v>
      </c>
      <c r="E1250" s="6">
        <f t="shared" ca="1" si="98"/>
        <v>2.345475191994479E-2</v>
      </c>
      <c r="F1250">
        <f t="shared" ca="1" si="96"/>
        <v>2.7833520526572293E-2</v>
      </c>
      <c r="G1250">
        <f t="shared" ca="1" si="95"/>
        <v>1.9935494358205358E-3</v>
      </c>
      <c r="H1250">
        <f t="shared" ca="1" si="99"/>
        <v>2.3255874091233077</v>
      </c>
    </row>
    <row r="1251" spans="1:8" x14ac:dyDescent="0.25">
      <c r="A1251" s="1">
        <v>41991</v>
      </c>
      <c r="B1251">
        <v>509.7029296</v>
      </c>
      <c r="C1251" s="6">
        <v>-1.2299700552963418E-2</v>
      </c>
      <c r="D1251" s="6">
        <f t="shared" ca="1" si="97"/>
        <v>1.9151219838553852E-2</v>
      </c>
      <c r="E1251" s="6">
        <f t="shared" ca="1" si="98"/>
        <v>3.145092039151727E-2</v>
      </c>
      <c r="F1251">
        <f t="shared" ca="1" si="96"/>
        <v>9.7050374771577904E-3</v>
      </c>
      <c r="G1251">
        <f t="shared" ca="1" si="95"/>
        <v>0.30989905617647812</v>
      </c>
      <c r="H1251">
        <f t="shared" ca="1" si="99"/>
        <v>1.9354498020836561</v>
      </c>
    </row>
    <row r="1252" spans="1:8" x14ac:dyDescent="0.25">
      <c r="A1252" s="5">
        <v>41992</v>
      </c>
      <c r="B1252">
        <v>514.93854920000001</v>
      </c>
      <c r="C1252" s="6">
        <v>-1.027190407578934E-2</v>
      </c>
      <c r="D1252" s="6">
        <f t="shared" ca="1" si="97"/>
        <v>-8.1455275853151432E-3</v>
      </c>
      <c r="E1252" s="6">
        <f t="shared" ca="1" si="98"/>
        <v>2.126376490474197E-3</v>
      </c>
      <c r="F1252">
        <f t="shared" ca="1" si="96"/>
        <v>8.6637710717679152E-3</v>
      </c>
      <c r="G1252">
        <f t="shared" ca="1" si="95"/>
        <v>5.7126339771523045E-2</v>
      </c>
      <c r="H1252">
        <f t="shared" ca="1" si="99"/>
        <v>2.8142659578861213</v>
      </c>
    </row>
    <row r="1253" spans="1:8" x14ac:dyDescent="0.25">
      <c r="A1253" s="1">
        <v>41995</v>
      </c>
      <c r="B1253">
        <v>523.43529139999998</v>
      </c>
      <c r="C1253" s="6">
        <v>-1.6500497415080632E-2</v>
      </c>
      <c r="D1253" s="6">
        <f t="shared" ca="1" si="97"/>
        <v>-6.2804831323745348E-3</v>
      </c>
      <c r="E1253" s="6">
        <f t="shared" ca="1" si="98"/>
        <v>1.0220014282706098E-2</v>
      </c>
      <c r="F1253">
        <f t="shared" ca="1" si="96"/>
        <v>7.1148374167915671E-3</v>
      </c>
      <c r="G1253">
        <f t="shared" ca="1" si="95"/>
        <v>-0.10381094509875556</v>
      </c>
      <c r="H1253">
        <f t="shared" ca="1" si="99"/>
        <v>2.7233526388824494</v>
      </c>
    </row>
    <row r="1254" spans="1:8" x14ac:dyDescent="0.25">
      <c r="A1254" s="5">
        <v>41996</v>
      </c>
      <c r="B1254">
        <v>529.13966310000001</v>
      </c>
      <c r="C1254" s="6">
        <v>-1.0897950126257048E-2</v>
      </c>
      <c r="D1254" s="6">
        <f t="shared" ca="1" si="97"/>
        <v>-1.7152168394871322E-2</v>
      </c>
      <c r="E1254" s="6">
        <f t="shared" ca="1" si="98"/>
        <v>-6.2542182686142738E-3</v>
      </c>
      <c r="F1254">
        <f t="shared" ca="1" si="96"/>
        <v>7.1380344688468985E-3</v>
      </c>
      <c r="G1254">
        <f t="shared" ca="1" si="95"/>
        <v>-1.7545191222923682</v>
      </c>
      <c r="H1254">
        <f t="shared" ca="1" si="99"/>
        <v>2.7865634401579911</v>
      </c>
    </row>
    <row r="1255" spans="1:8" x14ac:dyDescent="0.25">
      <c r="A1255" s="1">
        <v>41997</v>
      </c>
      <c r="B1255">
        <v>527.32465219999995</v>
      </c>
      <c r="C1255" s="6">
        <v>3.4301168983755606E-3</v>
      </c>
      <c r="D1255" s="6">
        <f t="shared" ca="1" si="97"/>
        <v>-3.1571263518956727E-2</v>
      </c>
      <c r="E1255" s="6">
        <f t="shared" ca="1" si="98"/>
        <v>-3.5001380417332285E-2</v>
      </c>
      <c r="F1255">
        <f t="shared" ca="1" si="96"/>
        <v>2.861747301520607E-2</v>
      </c>
      <c r="G1255">
        <f t="shared" ca="1" si="95"/>
        <v>-0.84342422229180902</v>
      </c>
      <c r="H1255">
        <f t="shared" ca="1" si="99"/>
        <v>1.7496475066281529</v>
      </c>
    </row>
    <row r="1256" spans="1:8" x14ac:dyDescent="0.25">
      <c r="A1256" s="5">
        <v>41999</v>
      </c>
      <c r="B1256">
        <v>532.5702205</v>
      </c>
      <c r="C1256" s="6">
        <v>-9.9475119892755495E-3</v>
      </c>
      <c r="D1256" s="6">
        <f t="shared" ca="1" si="97"/>
        <v>8.1327675079959361E-3</v>
      </c>
      <c r="E1256" s="6">
        <f t="shared" ca="1" si="98"/>
        <v>1.8080279497271486E-2</v>
      </c>
      <c r="F1256">
        <f t="shared" ca="1" si="96"/>
        <v>1.6585826679305731E-2</v>
      </c>
      <c r="G1256">
        <f t="shared" ca="1" si="95"/>
        <v>0.78638574316833554</v>
      </c>
      <c r="H1256">
        <f t="shared" ca="1" si="99"/>
        <v>2.5243955601287884</v>
      </c>
    </row>
    <row r="1257" spans="1:8" x14ac:dyDescent="0.25">
      <c r="A1257" s="1">
        <v>42002</v>
      </c>
      <c r="B1257">
        <v>528.88038489999997</v>
      </c>
      <c r="C1257" s="6">
        <v>6.9283550937862433E-3</v>
      </c>
      <c r="D1257" s="6">
        <f t="shared" ca="1" si="97"/>
        <v>5.756038063254758E-3</v>
      </c>
      <c r="E1257" s="6">
        <f t="shared" ca="1" si="98"/>
        <v>-1.1723170305314853E-3</v>
      </c>
      <c r="F1257">
        <f t="shared" ca="1" si="96"/>
        <v>1.474160052701701E-2</v>
      </c>
      <c r="G1257">
        <f t="shared" ca="1" si="95"/>
        <v>0.28563653486199209</v>
      </c>
      <c r="H1257">
        <f t="shared" ca="1" si="99"/>
        <v>2.8181555818631727</v>
      </c>
    </row>
    <row r="1258" spans="1:8" x14ac:dyDescent="0.25">
      <c r="A1258" s="5">
        <v>42003</v>
      </c>
      <c r="B1258">
        <v>528.97010660000001</v>
      </c>
      <c r="C1258" s="6">
        <v>-1.6964459745846965E-4</v>
      </c>
      <c r="D1258" s="6">
        <f t="shared" ca="1" si="97"/>
        <v>-1.438497220796491E-2</v>
      </c>
      <c r="E1258" s="6">
        <f t="shared" ca="1" si="98"/>
        <v>-1.421532761050644E-2</v>
      </c>
      <c r="F1258">
        <f t="shared" ca="1" si="96"/>
        <v>8.9024824730721663E-3</v>
      </c>
      <c r="G1258">
        <f t="shared" ca="1" si="95"/>
        <v>-1.1124050458120724</v>
      </c>
      <c r="H1258">
        <f t="shared" ca="1" si="99"/>
        <v>2.6454380862567679</v>
      </c>
    </row>
    <row r="1259" spans="1:8" x14ac:dyDescent="0.25">
      <c r="A1259" s="1">
        <v>42004</v>
      </c>
      <c r="B1259">
        <v>524.96111629999996</v>
      </c>
      <c r="C1259" s="6">
        <v>7.5788598447805939E-3</v>
      </c>
      <c r="D1259" s="6">
        <f t="shared" ca="1" si="97"/>
        <v>2.0931462961905248E-2</v>
      </c>
      <c r="E1259" s="6">
        <f t="shared" ca="1" si="98"/>
        <v>1.3352603117124655E-2</v>
      </c>
      <c r="F1259">
        <f t="shared" ca="1" si="96"/>
        <v>1.8970337517966344E-2</v>
      </c>
      <c r="G1259">
        <f t="shared" ca="1" si="95"/>
        <v>0.9388260700642429</v>
      </c>
      <c r="H1259">
        <f t="shared" ca="1" si="99"/>
        <v>2.6571307972121834</v>
      </c>
    </row>
    <row r="1260" spans="1:8" x14ac:dyDescent="0.25">
      <c r="A1260" s="5">
        <v>42006</v>
      </c>
      <c r="B1260">
        <v>523.37547659999996</v>
      </c>
      <c r="C1260" s="6">
        <v>3.0204898053703749E-3</v>
      </c>
      <c r="D1260" s="6">
        <f t="shared" ca="1" si="97"/>
        <v>-2.2298829011614004E-2</v>
      </c>
      <c r="E1260" s="6">
        <f t="shared" ca="1" si="98"/>
        <v>-2.531931881698438E-2</v>
      </c>
      <c r="F1260">
        <f t="shared" ca="1" si="96"/>
        <v>1.6986323882498548E-2</v>
      </c>
      <c r="G1260">
        <f t="shared" ca="1" si="95"/>
        <v>-1.3082595139625943</v>
      </c>
      <c r="H1260">
        <f t="shared" ca="1" si="99"/>
        <v>2.2617786565027336</v>
      </c>
    </row>
    <row r="1261" spans="1:8" x14ac:dyDescent="0.25">
      <c r="A1261" s="1">
        <v>42009</v>
      </c>
      <c r="B1261">
        <v>512.46533239999997</v>
      </c>
      <c r="C1261" s="6">
        <v>2.0845730623214286E-2</v>
      </c>
      <c r="D1261" s="6">
        <f t="shared" ca="1" si="97"/>
        <v>-1.2657584459771897E-2</v>
      </c>
      <c r="E1261" s="6">
        <f t="shared" ca="1" si="98"/>
        <v>-3.3503315082986179E-2</v>
      </c>
      <c r="F1261">
        <f t="shared" ca="1" si="96"/>
        <v>2.217755131031136E-2</v>
      </c>
      <c r="G1261">
        <f t="shared" ca="1" si="95"/>
        <v>-0.72471220848176554</v>
      </c>
      <c r="H1261">
        <f t="shared" ca="1" si="99"/>
        <v>1.8397068350126593</v>
      </c>
    </row>
    <row r="1262" spans="1:8" x14ac:dyDescent="0.25">
      <c r="A1262" s="5">
        <v>42010</v>
      </c>
      <c r="B1262">
        <v>500.58789789999997</v>
      </c>
      <c r="C1262" s="6">
        <v>2.3177049741833412E-2</v>
      </c>
      <c r="D1262" s="6">
        <f t="shared" ca="1" si="97"/>
        <v>1.2710779649947278E-2</v>
      </c>
      <c r="E1262" s="6">
        <f t="shared" ca="1" si="98"/>
        <v>-1.0466270091886134E-2</v>
      </c>
      <c r="F1262">
        <f t="shared" ca="1" si="96"/>
        <v>1.4412940782596223E-2</v>
      </c>
      <c r="G1262">
        <f t="shared" ca="1" si="95"/>
        <v>0.78745430367938907</v>
      </c>
      <c r="H1262">
        <f t="shared" ca="1" si="99"/>
        <v>2.7258325499037488</v>
      </c>
    </row>
    <row r="1263" spans="1:8" x14ac:dyDescent="0.25">
      <c r="A1263" s="1">
        <v>42011</v>
      </c>
      <c r="B1263">
        <v>499.73025860000001</v>
      </c>
      <c r="C1263" s="6">
        <v>1.7132641512066405E-3</v>
      </c>
      <c r="D1263" s="6">
        <f t="shared" ca="1" si="97"/>
        <v>-4.1754281460304136E-3</v>
      </c>
      <c r="E1263" s="6">
        <f t="shared" ca="1" si="98"/>
        <v>-5.8886922972370536E-3</v>
      </c>
      <c r="F1263">
        <f t="shared" ca="1" si="96"/>
        <v>1.4610371447883554E-2</v>
      </c>
      <c r="G1263">
        <f t="shared" ca="1" si="95"/>
        <v>-0.92865535983310055</v>
      </c>
      <c r="H1263">
        <f t="shared" ca="1" si="99"/>
        <v>2.7903571333276029</v>
      </c>
    </row>
    <row r="1264" spans="1:8" x14ac:dyDescent="0.25">
      <c r="A1264" s="5">
        <v>42012</v>
      </c>
      <c r="B1264">
        <v>501.3059495</v>
      </c>
      <c r="C1264" s="6">
        <v>-3.1530828339558616E-3</v>
      </c>
      <c r="D1264" s="6">
        <f t="shared" ca="1" si="97"/>
        <v>3.9604567420750074E-2</v>
      </c>
      <c r="E1264" s="6">
        <f t="shared" ca="1" si="98"/>
        <v>4.2757650254705938E-2</v>
      </c>
      <c r="F1264">
        <f t="shared" ca="1" si="96"/>
        <v>1.6567807252463072E-2</v>
      </c>
      <c r="G1264">
        <f t="shared" ca="1" si="95"/>
        <v>1.7601580242651953</v>
      </c>
      <c r="H1264">
        <f t="shared" ca="1" si="99"/>
        <v>1.1911835733470859</v>
      </c>
    </row>
    <row r="1265" spans="1:8" x14ac:dyDescent="0.25">
      <c r="A1265" s="1">
        <v>42013</v>
      </c>
      <c r="B1265">
        <v>494.81373289999999</v>
      </c>
      <c r="C1265" s="6">
        <v>1.2950607521166085E-2</v>
      </c>
      <c r="D1265" s="6">
        <f t="shared" ca="1" si="97"/>
        <v>1.0392358647929138E-2</v>
      </c>
      <c r="E1265" s="6">
        <f t="shared" ca="1" si="98"/>
        <v>-2.5582488732369471E-3</v>
      </c>
      <c r="F1265">
        <f t="shared" ca="1" si="96"/>
        <v>2.8949994633349921E-2</v>
      </c>
      <c r="G1265">
        <f t="shared" ca="1" si="95"/>
        <v>0.33231397456271533</v>
      </c>
      <c r="H1265">
        <f t="shared" ca="1" si="99"/>
        <v>2.8140602010161611</v>
      </c>
    </row>
    <row r="1266" spans="1:8" x14ac:dyDescent="0.25">
      <c r="A1266" s="5">
        <v>42016</v>
      </c>
      <c r="B1266">
        <v>491.20363939999999</v>
      </c>
      <c r="C1266" s="6">
        <v>7.2958635946540947E-3</v>
      </c>
      <c r="D1266" s="6">
        <f t="shared" ca="1" si="97"/>
        <v>1.3519227201454417E-2</v>
      </c>
      <c r="E1266" s="6">
        <f t="shared" ca="1" si="98"/>
        <v>6.2233636068003226E-3</v>
      </c>
      <c r="F1266">
        <f t="shared" ca="1" si="96"/>
        <v>1.1218560207531814E-2</v>
      </c>
      <c r="G1266">
        <f t="shared" ca="1" si="95"/>
        <v>1.3316910553167329</v>
      </c>
      <c r="H1266">
        <f t="shared" ca="1" si="99"/>
        <v>2.7826957649169302</v>
      </c>
    </row>
    <row r="1267" spans="1:8" x14ac:dyDescent="0.25">
      <c r="A1267" s="1">
        <v>42017</v>
      </c>
      <c r="B1267">
        <v>494.8237125</v>
      </c>
      <c r="C1267" s="6">
        <v>-7.3698010552647655E-3</v>
      </c>
      <c r="D1267" s="6">
        <f t="shared" ca="1" si="97"/>
        <v>4.9558684337914372E-3</v>
      </c>
      <c r="E1267" s="6">
        <f t="shared" ca="1" si="98"/>
        <v>1.2325669489056203E-2</v>
      </c>
      <c r="F1267">
        <f t="shared" ca="1" si="96"/>
        <v>2.2293735934547254E-2</v>
      </c>
      <c r="G1267">
        <f t="shared" ca="1" si="95"/>
        <v>-3.9438796533885399E-2</v>
      </c>
      <c r="H1267">
        <f t="shared" ca="1" si="99"/>
        <v>2.6807480729973516</v>
      </c>
    </row>
    <row r="1268" spans="1:8" x14ac:dyDescent="0.25">
      <c r="A1268" s="5">
        <v>42018</v>
      </c>
      <c r="B1268">
        <v>499.50088729999999</v>
      </c>
      <c r="C1268" s="6">
        <v>-9.4522042534491285E-3</v>
      </c>
      <c r="D1268" s="6">
        <f t="shared" ca="1" si="97"/>
        <v>-2.95063398578206E-3</v>
      </c>
      <c r="E1268" s="6">
        <f t="shared" ca="1" si="98"/>
        <v>6.501570267667069E-3</v>
      </c>
      <c r="F1268">
        <f t="shared" ca="1" si="96"/>
        <v>8.772699567204674E-3</v>
      </c>
      <c r="G1268">
        <f t="shared" ca="1" si="95"/>
        <v>-0.71103699388569119</v>
      </c>
      <c r="H1268">
        <f t="shared" ca="1" si="99"/>
        <v>2.7794778187105424</v>
      </c>
    </row>
    <row r="1269" spans="1:8" x14ac:dyDescent="0.25">
      <c r="A1269" s="1">
        <v>42019</v>
      </c>
      <c r="B1269">
        <v>500.41837240000001</v>
      </c>
      <c r="C1269" s="6">
        <v>-1.8368037441522714E-3</v>
      </c>
      <c r="D1269" s="6">
        <f t="shared" ca="1" si="97"/>
        <v>2.1260508831326769E-2</v>
      </c>
      <c r="E1269" s="6">
        <f t="shared" ca="1" si="98"/>
        <v>2.3097312575479041E-2</v>
      </c>
      <c r="F1269">
        <f t="shared" ca="1" si="96"/>
        <v>1.3285277296125898E-2</v>
      </c>
      <c r="G1269">
        <f t="shared" ca="1" si="95"/>
        <v>1.8502572069261987</v>
      </c>
      <c r="H1269">
        <f t="shared" ca="1" si="99"/>
        <v>2.3403920622831955</v>
      </c>
    </row>
    <row r="1270" spans="1:8" x14ac:dyDescent="0.25">
      <c r="A1270" s="5">
        <v>42020</v>
      </c>
      <c r="B1270">
        <v>506.69116739999998</v>
      </c>
      <c r="C1270" s="6">
        <v>-1.2535101319153672E-2</v>
      </c>
      <c r="D1270" s="6">
        <f t="shared" ca="1" si="97"/>
        <v>5.7738591859171004E-3</v>
      </c>
      <c r="E1270" s="6">
        <f t="shared" ca="1" si="98"/>
        <v>1.8308960505070773E-2</v>
      </c>
      <c r="F1270">
        <f t="shared" ca="1" si="96"/>
        <v>3.0221284450122069E-2</v>
      </c>
      <c r="G1270">
        <f t="shared" ca="1" si="95"/>
        <v>0.33197283998250871</v>
      </c>
      <c r="H1270">
        <f t="shared" ca="1" si="99"/>
        <v>2.5169748349208896</v>
      </c>
    </row>
    <row r="1271" spans="1:8" x14ac:dyDescent="0.25">
      <c r="A1271" s="1">
        <v>42024</v>
      </c>
      <c r="B1271">
        <v>505.5144042</v>
      </c>
      <c r="C1271" s="6">
        <v>2.3224466414884307E-3</v>
      </c>
      <c r="D1271" s="6">
        <f t="shared" ca="1" si="97"/>
        <v>1.7798088460142452E-2</v>
      </c>
      <c r="E1271" s="6">
        <f t="shared" ca="1" si="98"/>
        <v>1.5475641818654021E-2</v>
      </c>
      <c r="F1271">
        <f t="shared" ca="1" si="96"/>
        <v>1.1426779358701344E-2</v>
      </c>
      <c r="G1271">
        <f t="shared" ca="1" si="95"/>
        <v>1.6300201361858435</v>
      </c>
      <c r="H1271">
        <f t="shared" ca="1" si="99"/>
        <v>2.6024038279496136</v>
      </c>
    </row>
    <row r="1272" spans="1:8" x14ac:dyDescent="0.25">
      <c r="A1272" s="5">
        <v>42025</v>
      </c>
      <c r="B1272">
        <v>516.62398189999999</v>
      </c>
      <c r="C1272" s="6">
        <v>-2.1976777729175515E-2</v>
      </c>
      <c r="D1272" s="6">
        <f t="shared" ca="1" si="97"/>
        <v>-2.1459595452098225E-2</v>
      </c>
      <c r="E1272" s="6">
        <f t="shared" ca="1" si="98"/>
        <v>5.1718227707728964E-4</v>
      </c>
      <c r="F1272">
        <f t="shared" ca="1" si="96"/>
        <v>2.6805165957216874E-2</v>
      </c>
      <c r="G1272">
        <f t="shared" ca="1" si="95"/>
        <v>-0.58988096626741815</v>
      </c>
      <c r="H1272">
        <f t="shared" ca="1" si="99"/>
        <v>2.8185626619474533</v>
      </c>
    </row>
    <row r="1273" spans="1:8" x14ac:dyDescent="0.25">
      <c r="A1273" s="1">
        <v>42026</v>
      </c>
      <c r="B1273">
        <v>532.92923080000003</v>
      </c>
      <c r="C1273" s="6">
        <v>-3.1561153704157997E-2</v>
      </c>
      <c r="D1273" s="6">
        <f t="shared" ca="1" si="97"/>
        <v>1.4241192169141782E-3</v>
      </c>
      <c r="E1273" s="6">
        <f t="shared" ca="1" si="98"/>
        <v>3.2985272921072173E-2</v>
      </c>
      <c r="F1273">
        <f t="shared" ca="1" si="96"/>
        <v>1.3331794050922352E-2</v>
      </c>
      <c r="G1273">
        <f t="shared" ca="1" si="95"/>
        <v>2.8359898469998725E-2</v>
      </c>
      <c r="H1273">
        <f t="shared" ca="1" si="99"/>
        <v>1.8476831500473301</v>
      </c>
    </row>
    <row r="1274" spans="1:8" x14ac:dyDescent="0.25">
      <c r="A1274" s="5">
        <v>42027</v>
      </c>
      <c r="B1274">
        <v>538.47405649999996</v>
      </c>
      <c r="C1274" s="6">
        <v>-1.0404431544646908E-2</v>
      </c>
      <c r="D1274" s="6">
        <f t="shared" ca="1" si="97"/>
        <v>-1.0191251378786993E-2</v>
      </c>
      <c r="E1274" s="6">
        <f t="shared" ca="1" si="98"/>
        <v>2.1318016585991466E-4</v>
      </c>
      <c r="F1274">
        <f t="shared" ca="1" si="96"/>
        <v>7.5178872007382411E-3</v>
      </c>
      <c r="G1274">
        <f t="shared" ca="1" si="95"/>
        <v>-3.8433668592938015E-2</v>
      </c>
      <c r="H1274">
        <f t="shared" ca="1" si="99"/>
        <v>2.8188611104717749</v>
      </c>
    </row>
    <row r="1275" spans="1:8" x14ac:dyDescent="0.25">
      <c r="A1275" s="1">
        <v>42030</v>
      </c>
      <c r="B1275">
        <v>533.74704550000001</v>
      </c>
      <c r="C1275" s="6">
        <v>8.7785306328865779E-3</v>
      </c>
      <c r="D1275" s="6">
        <f t="shared" ca="1" si="97"/>
        <v>-6.9388682703588793E-3</v>
      </c>
      <c r="E1275" s="6">
        <f t="shared" ca="1" si="98"/>
        <v>-1.5717398903245458E-2</v>
      </c>
      <c r="F1275">
        <f t="shared" ca="1" si="96"/>
        <v>6.9998177465451531E-3</v>
      </c>
      <c r="G1275">
        <f t="shared" ca="1" si="95"/>
        <v>1.0402270992999991</v>
      </c>
      <c r="H1275">
        <f t="shared" ca="1" si="99"/>
        <v>2.6062671468471756</v>
      </c>
    </row>
    <row r="1276" spans="1:8" x14ac:dyDescent="0.25">
      <c r="A1276" s="5">
        <v>42031</v>
      </c>
      <c r="B1276">
        <v>517.21236350000004</v>
      </c>
      <c r="C1276" s="6">
        <v>3.097849840931808E-2</v>
      </c>
      <c r="D1276" s="6">
        <f t="shared" ca="1" si="97"/>
        <v>6.6252997819962103E-3</v>
      </c>
      <c r="E1276" s="6">
        <f t="shared" ca="1" si="98"/>
        <v>-2.4353198627321868E-2</v>
      </c>
      <c r="F1276">
        <f t="shared" ca="1" si="96"/>
        <v>1.7862128027678642E-2</v>
      </c>
      <c r="G1276">
        <f t="shared" ca="1" si="95"/>
        <v>0.63334800947826775</v>
      </c>
      <c r="H1276">
        <f t="shared" ca="1" si="99"/>
        <v>2.3038029492195506</v>
      </c>
    </row>
    <row r="1277" spans="1:8" x14ac:dyDescent="0.25">
      <c r="A1277" s="1">
        <v>42032</v>
      </c>
      <c r="B1277">
        <v>508.60594040000001</v>
      </c>
      <c r="C1277" s="6">
        <v>1.6640018118979145E-2</v>
      </c>
      <c r="D1277" s="6">
        <f t="shared" ca="1" si="97"/>
        <v>1.8543985189345934E-4</v>
      </c>
      <c r="E1277" s="6">
        <f t="shared" ca="1" si="98"/>
        <v>-1.6454578267085684E-2</v>
      </c>
      <c r="F1277">
        <f t="shared" ca="1" si="96"/>
        <v>1.2872758535157703E-2</v>
      </c>
      <c r="G1277">
        <f t="shared" ca="1" si="95"/>
        <v>-0.29288984960774844</v>
      </c>
      <c r="H1277">
        <f t="shared" ca="1" si="99"/>
        <v>2.5855862785378543</v>
      </c>
    </row>
    <row r="1278" spans="1:8" x14ac:dyDescent="0.25">
      <c r="A1278" s="5">
        <v>42033</v>
      </c>
      <c r="B1278">
        <v>509.26411539999998</v>
      </c>
      <c r="C1278" s="6">
        <v>-1.2940765093745088E-3</v>
      </c>
      <c r="D1278" s="6">
        <f t="shared" ca="1" si="97"/>
        <v>1.9853480009745534E-3</v>
      </c>
      <c r="E1278" s="6">
        <f t="shared" ca="1" si="98"/>
        <v>3.279424510349062E-3</v>
      </c>
      <c r="F1278">
        <f t="shared" ca="1" si="96"/>
        <v>8.7767306535631705E-3</v>
      </c>
      <c r="G1278">
        <f t="shared" ca="1" si="95"/>
        <v>-1.3641188979202885</v>
      </c>
      <c r="H1278">
        <f t="shared" ca="1" si="99"/>
        <v>2.8083764989475895</v>
      </c>
    </row>
    <row r="1279" spans="1:8" x14ac:dyDescent="0.25">
      <c r="A1279" s="1">
        <v>42034</v>
      </c>
      <c r="B1279">
        <v>533.05893170000002</v>
      </c>
      <c r="C1279" s="6">
        <v>-4.672392100768865E-2</v>
      </c>
      <c r="D1279" s="6">
        <f t="shared" ca="1" si="97"/>
        <v>-2.2210259847879185E-3</v>
      </c>
      <c r="E1279" s="6">
        <f t="shared" ca="1" si="98"/>
        <v>4.4502895022900731E-2</v>
      </c>
      <c r="F1279">
        <f t="shared" ca="1" si="96"/>
        <v>2.2711218939371378E-2</v>
      </c>
      <c r="G1279">
        <f t="shared" ca="1" si="95"/>
        <v>-0.42790657592449349</v>
      </c>
      <c r="H1279">
        <f t="shared" ca="1" si="99"/>
        <v>1.0562007196373897</v>
      </c>
    </row>
    <row r="1280" spans="1:8" x14ac:dyDescent="0.25">
      <c r="A1280" s="5">
        <v>42037</v>
      </c>
      <c r="B1280">
        <v>527.03540529999998</v>
      </c>
      <c r="C1280" s="6">
        <v>1.1299925846454093E-2</v>
      </c>
      <c r="D1280" s="6">
        <f t="shared" ca="1" si="97"/>
        <v>-1.2388731266572207E-2</v>
      </c>
      <c r="E1280" s="6">
        <f t="shared" ca="1" si="98"/>
        <v>-2.3688657113026299E-2</v>
      </c>
      <c r="F1280">
        <f t="shared" ca="1" si="96"/>
        <v>1.1117744173828515E-2</v>
      </c>
      <c r="G1280">
        <f t="shared" ca="1" si="95"/>
        <v>-1.061807421341014</v>
      </c>
      <c r="H1280">
        <f t="shared" ca="1" si="99"/>
        <v>2.3317528768095674</v>
      </c>
    </row>
    <row r="1281" spans="1:8" x14ac:dyDescent="0.25">
      <c r="A1281" s="1">
        <v>42038</v>
      </c>
      <c r="B1281">
        <v>527.79334340000003</v>
      </c>
      <c r="C1281" s="6">
        <v>-1.4381160969036072E-3</v>
      </c>
      <c r="D1281" s="6">
        <f t="shared" ca="1" si="97"/>
        <v>-1.8124348624198629E-3</v>
      </c>
      <c r="E1281" s="6">
        <f t="shared" ca="1" si="98"/>
        <v>-3.7431876551625564E-4</v>
      </c>
      <c r="F1281">
        <f t="shared" ca="1" si="96"/>
        <v>1.8306973264825825E-2</v>
      </c>
      <c r="G1281">
        <f t="shared" ca="1" si="95"/>
        <v>1.0509199962754749</v>
      </c>
      <c r="H1281">
        <f t="shared" ca="1" si="99"/>
        <v>2.818975670684591</v>
      </c>
    </row>
    <row r="1282" spans="1:8" x14ac:dyDescent="0.25">
      <c r="A1282" s="5">
        <v>42039</v>
      </c>
      <c r="B1282">
        <v>521.33103459999995</v>
      </c>
      <c r="C1282" s="6">
        <v>1.2244013458696594E-2</v>
      </c>
      <c r="D1282" s="6">
        <f t="shared" ca="1" si="97"/>
        <v>2.2368042395548543E-2</v>
      </c>
      <c r="E1282" s="6">
        <f t="shared" ca="1" si="98"/>
        <v>1.0124028936851949E-2</v>
      </c>
      <c r="F1282">
        <f t="shared" ca="1" si="96"/>
        <v>1.8515018157936283E-2</v>
      </c>
      <c r="G1282">
        <f t="shared" ca="1" si="95"/>
        <v>0.93312392262667176</v>
      </c>
      <c r="H1282">
        <f t="shared" ca="1" si="99"/>
        <v>2.72510825775682</v>
      </c>
    </row>
    <row r="1283" spans="1:8" x14ac:dyDescent="0.25">
      <c r="A1283" s="1">
        <v>42040</v>
      </c>
      <c r="B1283">
        <v>526.13787950000005</v>
      </c>
      <c r="C1283" s="6">
        <v>-9.2203313844306887E-3</v>
      </c>
      <c r="D1283" s="6">
        <f t="shared" ca="1" si="97"/>
        <v>1.9200302184656386E-2</v>
      </c>
      <c r="E1283" s="6">
        <f t="shared" ca="1" si="98"/>
        <v>2.8420633569087077E-2</v>
      </c>
      <c r="F1283">
        <f t="shared" ca="1" si="96"/>
        <v>1.687542971581826E-2</v>
      </c>
      <c r="G1283">
        <f t="shared" ref="G1283:G1346" ca="1" si="100">_xlfn.NORM.INV(RAND(),0,1)</f>
        <v>1.176150957466003</v>
      </c>
      <c r="H1283">
        <f t="shared" ca="1" si="99"/>
        <v>2.0965788770101037</v>
      </c>
    </row>
    <row r="1284" spans="1:8" x14ac:dyDescent="0.25">
      <c r="A1284" s="5">
        <v>42041</v>
      </c>
      <c r="B1284">
        <v>529.54853949999995</v>
      </c>
      <c r="C1284" s="6">
        <v>-6.4824452541624939E-3</v>
      </c>
      <c r="D1284" s="6">
        <f t="shared" ca="1" si="97"/>
        <v>-1.59100265759917E-2</v>
      </c>
      <c r="E1284" s="6">
        <f t="shared" ca="1" si="98"/>
        <v>-9.4275813218292065E-3</v>
      </c>
      <c r="F1284">
        <f t="shared" ref="F1284:F1347" ca="1" si="101">SQRT($K$6+$K$7*POWER($G1283,2)+$K$8*POWER($F1283,2))</f>
        <v>2.0234505702084321E-2</v>
      </c>
      <c r="G1284">
        <f t="shared" ca="1" si="100"/>
        <v>-1.0589089448802591</v>
      </c>
      <c r="H1284">
        <f t="shared" ca="1" si="99"/>
        <v>2.7437175285066608</v>
      </c>
    </row>
    <row r="1285" spans="1:8" x14ac:dyDescent="0.25">
      <c r="A1285" s="1">
        <v>42044</v>
      </c>
      <c r="B1285">
        <v>526.38720990000002</v>
      </c>
      <c r="C1285" s="6">
        <v>5.969858028472442E-3</v>
      </c>
      <c r="D1285" s="6">
        <f t="shared" ref="D1285:D1348" ca="1" si="102">($K$10*$C1284)+($K$11*$C1283)+($F1285*$G1285)</f>
        <v>-3.7832939752273573E-2</v>
      </c>
      <c r="E1285" s="6">
        <f t="shared" ca="1" si="98"/>
        <v>-4.3802797780746014E-2</v>
      </c>
      <c r="F1285">
        <f t="shared" ca="1" si="101"/>
        <v>1.8754691112735714E-2</v>
      </c>
      <c r="G1285">
        <f t="shared" ca="1" si="100"/>
        <v>-1.7957399666659106</v>
      </c>
      <c r="H1285">
        <f t="shared" ca="1" si="99"/>
        <v>1.1405347047368055</v>
      </c>
    </row>
    <row r="1286" spans="1:8" x14ac:dyDescent="0.25">
      <c r="A1286" s="5">
        <v>42045</v>
      </c>
      <c r="B1286">
        <v>535.47227290000001</v>
      </c>
      <c r="C1286" s="6">
        <v>-1.725927763656324E-2</v>
      </c>
      <c r="D1286" s="6">
        <f t="shared" ca="1" si="102"/>
        <v>-3.8385479717922485E-2</v>
      </c>
      <c r="E1286" s="6">
        <f t="shared" ref="E1286:E1349" ca="1" si="103">$D1286-$C1286</f>
        <v>-2.1126202081359246E-2</v>
      </c>
      <c r="F1286">
        <f t="shared" ca="1" si="101"/>
        <v>2.9574974183301652E-2</v>
      </c>
      <c r="G1286">
        <f t="shared" ca="1" si="100"/>
        <v>-1.1991512710334267</v>
      </c>
      <c r="H1286">
        <f t="shared" ref="H1286:H1349" ca="1" si="104">LN(_xlfn.NORM.DIST($E1286,AVERAGE($E$5:$E$1763),_xlfn.STDEV.S($E$5:$E$1763),FALSE))</f>
        <v>2.4322297919084992</v>
      </c>
    </row>
    <row r="1287" spans="1:8" x14ac:dyDescent="0.25">
      <c r="A1287" s="1">
        <v>42046</v>
      </c>
      <c r="B1287">
        <v>534.50492169999995</v>
      </c>
      <c r="C1287" s="6">
        <v>1.8065383568062106E-3</v>
      </c>
      <c r="D1287" s="6">
        <f t="shared" ca="1" si="102"/>
        <v>-2.8274244446941529E-3</v>
      </c>
      <c r="E1287" s="6">
        <f t="shared" ca="1" si="103"/>
        <v>-4.6339628015003636E-3</v>
      </c>
      <c r="F1287">
        <f t="shared" ca="1" si="101"/>
        <v>2.1460055455987517E-2</v>
      </c>
      <c r="G1287">
        <f t="shared" ca="1" si="100"/>
        <v>-0.25707761235832299</v>
      </c>
      <c r="H1287">
        <f t="shared" ca="1" si="104"/>
        <v>2.8015855503476774</v>
      </c>
    </row>
    <row r="1288" spans="1:8" x14ac:dyDescent="0.25">
      <c r="A1288" s="5">
        <v>42047</v>
      </c>
      <c r="B1288">
        <v>541.44593220000002</v>
      </c>
      <c r="C1288" s="6">
        <v>-1.2985868264644011E-2</v>
      </c>
      <c r="D1288" s="6">
        <f t="shared" ca="1" si="102"/>
        <v>-1.5402292981798545E-2</v>
      </c>
      <c r="E1288" s="6">
        <f t="shared" ca="1" si="103"/>
        <v>-2.416424717154534E-3</v>
      </c>
      <c r="F1288">
        <f t="shared" ca="1" si="101"/>
        <v>9.5290482004745901E-3</v>
      </c>
      <c r="G1288">
        <f t="shared" ca="1" si="100"/>
        <v>-0.80029355387985668</v>
      </c>
      <c r="H1288">
        <f t="shared" ca="1" si="104"/>
        <v>2.8146349959559465</v>
      </c>
    </row>
    <row r="1289" spans="1:8" x14ac:dyDescent="0.25">
      <c r="A1289" s="1">
        <v>42048</v>
      </c>
      <c r="B1289">
        <v>547.50931419999995</v>
      </c>
      <c r="C1289" s="6">
        <v>-1.119849949811837E-2</v>
      </c>
      <c r="D1289" s="6">
        <f t="shared" ca="1" si="102"/>
        <v>1.506577844514554E-2</v>
      </c>
      <c r="E1289" s="6">
        <f t="shared" ca="1" si="103"/>
        <v>2.626427794326391E-2</v>
      </c>
      <c r="F1289">
        <f t="shared" ca="1" si="101"/>
        <v>1.4530966828499185E-2</v>
      </c>
      <c r="G1289">
        <f t="shared" ca="1" si="100"/>
        <v>0.98080499746735605</v>
      </c>
      <c r="H1289">
        <f t="shared" ca="1" si="104"/>
        <v>2.2013685977308293</v>
      </c>
    </row>
    <row r="1290" spans="1:8" x14ac:dyDescent="0.25">
      <c r="A1290" s="5">
        <v>42052</v>
      </c>
      <c r="B1290">
        <v>541.35614969999995</v>
      </c>
      <c r="C1290" s="6">
        <v>1.1238465429562191E-2</v>
      </c>
      <c r="D1290" s="6">
        <f t="shared" ca="1" si="102"/>
        <v>-4.9666333404847062E-3</v>
      </c>
      <c r="E1290" s="6">
        <f t="shared" ca="1" si="103"/>
        <v>-1.6205098770046895E-2</v>
      </c>
      <c r="F1290">
        <f t="shared" ca="1" si="101"/>
        <v>1.729958027976641E-2</v>
      </c>
      <c r="G1290">
        <f t="shared" ca="1" si="100"/>
        <v>5.1124057372618263E-2</v>
      </c>
      <c r="H1290">
        <f t="shared" ca="1" si="104"/>
        <v>2.5926925621537382</v>
      </c>
    </row>
    <row r="1291" spans="1:8" x14ac:dyDescent="0.25">
      <c r="A1291" s="1">
        <v>42053</v>
      </c>
      <c r="B1291">
        <v>538.22472600000003</v>
      </c>
      <c r="C1291" s="6">
        <v>5.7844058883144414E-3</v>
      </c>
      <c r="D1291" s="6">
        <f t="shared" ca="1" si="102"/>
        <v>-9.2885426765174084E-4</v>
      </c>
      <c r="E1291" s="6">
        <f t="shared" ca="1" si="103"/>
        <v>-6.7132601559661822E-3</v>
      </c>
      <c r="F1291">
        <f t="shared" ca="1" si="101"/>
        <v>8.0424870272962599E-3</v>
      </c>
      <c r="G1291">
        <f t="shared" ca="1" si="100"/>
        <v>0.51184680696641849</v>
      </c>
      <c r="H1291">
        <f t="shared" ca="1" si="104"/>
        <v>2.7814651410922675</v>
      </c>
    </row>
    <row r="1292" spans="1:8" x14ac:dyDescent="0.25">
      <c r="A1292" s="5">
        <v>42054</v>
      </c>
      <c r="B1292">
        <v>541.38605659999996</v>
      </c>
      <c r="C1292" s="6">
        <v>-5.8736257315683566E-3</v>
      </c>
      <c r="D1292" s="6">
        <f t="shared" ca="1" si="102"/>
        <v>2.0205045232707289E-2</v>
      </c>
      <c r="E1292" s="6">
        <f t="shared" ca="1" si="103"/>
        <v>2.6078670964275644E-2</v>
      </c>
      <c r="F1292">
        <f t="shared" ca="1" si="101"/>
        <v>1.0711486777871985E-2</v>
      </c>
      <c r="G1292">
        <f t="shared" ca="1" si="100"/>
        <v>1.4135648458562238</v>
      </c>
      <c r="H1292">
        <f t="shared" ca="1" si="104"/>
        <v>2.2100047060862495</v>
      </c>
    </row>
    <row r="1293" spans="1:8" x14ac:dyDescent="0.25">
      <c r="A1293" s="1">
        <v>42055</v>
      </c>
      <c r="B1293">
        <v>537.47679849999997</v>
      </c>
      <c r="C1293" s="6">
        <v>7.2208326245984597E-3</v>
      </c>
      <c r="D1293" s="6">
        <f t="shared" ca="1" si="102"/>
        <v>1.5822828826148414E-2</v>
      </c>
      <c r="E1293" s="6">
        <f t="shared" ca="1" si="103"/>
        <v>8.6019962015499545E-3</v>
      </c>
      <c r="F1293">
        <f t="shared" ca="1" si="101"/>
        <v>2.3506951154507787E-2</v>
      </c>
      <c r="G1293">
        <f t="shared" ca="1" si="100"/>
        <v>0.56224738719334011</v>
      </c>
      <c r="H1293">
        <f t="shared" ca="1" si="104"/>
        <v>2.7507737078869061</v>
      </c>
    </row>
    <row r="1294" spans="1:8" x14ac:dyDescent="0.25">
      <c r="A1294" s="5">
        <v>42058</v>
      </c>
      <c r="B1294">
        <v>530.45601399999998</v>
      </c>
      <c r="C1294" s="6">
        <v>1.3062488501073393E-2</v>
      </c>
      <c r="D1294" s="6">
        <f t="shared" ca="1" si="102"/>
        <v>1.0286384440228757E-2</v>
      </c>
      <c r="E1294" s="6">
        <f t="shared" ca="1" si="103"/>
        <v>-2.7761040608446363E-3</v>
      </c>
      <c r="F1294">
        <f t="shared" ca="1" si="101"/>
        <v>1.2619007393357903E-2</v>
      </c>
      <c r="G1294">
        <f t="shared" ca="1" si="100"/>
        <v>1.0248561815880179</v>
      </c>
      <c r="H1294">
        <f t="shared" ca="1" si="104"/>
        <v>2.8131081124704136</v>
      </c>
    </row>
    <row r="1295" spans="1:8" x14ac:dyDescent="0.25">
      <c r="A1295" s="1">
        <v>42059</v>
      </c>
      <c r="B1295">
        <v>534.62461210000004</v>
      </c>
      <c r="C1295" s="6">
        <v>-7.858517935475897E-3</v>
      </c>
      <c r="D1295" s="6">
        <f t="shared" ca="1" si="102"/>
        <v>-1.4119085692755311E-3</v>
      </c>
      <c r="E1295" s="6">
        <f t="shared" ca="1" si="103"/>
        <v>6.4466093662003659E-3</v>
      </c>
      <c r="F1295">
        <f t="shared" ca="1" si="101"/>
        <v>1.7835415730910128E-2</v>
      </c>
      <c r="G1295">
        <f t="shared" ca="1" si="100"/>
        <v>-0.2615874410730093</v>
      </c>
      <c r="H1295">
        <f t="shared" ca="1" si="104"/>
        <v>2.7801243654717496</v>
      </c>
    </row>
    <row r="1296" spans="1:8" x14ac:dyDescent="0.25">
      <c r="A1296" s="5">
        <v>42060</v>
      </c>
      <c r="B1296">
        <v>542.38337539999998</v>
      </c>
      <c r="C1296" s="6">
        <v>-1.4512544174731497E-2</v>
      </c>
      <c r="D1296" s="6">
        <f t="shared" ca="1" si="102"/>
        <v>-1.3956861219146129E-2</v>
      </c>
      <c r="E1296" s="6">
        <f t="shared" ca="1" si="103"/>
        <v>5.5568295558536783E-4</v>
      </c>
      <c r="F1296">
        <f t="shared" ca="1" si="101"/>
        <v>9.0748556585612348E-3</v>
      </c>
      <c r="G1296">
        <f t="shared" ca="1" si="100"/>
        <v>-2.1864949256387738</v>
      </c>
      <c r="H1296">
        <f t="shared" ca="1" si="104"/>
        <v>2.8185132276562546</v>
      </c>
    </row>
    <row r="1297" spans="1:8" x14ac:dyDescent="0.25">
      <c r="A1297" s="1">
        <v>42061</v>
      </c>
      <c r="B1297">
        <v>553.96161440000003</v>
      </c>
      <c r="C1297" s="6">
        <v>-2.134696512676346E-2</v>
      </c>
      <c r="D1297" s="6">
        <f t="shared" ca="1" si="102"/>
        <v>4.6614973895320842E-3</v>
      </c>
      <c r="E1297" s="6">
        <f t="shared" ca="1" si="103"/>
        <v>2.6008462516295544E-2</v>
      </c>
      <c r="F1297">
        <f t="shared" ca="1" si="101"/>
        <v>3.5315241670543153E-2</v>
      </c>
      <c r="G1297">
        <f t="shared" ca="1" si="100"/>
        <v>0.23226365473939536</v>
      </c>
      <c r="H1297">
        <f t="shared" ca="1" si="104"/>
        <v>2.2132555856607521</v>
      </c>
    </row>
    <row r="1298" spans="1:8" x14ac:dyDescent="0.25">
      <c r="A1298" s="5">
        <v>42062</v>
      </c>
      <c r="B1298">
        <v>556.87361450000003</v>
      </c>
      <c r="C1298" s="6">
        <v>-5.2566820954805856E-3</v>
      </c>
      <c r="D1298" s="6">
        <f t="shared" ca="1" si="102"/>
        <v>-1.2636010582845109E-2</v>
      </c>
      <c r="E1298" s="6">
        <f t="shared" ca="1" si="103"/>
        <v>-7.379328487364523E-3</v>
      </c>
      <c r="F1298">
        <f t="shared" ca="1" si="101"/>
        <v>1.1733025519596508E-2</v>
      </c>
      <c r="G1298">
        <f t="shared" ca="1" si="100"/>
        <v>-0.5196383687369468</v>
      </c>
      <c r="H1298">
        <f t="shared" ca="1" si="104"/>
        <v>2.7734061915583084</v>
      </c>
    </row>
    <row r="1299" spans="1:8" x14ac:dyDescent="0.25">
      <c r="A1299" s="1">
        <v>42065</v>
      </c>
      <c r="B1299">
        <v>569.7782747</v>
      </c>
      <c r="C1299" s="6">
        <v>-2.3173409305065874E-2</v>
      </c>
      <c r="D1299" s="6">
        <f t="shared" ca="1" si="102"/>
        <v>-5.3948028355785002E-3</v>
      </c>
      <c r="E1299" s="6">
        <f t="shared" ca="1" si="103"/>
        <v>1.7778606469487375E-2</v>
      </c>
      <c r="F1299">
        <f t="shared" ca="1" si="101"/>
        <v>1.10171581916083E-2</v>
      </c>
      <c r="G1299">
        <f t="shared" ca="1" si="100"/>
        <v>0.38333905640348565</v>
      </c>
      <c r="H1299">
        <f t="shared" ca="1" si="104"/>
        <v>2.5340436931558408</v>
      </c>
    </row>
    <row r="1300" spans="1:8" x14ac:dyDescent="0.25">
      <c r="A1300" s="5">
        <v>42066</v>
      </c>
      <c r="B1300">
        <v>572.07198640000001</v>
      </c>
      <c r="C1300" s="6">
        <v>-4.0256215476234215E-3</v>
      </c>
      <c r="D1300" s="6">
        <f t="shared" ca="1" si="102"/>
        <v>-1.0151285635194914E-2</v>
      </c>
      <c r="E1300" s="6">
        <f t="shared" ca="1" si="103"/>
        <v>-6.125664087571492E-3</v>
      </c>
      <c r="F1300">
        <f t="shared" ca="1" si="101"/>
        <v>9.4621258317191224E-3</v>
      </c>
      <c r="G1300">
        <f t="shared" ca="1" si="100"/>
        <v>-0.8224861889543057</v>
      </c>
      <c r="H1300">
        <f t="shared" ca="1" si="104"/>
        <v>2.7879245522578389</v>
      </c>
    </row>
    <row r="1301" spans="1:8" x14ac:dyDescent="0.25">
      <c r="A1301" s="1">
        <v>42067</v>
      </c>
      <c r="B1301">
        <v>571.80269869999995</v>
      </c>
      <c r="C1301" s="6">
        <v>4.7072345159683126E-4</v>
      </c>
      <c r="D1301" s="6">
        <f t="shared" ca="1" si="102"/>
        <v>1.4579503246057671E-3</v>
      </c>
      <c r="E1301" s="6">
        <f t="shared" ca="1" si="103"/>
        <v>9.8722687300893588E-4</v>
      </c>
      <c r="F1301">
        <f t="shared" ca="1" si="101"/>
        <v>1.4835251708532254E-2</v>
      </c>
      <c r="G1301">
        <f t="shared" ca="1" si="100"/>
        <v>0.80207313796696655</v>
      </c>
      <c r="H1301">
        <f t="shared" ca="1" si="104"/>
        <v>2.8177801244277974</v>
      </c>
    </row>
    <row r="1302" spans="1:8" x14ac:dyDescent="0.25">
      <c r="A1302" s="5">
        <v>42068</v>
      </c>
      <c r="B1302">
        <v>573.7573582</v>
      </c>
      <c r="C1302" s="6">
        <v>-3.4184160103546014E-3</v>
      </c>
      <c r="D1302" s="6">
        <f t="shared" ca="1" si="102"/>
        <v>-7.6547265621163593E-3</v>
      </c>
      <c r="E1302" s="6">
        <f t="shared" ca="1" si="103"/>
        <v>-4.2363105517617579E-3</v>
      </c>
      <c r="F1302">
        <f t="shared" ca="1" si="101"/>
        <v>1.4834556928114319E-2</v>
      </c>
      <c r="G1302">
        <f t="shared" ca="1" si="100"/>
        <v>-0.39374028638193198</v>
      </c>
      <c r="H1302">
        <f t="shared" ca="1" si="104"/>
        <v>2.8045642338956398</v>
      </c>
    </row>
    <row r="1303" spans="1:8" x14ac:dyDescent="0.25">
      <c r="A1303" s="1">
        <v>42069</v>
      </c>
      <c r="B1303">
        <v>566.13323920000005</v>
      </c>
      <c r="C1303" s="6">
        <v>1.3288054420632528E-2</v>
      </c>
      <c r="D1303" s="6">
        <f t="shared" ca="1" si="102"/>
        <v>5.5881084708199295E-3</v>
      </c>
      <c r="E1303" s="6">
        <f t="shared" ca="1" si="103"/>
        <v>-7.6999459498125981E-3</v>
      </c>
      <c r="F1303">
        <f t="shared" ca="1" si="101"/>
        <v>9.8901800578806345E-3</v>
      </c>
      <c r="G1303">
        <f t="shared" ca="1" si="100"/>
        <v>0.54357729324019888</v>
      </c>
      <c r="H1303">
        <f t="shared" ca="1" si="104"/>
        <v>2.7692477773833697</v>
      </c>
    </row>
    <row r="1304" spans="1:8" x14ac:dyDescent="0.25">
      <c r="A1304" s="5">
        <v>42072</v>
      </c>
      <c r="B1304">
        <v>567.29504840000004</v>
      </c>
      <c r="C1304" s="6">
        <v>-2.0521833369857244E-3</v>
      </c>
      <c r="D1304" s="6">
        <f t="shared" ca="1" si="102"/>
        <v>1.7005906159682109E-2</v>
      </c>
      <c r="E1304" s="6">
        <f t="shared" ca="1" si="103"/>
        <v>1.9058089496667832E-2</v>
      </c>
      <c r="F1304">
        <f t="shared" ca="1" si="101"/>
        <v>1.1190268571286565E-2</v>
      </c>
      <c r="G1304">
        <f t="shared" ca="1" si="100"/>
        <v>1.6573219167715236</v>
      </c>
      <c r="H1304">
        <f t="shared" ca="1" si="104"/>
        <v>2.4920190877498363</v>
      </c>
    </row>
    <row r="1305" spans="1:8" x14ac:dyDescent="0.25">
      <c r="A1305" s="1">
        <v>42073</v>
      </c>
      <c r="B1305">
        <v>553.49292319999995</v>
      </c>
      <c r="C1305" s="6">
        <v>2.4329712094134488E-2</v>
      </c>
      <c r="D1305" s="6">
        <f t="shared" ca="1" si="102"/>
        <v>1.1960716454524846E-2</v>
      </c>
      <c r="E1305" s="6">
        <f t="shared" ca="1" si="103"/>
        <v>-1.2368995639609642E-2</v>
      </c>
      <c r="F1305">
        <f t="shared" ca="1" si="101"/>
        <v>2.7214835314175144E-2</v>
      </c>
      <c r="G1305">
        <f t="shared" ca="1" si="100"/>
        <v>0.21950254068100417</v>
      </c>
      <c r="H1305">
        <f t="shared" ca="1" si="104"/>
        <v>2.6881308900296217</v>
      </c>
    </row>
    <row r="1306" spans="1:8" x14ac:dyDescent="0.25">
      <c r="A1306" s="5">
        <v>42074</v>
      </c>
      <c r="B1306">
        <v>549.67338670000004</v>
      </c>
      <c r="C1306" s="6">
        <v>6.9007865139763605E-3</v>
      </c>
      <c r="D1306" s="6">
        <f t="shared" ca="1" si="102"/>
        <v>-1.8724553204515132E-2</v>
      </c>
      <c r="E1306" s="6">
        <f t="shared" ca="1" si="103"/>
        <v>-2.5625339718491492E-2</v>
      </c>
      <c r="F1306">
        <f t="shared" ca="1" si="101"/>
        <v>1.0202393835205662E-2</v>
      </c>
      <c r="G1306">
        <f t="shared" ca="1" si="100"/>
        <v>-1.7447209472257013</v>
      </c>
      <c r="H1306">
        <f t="shared" ca="1" si="104"/>
        <v>2.2481238078464232</v>
      </c>
    </row>
    <row r="1307" spans="1:8" x14ac:dyDescent="0.25">
      <c r="A1307" s="1">
        <v>42075</v>
      </c>
      <c r="B1307">
        <v>553.99152130000004</v>
      </c>
      <c r="C1307" s="6">
        <v>-7.8558189362672431E-3</v>
      </c>
      <c r="D1307" s="6">
        <f t="shared" ca="1" si="102"/>
        <v>4.5517761905977491E-2</v>
      </c>
      <c r="E1307" s="6">
        <f t="shared" ca="1" si="103"/>
        <v>5.3373580842244736E-2</v>
      </c>
      <c r="F1307">
        <f t="shared" ca="1" si="101"/>
        <v>2.8526247479140499E-2</v>
      </c>
      <c r="G1307">
        <f t="shared" ca="1" si="100"/>
        <v>1.2113660438898028</v>
      </c>
      <c r="H1307">
        <f t="shared" ca="1" si="104"/>
        <v>0.28700927429213252</v>
      </c>
    </row>
    <row r="1308" spans="1:8" x14ac:dyDescent="0.25">
      <c r="A1308" s="5">
        <v>42076</v>
      </c>
      <c r="B1308">
        <v>545.82394339999996</v>
      </c>
      <c r="C1308" s="6">
        <v>1.4743146033776822E-2</v>
      </c>
      <c r="D1308" s="6">
        <f t="shared" ca="1" si="102"/>
        <v>-3.8098762289188626E-2</v>
      </c>
      <c r="E1308" s="6">
        <f t="shared" ca="1" si="103"/>
        <v>-5.2841908322965446E-2</v>
      </c>
      <c r="F1308">
        <f t="shared" ca="1" si="101"/>
        <v>2.1541591565905502E-2</v>
      </c>
      <c r="G1308">
        <f t="shared" ca="1" si="100"/>
        <v>-1.9129426603887885</v>
      </c>
      <c r="H1308">
        <f t="shared" ca="1" si="104"/>
        <v>0.37266049909728816</v>
      </c>
    </row>
    <row r="1309" spans="1:8" x14ac:dyDescent="0.25">
      <c r="A1309" s="1">
        <v>42079</v>
      </c>
      <c r="B1309">
        <v>552.99426329999994</v>
      </c>
      <c r="C1309" s="6">
        <v>-1.3136689928505583E-2</v>
      </c>
      <c r="D1309" s="6">
        <f t="shared" ca="1" si="102"/>
        <v>5.1624848000672491E-2</v>
      </c>
      <c r="E1309" s="6">
        <f t="shared" ca="1" si="103"/>
        <v>6.4761537929178076E-2</v>
      </c>
      <c r="F1309">
        <f t="shared" ca="1" si="101"/>
        <v>3.1474203179817188E-2</v>
      </c>
      <c r="G1309">
        <f t="shared" ca="1" si="100"/>
        <v>1.7526765465813998</v>
      </c>
      <c r="H1309">
        <f t="shared" ca="1" si="104"/>
        <v>-0.90405186309366725</v>
      </c>
    </row>
    <row r="1310" spans="1:8" x14ac:dyDescent="0.25">
      <c r="A1310" s="5">
        <v>42080</v>
      </c>
      <c r="B1310">
        <v>549.33427380000001</v>
      </c>
      <c r="C1310" s="6">
        <v>6.618494517753053E-3</v>
      </c>
      <c r="D1310" s="6">
        <f t="shared" ca="1" si="102"/>
        <v>7.6375480357796718E-2</v>
      </c>
      <c r="E1310" s="6">
        <f t="shared" ca="1" si="103"/>
        <v>6.9756985840043667E-2</v>
      </c>
      <c r="F1310">
        <f t="shared" ca="1" si="101"/>
        <v>2.9613364891759544E-2</v>
      </c>
      <c r="G1310">
        <f t="shared" ca="1" si="100"/>
        <v>2.3547837743096989</v>
      </c>
      <c r="H1310">
        <f t="shared" ca="1" si="104"/>
        <v>-1.4987480761255711</v>
      </c>
    </row>
    <row r="1311" spans="1:8" x14ac:dyDescent="0.25">
      <c r="A1311" s="1">
        <v>42081</v>
      </c>
      <c r="B1311">
        <v>557.97060469999997</v>
      </c>
      <c r="C1311" s="6">
        <v>-1.5721449237562503E-2</v>
      </c>
      <c r="D1311" s="6">
        <f t="shared" ca="1" si="102"/>
        <v>-1.0992685889286622E-2</v>
      </c>
      <c r="E1311" s="6">
        <f t="shared" ca="1" si="103"/>
        <v>4.7287633482758808E-3</v>
      </c>
      <c r="F1311">
        <f t="shared" ca="1" si="101"/>
        <v>3.8586366700210262E-2</v>
      </c>
      <c r="G1311">
        <f t="shared" ca="1" si="100"/>
        <v>-0.13149641222713671</v>
      </c>
      <c r="H1311">
        <f t="shared" ca="1" si="104"/>
        <v>2.7976451662545885</v>
      </c>
    </row>
    <row r="1312" spans="1:8" x14ac:dyDescent="0.25">
      <c r="A1312" s="5">
        <v>42082</v>
      </c>
      <c r="B1312">
        <v>556.46473809999998</v>
      </c>
      <c r="C1312" s="6">
        <v>2.6988278366557299E-3</v>
      </c>
      <c r="D1312" s="6">
        <f t="shared" ca="1" si="102"/>
        <v>1.1843417115498899E-2</v>
      </c>
      <c r="E1312" s="6">
        <f t="shared" ca="1" si="103"/>
        <v>9.1445892788431689E-3</v>
      </c>
      <c r="F1312">
        <f t="shared" ca="1" si="101"/>
        <v>1.1992589349970209E-2</v>
      </c>
      <c r="G1312">
        <f t="shared" ca="1" si="100"/>
        <v>0.73892871557309292</v>
      </c>
      <c r="H1312">
        <f t="shared" ca="1" si="104"/>
        <v>2.7420931551369994</v>
      </c>
    </row>
    <row r="1313" spans="1:8" x14ac:dyDescent="0.25">
      <c r="A1313" s="1">
        <v>42083</v>
      </c>
      <c r="B1313">
        <v>558.82827399999996</v>
      </c>
      <c r="C1313" s="6">
        <v>-4.2474136062422823E-3</v>
      </c>
      <c r="D1313" s="6">
        <f t="shared" ca="1" si="102"/>
        <v>-1.484013655755987E-3</v>
      </c>
      <c r="E1313" s="6">
        <f t="shared" ca="1" si="103"/>
        <v>2.7633999504862953E-3</v>
      </c>
      <c r="F1313">
        <f t="shared" ca="1" si="101"/>
        <v>1.3815391604030452E-2</v>
      </c>
      <c r="G1313">
        <f t="shared" ca="1" si="100"/>
        <v>0.40529792039390189</v>
      </c>
      <c r="H1313">
        <f t="shared" ca="1" si="104"/>
        <v>2.8113023033860949</v>
      </c>
    </row>
    <row r="1314" spans="1:8" x14ac:dyDescent="0.25">
      <c r="A1314" s="5">
        <v>42086</v>
      </c>
      <c r="B1314">
        <v>557.28249089999997</v>
      </c>
      <c r="C1314" s="6">
        <v>2.7661146937600985E-3</v>
      </c>
      <c r="D1314" s="6">
        <f t="shared" ca="1" si="102"/>
        <v>1.5356085400234165E-2</v>
      </c>
      <c r="E1314" s="6">
        <f t="shared" ca="1" si="103"/>
        <v>1.2589970706474067E-2</v>
      </c>
      <c r="F1314">
        <f t="shared" ca="1" si="101"/>
        <v>9.9133965736757507E-3</v>
      </c>
      <c r="G1314">
        <f t="shared" ca="1" si="100"/>
        <v>1.4263708697514492</v>
      </c>
      <c r="H1314">
        <f t="shared" ca="1" si="104"/>
        <v>2.6748475881805516</v>
      </c>
    </row>
    <row r="1315" spans="1:8" x14ac:dyDescent="0.25">
      <c r="A1315" s="1">
        <v>42087</v>
      </c>
      <c r="B1315">
        <v>568.63141940000003</v>
      </c>
      <c r="C1315" s="6">
        <v>-2.0364767753014754E-2</v>
      </c>
      <c r="D1315" s="6">
        <f t="shared" ca="1" si="102"/>
        <v>1.0491321503970525E-2</v>
      </c>
      <c r="E1315" s="6">
        <f t="shared" ca="1" si="103"/>
        <v>3.0856089256985277E-2</v>
      </c>
      <c r="F1315">
        <f t="shared" ca="1" si="101"/>
        <v>2.367778780274064E-2</v>
      </c>
      <c r="G1315">
        <f t="shared" ca="1" si="100"/>
        <v>0.52390778459804654</v>
      </c>
      <c r="H1315">
        <f t="shared" ca="1" si="104"/>
        <v>1.9683571271263398</v>
      </c>
    </row>
    <row r="1316" spans="1:8" x14ac:dyDescent="0.25">
      <c r="A1316" s="5">
        <v>42088</v>
      </c>
      <c r="B1316">
        <v>557.25758829999995</v>
      </c>
      <c r="C1316" s="6">
        <v>2.0002115099445866E-2</v>
      </c>
      <c r="D1316" s="6">
        <f t="shared" ca="1" si="102"/>
        <v>7.7898856305967882E-3</v>
      </c>
      <c r="E1316" s="6">
        <f t="shared" ca="1" si="103"/>
        <v>-1.2212229468849077E-2</v>
      </c>
      <c r="F1316">
        <f t="shared" ca="1" si="101"/>
        <v>1.2219865712032216E-2</v>
      </c>
      <c r="G1316">
        <f t="shared" ca="1" si="100"/>
        <v>0.53551573454235513</v>
      </c>
      <c r="H1316">
        <f t="shared" ca="1" si="104"/>
        <v>2.6914786842652343</v>
      </c>
    </row>
    <row r="1317" spans="1:8" x14ac:dyDescent="0.25">
      <c r="A1317" s="1">
        <v>42089</v>
      </c>
      <c r="B1317">
        <v>553.65246909999996</v>
      </c>
      <c r="C1317" s="6">
        <v>6.4693945415762949E-3</v>
      </c>
      <c r="D1317" s="6">
        <f t="shared" ca="1" si="102"/>
        <v>-1.3305312161737685E-2</v>
      </c>
      <c r="E1317" s="6">
        <f t="shared" ca="1" si="103"/>
        <v>-1.977470670331398E-2</v>
      </c>
      <c r="F1317">
        <f t="shared" ca="1" si="101"/>
        <v>1.1238851329667279E-2</v>
      </c>
      <c r="G1317">
        <f t="shared" ca="1" si="100"/>
        <v>-0.36748915112903013</v>
      </c>
      <c r="H1317">
        <f t="shared" ca="1" si="104"/>
        <v>2.4805554736062363</v>
      </c>
    </row>
    <row r="1318" spans="1:8" x14ac:dyDescent="0.25">
      <c r="A1318" s="5">
        <v>42090</v>
      </c>
      <c r="B1318">
        <v>546.84115959999997</v>
      </c>
      <c r="C1318" s="6">
        <v>1.2302499998008216E-2</v>
      </c>
      <c r="D1318" s="6">
        <f t="shared" ca="1" si="102"/>
        <v>1.6222356263204642E-2</v>
      </c>
      <c r="E1318" s="6">
        <f t="shared" ca="1" si="103"/>
        <v>3.9198562651964267E-3</v>
      </c>
      <c r="F1318">
        <f t="shared" ca="1" si="101"/>
        <v>9.320162306720222E-3</v>
      </c>
      <c r="G1318">
        <f t="shared" ca="1" si="100"/>
        <v>0.77360861267296432</v>
      </c>
      <c r="H1318">
        <f t="shared" ca="1" si="104"/>
        <v>2.8040917237139689</v>
      </c>
    </row>
    <row r="1319" spans="1:8" x14ac:dyDescent="0.25">
      <c r="A1319" s="1">
        <v>42093</v>
      </c>
      <c r="B1319">
        <v>550.52104650000001</v>
      </c>
      <c r="C1319" s="6">
        <v>-6.729352455275648E-3</v>
      </c>
      <c r="D1319" s="6">
        <f t="shared" ca="1" si="102"/>
        <v>-2.189011111032884E-2</v>
      </c>
      <c r="E1319" s="6">
        <f t="shared" ca="1" si="103"/>
        <v>-1.5160758655053192E-2</v>
      </c>
      <c r="F1319">
        <f t="shared" ca="1" si="101"/>
        <v>1.415571737051138E-2</v>
      </c>
      <c r="G1319">
        <f t="shared" ca="1" si="100"/>
        <v>-1.7523057611448734</v>
      </c>
      <c r="H1319">
        <f t="shared" ca="1" si="104"/>
        <v>2.6212476035101644</v>
      </c>
    </row>
    <row r="1320" spans="1:8" x14ac:dyDescent="0.25">
      <c r="A1320" s="5">
        <v>42094</v>
      </c>
      <c r="B1320">
        <v>546.50204659999997</v>
      </c>
      <c r="C1320" s="6">
        <v>7.3003564996311906E-3</v>
      </c>
      <c r="D1320" s="6">
        <f t="shared" ca="1" si="102"/>
        <v>-4.4225974682019657E-2</v>
      </c>
      <c r="E1320" s="6">
        <f t="shared" ca="1" si="103"/>
        <v>-5.1526331181650849E-2</v>
      </c>
      <c r="F1320">
        <f t="shared" ca="1" si="101"/>
        <v>2.8748843312002829E-2</v>
      </c>
      <c r="G1320">
        <f t="shared" ca="1" si="100"/>
        <v>-1.7311597328540247</v>
      </c>
      <c r="H1320">
        <f t="shared" ca="1" si="104"/>
        <v>0.49338586799161105</v>
      </c>
    </row>
    <row r="1321" spans="1:8" x14ac:dyDescent="0.25">
      <c r="A1321" s="1">
        <v>42095</v>
      </c>
      <c r="B1321">
        <v>541.0769123</v>
      </c>
      <c r="C1321" s="6">
        <v>9.9270155230924036E-3</v>
      </c>
      <c r="D1321" s="6">
        <f t="shared" ca="1" si="102"/>
        <v>4.1303646055849963E-2</v>
      </c>
      <c r="E1321" s="6">
        <f t="shared" ca="1" si="103"/>
        <v>3.1376630532757563E-2</v>
      </c>
      <c r="F1321">
        <f t="shared" ca="1" si="101"/>
        <v>2.9116533613493895E-2</v>
      </c>
      <c r="G1321">
        <f t="shared" ca="1" si="100"/>
        <v>1.522690929502809</v>
      </c>
      <c r="H1321">
        <f t="shared" ca="1" si="104"/>
        <v>1.9395938017477041</v>
      </c>
    </row>
    <row r="1322" spans="1:8" x14ac:dyDescent="0.25">
      <c r="A1322" s="5">
        <v>42096</v>
      </c>
      <c r="B1322">
        <v>534.0661384</v>
      </c>
      <c r="C1322" s="6">
        <v>1.2957074568564998E-2</v>
      </c>
      <c r="D1322" s="6">
        <f t="shared" ca="1" si="102"/>
        <v>-3.4316919049324955E-2</v>
      </c>
      <c r="E1322" s="6">
        <f t="shared" ca="1" si="103"/>
        <v>-4.7273993617889955E-2</v>
      </c>
      <c r="F1322">
        <f t="shared" ca="1" si="101"/>
        <v>2.6063346840604476E-2</v>
      </c>
      <c r="G1322">
        <f t="shared" ca="1" si="100"/>
        <v>-1.4428810559055596</v>
      </c>
      <c r="H1322">
        <f t="shared" ca="1" si="104"/>
        <v>0.86271199070531823</v>
      </c>
    </row>
    <row r="1323" spans="1:8" x14ac:dyDescent="0.25">
      <c r="A1323" s="1">
        <v>42100</v>
      </c>
      <c r="B1323">
        <v>535.29777200000001</v>
      </c>
      <c r="C1323" s="6">
        <v>-2.306144335774292E-3</v>
      </c>
      <c r="D1323" s="6">
        <f t="shared" ca="1" si="102"/>
        <v>5.9563224067615619E-3</v>
      </c>
      <c r="E1323" s="6">
        <f t="shared" ca="1" si="103"/>
        <v>8.2624667425358535E-3</v>
      </c>
      <c r="F1323">
        <f t="shared" ca="1" si="101"/>
        <v>2.4685127321749961E-2</v>
      </c>
      <c r="G1323">
        <f t="shared" ca="1" si="100"/>
        <v>6.0093776333121615E-2</v>
      </c>
      <c r="H1323">
        <f t="shared" ca="1" si="104"/>
        <v>2.7559412834898502</v>
      </c>
    </row>
    <row r="1324" spans="1:8" x14ac:dyDescent="0.25">
      <c r="A1324" s="5">
        <v>42101</v>
      </c>
      <c r="B1324">
        <v>535.55204590000005</v>
      </c>
      <c r="C1324" s="6">
        <v>-4.7501393299287598E-4</v>
      </c>
      <c r="D1324" s="6">
        <f t="shared" ca="1" si="102"/>
        <v>-7.8039637160681134E-4</v>
      </c>
      <c r="E1324" s="6">
        <f t="shared" ca="1" si="103"/>
        <v>-3.0538243861393536E-4</v>
      </c>
      <c r="F1324">
        <f t="shared" ca="1" si="101"/>
        <v>9.1979183827697389E-3</v>
      </c>
      <c r="G1324">
        <f t="shared" ca="1" si="100"/>
        <v>-0.71953865980608256</v>
      </c>
      <c r="H1324">
        <f t="shared" ca="1" si="104"/>
        <v>2.8189937752026202</v>
      </c>
    </row>
    <row r="1325" spans="1:8" x14ac:dyDescent="0.25">
      <c r="A1325" s="1">
        <v>42102</v>
      </c>
      <c r="B1325">
        <v>540.12952040000005</v>
      </c>
      <c r="C1325" s="6">
        <v>-8.5472075684213042E-3</v>
      </c>
      <c r="D1325" s="6">
        <f t="shared" ca="1" si="102"/>
        <v>1.5583894911106413E-2</v>
      </c>
      <c r="E1325" s="6">
        <f t="shared" ca="1" si="103"/>
        <v>2.4131102479527718E-2</v>
      </c>
      <c r="F1325">
        <f t="shared" ca="1" si="101"/>
        <v>1.3417460905310409E-2</v>
      </c>
      <c r="G1325">
        <f t="shared" ca="1" si="100"/>
        <v>1.2389044529486211</v>
      </c>
      <c r="H1325">
        <f t="shared" ca="1" si="104"/>
        <v>2.2969568491135268</v>
      </c>
    </row>
    <row r="1326" spans="1:8" x14ac:dyDescent="0.25">
      <c r="A1326" s="5">
        <v>42103</v>
      </c>
      <c r="B1326">
        <v>539.30181889999994</v>
      </c>
      <c r="C1326" s="6">
        <v>1.532413002324216E-3</v>
      </c>
      <c r="D1326" s="6">
        <f t="shared" ca="1" si="102"/>
        <v>4.6747136820496481E-3</v>
      </c>
      <c r="E1326" s="6">
        <f t="shared" ca="1" si="103"/>
        <v>3.142300679725432E-3</v>
      </c>
      <c r="F1326">
        <f t="shared" ca="1" si="101"/>
        <v>2.0993633256368393E-2</v>
      </c>
      <c r="G1326">
        <f t="shared" ca="1" si="100"/>
        <v>0.23287421563779095</v>
      </c>
      <c r="H1326">
        <f t="shared" ca="1" si="104"/>
        <v>2.809199827114591</v>
      </c>
    </row>
    <row r="1327" spans="1:8" x14ac:dyDescent="0.25">
      <c r="A1327" s="1">
        <v>42104</v>
      </c>
      <c r="B1327">
        <v>538.53387129999999</v>
      </c>
      <c r="C1327" s="6">
        <v>1.4239662709951909E-3</v>
      </c>
      <c r="D1327" s="6">
        <f t="shared" ca="1" si="102"/>
        <v>-4.9998063583904084E-3</v>
      </c>
      <c r="E1327" s="6">
        <f t="shared" ca="1" si="103"/>
        <v>-6.4237726293855995E-3</v>
      </c>
      <c r="F1327">
        <f t="shared" ca="1" si="101"/>
        <v>9.3047175492663361E-3</v>
      </c>
      <c r="G1327">
        <f t="shared" ca="1" si="100"/>
        <v>-0.12346728023787383</v>
      </c>
      <c r="H1327">
        <f t="shared" ca="1" si="104"/>
        <v>2.7847236187169857</v>
      </c>
    </row>
    <row r="1328" spans="1:8" x14ac:dyDescent="0.25">
      <c r="A1328" s="5">
        <v>42107</v>
      </c>
      <c r="B1328">
        <v>537.69622100000004</v>
      </c>
      <c r="C1328" s="6">
        <v>1.555427327120381E-3</v>
      </c>
      <c r="D1328" s="6">
        <f t="shared" ca="1" si="102"/>
        <v>-6.2164230592630127E-4</v>
      </c>
      <c r="E1328" s="6">
        <f t="shared" ca="1" si="103"/>
        <v>-2.1770696330466821E-3</v>
      </c>
      <c r="F1328">
        <f t="shared" ca="1" si="101"/>
        <v>7.3723110609809871E-3</v>
      </c>
      <c r="G1328">
        <f t="shared" ca="1" si="100"/>
        <v>-0.17797745309184099</v>
      </c>
      <c r="H1328">
        <f t="shared" ca="1" si="104"/>
        <v>2.8155245557703057</v>
      </c>
    </row>
    <row r="1329" spans="1:8" x14ac:dyDescent="0.25">
      <c r="A1329" s="1">
        <v>42108</v>
      </c>
      <c r="B1329">
        <v>528.94019969999999</v>
      </c>
      <c r="C1329" s="6">
        <v>1.6284327391618478E-2</v>
      </c>
      <c r="D1329" s="6">
        <f t="shared" ca="1" si="102"/>
        <v>-1.3888151462148043E-2</v>
      </c>
      <c r="E1329" s="6">
        <f t="shared" ca="1" si="103"/>
        <v>-3.0172478853766522E-2</v>
      </c>
      <c r="F1329">
        <f t="shared" ca="1" si="101"/>
        <v>7.5113545588195605E-3</v>
      </c>
      <c r="G1329">
        <f t="shared" ca="1" si="100"/>
        <v>-1.9343721478565394</v>
      </c>
      <c r="H1329">
        <f t="shared" ca="1" si="104"/>
        <v>2.0257528982028541</v>
      </c>
    </row>
    <row r="1330" spans="1:8" x14ac:dyDescent="0.25">
      <c r="A1330" s="5">
        <v>42109</v>
      </c>
      <c r="B1330">
        <v>531.07436429999996</v>
      </c>
      <c r="C1330" s="6">
        <v>-4.0347937275525686E-3</v>
      </c>
      <c r="D1330" s="6">
        <f t="shared" ca="1" si="102"/>
        <v>-1.017988595138947E-2</v>
      </c>
      <c r="E1330" s="6">
        <f t="shared" ca="1" si="103"/>
        <v>-6.1450922238369017E-3</v>
      </c>
      <c r="F1330">
        <f t="shared" ca="1" si="101"/>
        <v>3.1391217482063062E-2</v>
      </c>
      <c r="G1330">
        <f t="shared" ca="1" si="100"/>
        <v>-0.34662446168957911</v>
      </c>
      <c r="H1330">
        <f t="shared" ca="1" si="104"/>
        <v>2.7877207210763624</v>
      </c>
    </row>
    <row r="1331" spans="1:8" x14ac:dyDescent="0.25">
      <c r="A1331" s="1">
        <v>42110</v>
      </c>
      <c r="B1331">
        <v>532.34084919999998</v>
      </c>
      <c r="C1331" s="6">
        <v>-2.3847599981018765E-3</v>
      </c>
      <c r="D1331" s="6">
        <f t="shared" ca="1" si="102"/>
        <v>2.8055534911232648E-2</v>
      </c>
      <c r="E1331" s="6">
        <f t="shared" ca="1" si="103"/>
        <v>3.0440294909334524E-2</v>
      </c>
      <c r="F1331">
        <f t="shared" ca="1" si="101"/>
        <v>1.1731714792184099E-2</v>
      </c>
      <c r="G1331">
        <f t="shared" ca="1" si="100"/>
        <v>1.7660321262080598</v>
      </c>
      <c r="H1331">
        <f t="shared" ca="1" si="104"/>
        <v>1.9909889252326389</v>
      </c>
    </row>
    <row r="1332" spans="1:8" x14ac:dyDescent="0.25">
      <c r="A1332" s="5">
        <v>42111</v>
      </c>
      <c r="B1332">
        <v>522.61753950000002</v>
      </c>
      <c r="C1332" s="6">
        <v>1.8265195531419608E-2</v>
      </c>
      <c r="D1332" s="6">
        <f t="shared" ca="1" si="102"/>
        <v>3.6295671880213522E-2</v>
      </c>
      <c r="E1332" s="6">
        <f t="shared" ca="1" si="103"/>
        <v>1.8030476348793914E-2</v>
      </c>
      <c r="F1332">
        <f t="shared" ca="1" si="101"/>
        <v>2.8889549204097264E-2</v>
      </c>
      <c r="G1332">
        <f t="shared" ca="1" si="100"/>
        <v>1.3192873070405837</v>
      </c>
      <c r="H1332">
        <f t="shared" ca="1" si="104"/>
        <v>2.5259994385582578</v>
      </c>
    </row>
    <row r="1333" spans="1:8" x14ac:dyDescent="0.25">
      <c r="A1333" s="1">
        <v>42114</v>
      </c>
      <c r="B1333">
        <v>533.91654010000002</v>
      </c>
      <c r="C1333" s="6">
        <v>-2.162001797874983E-2</v>
      </c>
      <c r="D1333" s="6">
        <f t="shared" ca="1" si="102"/>
        <v>2.1530680891285788E-2</v>
      </c>
      <c r="E1333" s="6">
        <f t="shared" ca="1" si="103"/>
        <v>4.3150698870035614E-2</v>
      </c>
      <c r="F1333">
        <f t="shared" ca="1" si="101"/>
        <v>2.3102789997631632E-2</v>
      </c>
      <c r="G1333">
        <f t="shared" ca="1" si="100"/>
        <v>0.97844671109527592</v>
      </c>
      <c r="H1333">
        <f t="shared" ca="1" si="104"/>
        <v>1.1612529484881495</v>
      </c>
    </row>
    <row r="1334" spans="1:8" x14ac:dyDescent="0.25">
      <c r="A1334" s="5">
        <v>42115</v>
      </c>
      <c r="B1334">
        <v>532.51040569999998</v>
      </c>
      <c r="C1334" s="6">
        <v>2.6336221008187526E-3</v>
      </c>
      <c r="D1334" s="6">
        <f t="shared" ca="1" si="102"/>
        <v>2.5516274048533551E-2</v>
      </c>
      <c r="E1334" s="6">
        <f t="shared" ca="1" si="103"/>
        <v>2.2882651947714799E-2</v>
      </c>
      <c r="F1334">
        <f t="shared" ca="1" si="101"/>
        <v>1.7848883362502996E-2</v>
      </c>
      <c r="G1334">
        <f t="shared" ca="1" si="100"/>
        <v>0.96852677172426593</v>
      </c>
      <c r="H1334">
        <f t="shared" ca="1" si="104"/>
        <v>2.3491746390298571</v>
      </c>
    </row>
    <row r="1335" spans="1:8" x14ac:dyDescent="0.25">
      <c r="A1335" s="1">
        <v>42116</v>
      </c>
      <c r="B1335">
        <v>537.89067910000006</v>
      </c>
      <c r="C1335" s="6">
        <v>-1.0103602375483267E-2</v>
      </c>
      <c r="D1335" s="6">
        <f t="shared" ca="1" si="102"/>
        <v>-6.5921459727445158E-3</v>
      </c>
      <c r="E1335" s="6">
        <f t="shared" ca="1" si="103"/>
        <v>3.5114564027387517E-3</v>
      </c>
      <c r="F1335">
        <f t="shared" ca="1" si="101"/>
        <v>1.7323352262230841E-2</v>
      </c>
      <c r="G1335">
        <f t="shared" ca="1" si="100"/>
        <v>0.18176962397063476</v>
      </c>
      <c r="H1335">
        <f t="shared" ca="1" si="104"/>
        <v>2.8069077274340506</v>
      </c>
    </row>
    <row r="1336" spans="1:8" x14ac:dyDescent="0.25">
      <c r="A1336" s="5">
        <v>42117</v>
      </c>
      <c r="B1336">
        <v>545.50478859999998</v>
      </c>
      <c r="C1336" s="6">
        <v>-1.4155496266899201E-2</v>
      </c>
      <c r="D1336" s="6">
        <f t="shared" ca="1" si="102"/>
        <v>-5.1177470052050575E-3</v>
      </c>
      <c r="E1336" s="6">
        <f t="shared" ca="1" si="103"/>
        <v>9.0377492616941432E-3</v>
      </c>
      <c r="F1336">
        <f t="shared" ca="1" si="101"/>
        <v>8.5059580783915321E-3</v>
      </c>
      <c r="G1336">
        <f t="shared" ca="1" si="100"/>
        <v>-0.74114832108464523</v>
      </c>
      <c r="H1336">
        <f t="shared" ca="1" si="104"/>
        <v>2.7438434958104523</v>
      </c>
    </row>
    <row r="1337" spans="1:8" x14ac:dyDescent="0.25">
      <c r="A1337" s="1">
        <v>42118</v>
      </c>
      <c r="B1337">
        <v>563.51542940000002</v>
      </c>
      <c r="C1337" s="6">
        <v>-3.3016466906226595E-2</v>
      </c>
      <c r="D1337" s="6">
        <f t="shared" ca="1" si="102"/>
        <v>-1.6558983325975263E-2</v>
      </c>
      <c r="E1337" s="6">
        <f t="shared" ca="1" si="103"/>
        <v>1.6457483580251332E-2</v>
      </c>
      <c r="F1337">
        <f t="shared" ca="1" si="101"/>
        <v>1.3680411700885534E-2</v>
      </c>
      <c r="G1337">
        <f t="shared" ca="1" si="100"/>
        <v>-0.87764180273245951</v>
      </c>
      <c r="H1337">
        <f t="shared" ca="1" si="104"/>
        <v>2.5744039918825767</v>
      </c>
    </row>
    <row r="1338" spans="1:8" x14ac:dyDescent="0.25">
      <c r="A1338" s="5">
        <v>42121</v>
      </c>
      <c r="B1338">
        <v>555.36999500000002</v>
      </c>
      <c r="C1338" s="6">
        <v>1.4454678567848277E-2</v>
      </c>
      <c r="D1338" s="6">
        <f t="shared" ca="1" si="102"/>
        <v>-6.0795731510119699E-3</v>
      </c>
      <c r="E1338" s="6">
        <f t="shared" ca="1" si="103"/>
        <v>-2.0534251718860246E-2</v>
      </c>
      <c r="F1338">
        <f t="shared" ca="1" si="101"/>
        <v>1.5803604188210009E-2</v>
      </c>
      <c r="G1338">
        <f t="shared" ca="1" si="100"/>
        <v>1.890896575044056E-2</v>
      </c>
      <c r="H1338">
        <f t="shared" ca="1" si="104"/>
        <v>2.4537930517134225</v>
      </c>
    </row>
    <row r="1339" spans="1:8" x14ac:dyDescent="0.25">
      <c r="A1339" s="1">
        <v>42122</v>
      </c>
      <c r="B1339">
        <v>553.67999299999997</v>
      </c>
      <c r="C1339" s="6">
        <v>3.0430199960659551E-3</v>
      </c>
      <c r="D1339" s="6">
        <f t="shared" ca="1" si="102"/>
        <v>-4.6953150757934603E-3</v>
      </c>
      <c r="E1339" s="6">
        <f t="shared" ca="1" si="103"/>
        <v>-7.738335071859415E-3</v>
      </c>
      <c r="F1339">
        <f t="shared" ca="1" si="101"/>
        <v>7.8086677547340158E-3</v>
      </c>
      <c r="G1339">
        <f t="shared" ca="1" si="100"/>
        <v>1.303710679587188</v>
      </c>
      <c r="H1339">
        <f t="shared" ca="1" si="104"/>
        <v>2.7687377074430923</v>
      </c>
    </row>
    <row r="1340" spans="1:8" x14ac:dyDescent="0.25">
      <c r="A1340" s="5">
        <v>42123</v>
      </c>
      <c r="B1340">
        <v>549.080017</v>
      </c>
      <c r="C1340" s="6">
        <v>8.3080047286447096E-3</v>
      </c>
      <c r="D1340" s="6">
        <f t="shared" ca="1" si="102"/>
        <v>-1.6404090747216184E-2</v>
      </c>
      <c r="E1340" s="6">
        <f t="shared" ca="1" si="103"/>
        <v>-2.4712095475860896E-2</v>
      </c>
      <c r="F1340">
        <f t="shared" ca="1" si="101"/>
        <v>2.1781496841007754E-2</v>
      </c>
      <c r="G1340">
        <f t="shared" ca="1" si="100"/>
        <v>-1.0521222089985391</v>
      </c>
      <c r="H1340">
        <f t="shared" ca="1" si="104"/>
        <v>2.288383975513848</v>
      </c>
    </row>
    <row r="1341" spans="1:8" x14ac:dyDescent="0.25">
      <c r="A1341" s="1">
        <v>42124</v>
      </c>
      <c r="B1341">
        <v>537.34002699999996</v>
      </c>
      <c r="C1341" s="6">
        <v>2.1381200620163954E-2</v>
      </c>
      <c r="D1341" s="6">
        <f t="shared" ca="1" si="102"/>
        <v>-1.5838213890052456E-2</v>
      </c>
      <c r="E1341" s="6">
        <f t="shared" ca="1" si="103"/>
        <v>-3.721941451021641E-2</v>
      </c>
      <c r="F1341">
        <f t="shared" ca="1" si="101"/>
        <v>1.8768985673633377E-2</v>
      </c>
      <c r="G1341">
        <f t="shared" ca="1" si="100"/>
        <v>-0.91690650400479934</v>
      </c>
      <c r="H1341">
        <f t="shared" ca="1" si="104"/>
        <v>1.6090319355531053</v>
      </c>
    </row>
    <row r="1342" spans="1:8" x14ac:dyDescent="0.25">
      <c r="A1342" s="5">
        <v>42125</v>
      </c>
      <c r="B1342">
        <v>537.90002400000003</v>
      </c>
      <c r="C1342" s="6">
        <v>-1.0421650572479439E-3</v>
      </c>
      <c r="D1342" s="6">
        <f t="shared" ca="1" si="102"/>
        <v>9.175835900898887E-3</v>
      </c>
      <c r="E1342" s="6">
        <f t="shared" ca="1" si="103"/>
        <v>1.0218000958146831E-2</v>
      </c>
      <c r="F1342">
        <f t="shared" ca="1" si="101"/>
        <v>1.666941488416835E-2</v>
      </c>
      <c r="G1342">
        <f t="shared" ca="1" si="100"/>
        <v>0.32588145585728118</v>
      </c>
      <c r="H1342">
        <f t="shared" ca="1" si="104"/>
        <v>2.7233896305349292</v>
      </c>
    </row>
    <row r="1343" spans="1:8" x14ac:dyDescent="0.25">
      <c r="A1343" s="1">
        <v>42128</v>
      </c>
      <c r="B1343">
        <v>540.78002900000001</v>
      </c>
      <c r="C1343" s="6">
        <v>-5.3541641039227443E-3</v>
      </c>
      <c r="D1343" s="6">
        <f t="shared" ca="1" si="102"/>
        <v>-2.165889487615329E-3</v>
      </c>
      <c r="E1343" s="6">
        <f t="shared" ca="1" si="103"/>
        <v>3.1882746163074153E-3</v>
      </c>
      <c r="F1343">
        <f t="shared" ca="1" si="101"/>
        <v>9.4475914053612393E-3</v>
      </c>
      <c r="G1343">
        <f t="shared" ca="1" si="100"/>
        <v>-1.2489236347189634</v>
      </c>
      <c r="H1343">
        <f t="shared" ca="1" si="104"/>
        <v>2.8089274853646797</v>
      </c>
    </row>
    <row r="1344" spans="1:8" x14ac:dyDescent="0.25">
      <c r="A1344" s="5">
        <v>42129</v>
      </c>
      <c r="B1344">
        <v>530.79998799999998</v>
      </c>
      <c r="C1344" s="6">
        <v>1.845489933948731E-2</v>
      </c>
      <c r="D1344" s="6">
        <f t="shared" ca="1" si="102"/>
        <v>1.0846535451389125E-2</v>
      </c>
      <c r="E1344" s="6">
        <f t="shared" ca="1" si="103"/>
        <v>-7.6083638880981852E-3</v>
      </c>
      <c r="F1344">
        <f t="shared" ca="1" si="101"/>
        <v>2.1005114918929348E-2</v>
      </c>
      <c r="G1344">
        <f t="shared" ca="1" si="100"/>
        <v>0.53873443395156029</v>
      </c>
      <c r="H1344">
        <f t="shared" ca="1" si="104"/>
        <v>2.7704541089187855</v>
      </c>
    </row>
    <row r="1345" spans="1:8" x14ac:dyDescent="0.25">
      <c r="A1345" s="1">
        <v>42130</v>
      </c>
      <c r="B1345">
        <v>524.21997099999999</v>
      </c>
      <c r="C1345" s="6">
        <v>1.239641512576673E-2</v>
      </c>
      <c r="D1345" s="6">
        <f t="shared" ca="1" si="102"/>
        <v>-2.0107789854473111E-2</v>
      </c>
      <c r="E1345" s="6">
        <f t="shared" ca="1" si="103"/>
        <v>-3.2504204980239843E-2</v>
      </c>
      <c r="F1345">
        <f t="shared" ca="1" si="101"/>
        <v>1.2070371227169408E-2</v>
      </c>
      <c r="G1345">
        <f t="shared" ca="1" si="100"/>
        <v>-1.4660476538037626</v>
      </c>
      <c r="H1345">
        <f t="shared" ca="1" si="104"/>
        <v>1.8975686709277813</v>
      </c>
    </row>
    <row r="1346" spans="1:8" x14ac:dyDescent="0.25">
      <c r="A1346" s="5">
        <v>42131</v>
      </c>
      <c r="B1346">
        <v>530.70001200000002</v>
      </c>
      <c r="C1346" s="6">
        <v>-1.2361301282815929E-2</v>
      </c>
      <c r="D1346" s="6">
        <f t="shared" ca="1" si="102"/>
        <v>7.6625128208970203E-3</v>
      </c>
      <c r="E1346" s="6">
        <f t="shared" ca="1" si="103"/>
        <v>2.0023814103712949E-2</v>
      </c>
      <c r="F1346">
        <f t="shared" ca="1" si="101"/>
        <v>2.4338800260938386E-2</v>
      </c>
      <c r="G1346">
        <f t="shared" ca="1" si="100"/>
        <v>-2.681623053177222E-2</v>
      </c>
      <c r="H1346">
        <f t="shared" ca="1" si="104"/>
        <v>2.4583864264287469</v>
      </c>
    </row>
    <row r="1347" spans="1:8" x14ac:dyDescent="0.25">
      <c r="A1347" s="1">
        <v>42132</v>
      </c>
      <c r="B1347">
        <v>538.21997099999999</v>
      </c>
      <c r="C1347" s="6">
        <v>-1.4169886621370514E-2</v>
      </c>
      <c r="D1347" s="6">
        <f t="shared" ca="1" si="102"/>
        <v>4.6871521892261668E-3</v>
      </c>
      <c r="E1347" s="6">
        <f t="shared" ca="1" si="103"/>
        <v>1.885703881059668E-2</v>
      </c>
      <c r="F1347">
        <f t="shared" ca="1" si="101"/>
        <v>9.0994828339845697E-3</v>
      </c>
      <c r="G1347">
        <f t="shared" ref="G1347:G1410" ca="1" si="105">_xlfn.NORM.INV(RAND(),0,1)</f>
        <v>-9.8679672826489234E-2</v>
      </c>
      <c r="H1347">
        <f t="shared" ca="1" si="104"/>
        <v>2.4988139350017904</v>
      </c>
    </row>
    <row r="1348" spans="1:8" x14ac:dyDescent="0.25">
      <c r="A1348" s="5">
        <v>42135</v>
      </c>
      <c r="B1348">
        <v>535.70001200000002</v>
      </c>
      <c r="C1348" s="6">
        <v>4.682024331646311E-3</v>
      </c>
      <c r="D1348" s="6">
        <f t="shared" ca="1" si="102"/>
        <v>-1.9308871851085502E-2</v>
      </c>
      <c r="E1348" s="6">
        <f t="shared" ca="1" si="103"/>
        <v>-2.3990896182731813E-2</v>
      </c>
      <c r="F1348">
        <f t="shared" ref="F1348:F1411" ca="1" si="106">SQRT($K$6+$K$7*POWER($G1347,2)+$K$8*POWER($F1347,2))</f>
        <v>7.2617330944458663E-3</v>
      </c>
      <c r="G1348">
        <f t="shared" ca="1" si="105"/>
        <v>-1.8919956743549433</v>
      </c>
      <c r="H1348">
        <f t="shared" ca="1" si="104"/>
        <v>2.3191376483815298</v>
      </c>
    </row>
    <row r="1349" spans="1:8" x14ac:dyDescent="0.25">
      <c r="A1349" s="1">
        <v>42136</v>
      </c>
      <c r="B1349">
        <v>529.03997800000002</v>
      </c>
      <c r="C1349" s="6">
        <v>1.2432394718706849E-2</v>
      </c>
      <c r="D1349" s="6">
        <f t="shared" ref="D1349:D1412" ca="1" si="107">($K$10*$C1348)+($K$11*$C1347)+($F1349*$G1349)</f>
        <v>1.1661432927336476E-2</v>
      </c>
      <c r="E1349" s="6">
        <f t="shared" ca="1" si="103"/>
        <v>-7.7096179137037257E-4</v>
      </c>
      <c r="F1349">
        <f t="shared" ca="1" si="106"/>
        <v>3.073401401075488E-2</v>
      </c>
      <c r="G1349">
        <f t="shared" ca="1" si="105"/>
        <v>0.58715714718686141</v>
      </c>
      <c r="H1349">
        <f t="shared" ca="1" si="104"/>
        <v>2.8187085344076594</v>
      </c>
    </row>
    <row r="1350" spans="1:8" x14ac:dyDescent="0.25">
      <c r="A1350" s="5">
        <v>42137</v>
      </c>
      <c r="B1350">
        <v>529.61999500000002</v>
      </c>
      <c r="C1350" s="6">
        <v>-1.0963575988958587E-3</v>
      </c>
      <c r="D1350" s="6">
        <f t="shared" ca="1" si="107"/>
        <v>-1.9759145367058448E-2</v>
      </c>
      <c r="E1350" s="6">
        <f t="shared" ref="E1350:E1413" ca="1" si="108">$D1350-$C1350</f>
        <v>-1.8662787768162589E-2</v>
      </c>
      <c r="F1350">
        <f t="shared" ca="1" si="106"/>
        <v>1.3830208669316569E-2</v>
      </c>
      <c r="G1350">
        <f t="shared" ca="1" si="105"/>
        <v>-1.581239300777161</v>
      </c>
      <c r="H1350">
        <f t="shared" ref="H1350:H1413" ca="1" si="109">LN(_xlfn.NORM.DIST($E1350,AVERAGE($E$5:$E$1763),_xlfn.STDEV.S($E$5:$E$1763),FALSE))</f>
        <v>2.5178973475067554</v>
      </c>
    </row>
    <row r="1351" spans="1:8" x14ac:dyDescent="0.25">
      <c r="A1351" s="1">
        <v>42138</v>
      </c>
      <c r="B1351">
        <v>538.40002400000003</v>
      </c>
      <c r="C1351" s="6">
        <v>-1.6577978707167228E-2</v>
      </c>
      <c r="D1351" s="6">
        <f t="shared" ca="1" si="107"/>
        <v>4.1126986837884599E-2</v>
      </c>
      <c r="E1351" s="6">
        <f t="shared" ca="1" si="108"/>
        <v>5.7704965545051827E-2</v>
      </c>
      <c r="F1351">
        <f t="shared" ca="1" si="106"/>
        <v>2.6137132981377348E-2</v>
      </c>
      <c r="G1351">
        <f t="shared" ca="1" si="105"/>
        <v>1.3591966454717717</v>
      </c>
      <c r="H1351">
        <f t="shared" ca="1" si="109"/>
        <v>-0.13903535725064006</v>
      </c>
    </row>
    <row r="1352" spans="1:8" x14ac:dyDescent="0.25">
      <c r="A1352" s="5">
        <v>42139</v>
      </c>
      <c r="B1352">
        <v>533.84997599999997</v>
      </c>
      <c r="C1352" s="6">
        <v>8.45105460099322E-3</v>
      </c>
      <c r="D1352" s="6">
        <f t="shared" ca="1" si="107"/>
        <v>8.4177219421982356E-3</v>
      </c>
      <c r="E1352" s="6">
        <f t="shared" ca="1" si="108"/>
        <v>-3.3332658794984343E-5</v>
      </c>
      <c r="F1352">
        <f t="shared" ca="1" si="106"/>
        <v>2.347111901874227E-2</v>
      </c>
      <c r="G1352">
        <f t="shared" ca="1" si="105"/>
        <v>0.37969930869506818</v>
      </c>
      <c r="H1352">
        <f t="shared" ca="1" si="109"/>
        <v>2.8189833589423636</v>
      </c>
    </row>
    <row r="1353" spans="1:8" x14ac:dyDescent="0.25">
      <c r="A1353" s="1">
        <v>42142</v>
      </c>
      <c r="B1353">
        <v>532.29998799999998</v>
      </c>
      <c r="C1353" s="6">
        <v>2.9034149474233282E-3</v>
      </c>
      <c r="D1353" s="6">
        <f t="shared" ca="1" si="107"/>
        <v>-1.3016776677298603E-2</v>
      </c>
      <c r="E1353" s="6">
        <f t="shared" ca="1" si="108"/>
        <v>-1.5920191624721931E-2</v>
      </c>
      <c r="F1353">
        <f t="shared" ca="1" si="106"/>
        <v>1.0774201909605848E-2</v>
      </c>
      <c r="G1353">
        <f t="shared" ca="1" si="105"/>
        <v>-0.51489599396063335</v>
      </c>
      <c r="H1353">
        <f t="shared" ca="1" si="109"/>
        <v>2.6006736237962627</v>
      </c>
    </row>
    <row r="1354" spans="1:8" x14ac:dyDescent="0.25">
      <c r="A1354" s="5">
        <v>42143</v>
      </c>
      <c r="B1354">
        <v>537.35998500000005</v>
      </c>
      <c r="C1354" s="6">
        <v>-9.5059122939526852E-3</v>
      </c>
      <c r="D1354" s="6">
        <f t="shared" ca="1" si="107"/>
        <v>1.1203141141707028E-2</v>
      </c>
      <c r="E1354" s="6">
        <f t="shared" ca="1" si="108"/>
        <v>2.0709053435659715E-2</v>
      </c>
      <c r="F1354">
        <f t="shared" ca="1" si="106"/>
        <v>1.0898646546927702E-2</v>
      </c>
      <c r="G1354">
        <f t="shared" ca="1" si="105"/>
        <v>0.67856241894728708</v>
      </c>
      <c r="H1354">
        <f t="shared" ca="1" si="109"/>
        <v>2.433523684144089</v>
      </c>
    </row>
    <row r="1355" spans="1:8" x14ac:dyDescent="0.25">
      <c r="A1355" s="1">
        <v>42144</v>
      </c>
      <c r="B1355">
        <v>539.27002000000005</v>
      </c>
      <c r="C1355" s="6">
        <v>-3.5544794054585089E-3</v>
      </c>
      <c r="D1355" s="6">
        <f t="shared" ca="1" si="107"/>
        <v>-5.1608389178095047E-3</v>
      </c>
      <c r="E1355" s="6">
        <f t="shared" ca="1" si="108"/>
        <v>-1.6063595123509957E-3</v>
      </c>
      <c r="F1355">
        <f t="shared" ca="1" si="106"/>
        <v>1.2955837099311272E-2</v>
      </c>
      <c r="G1355">
        <f t="shared" ca="1" si="105"/>
        <v>-0.49929891315631181</v>
      </c>
      <c r="H1355">
        <f t="shared" ca="1" si="109"/>
        <v>2.8172376086886368</v>
      </c>
    </row>
    <row r="1356" spans="1:8" x14ac:dyDescent="0.25">
      <c r="A1356" s="5">
        <v>42145</v>
      </c>
      <c r="B1356">
        <v>542.51000999999997</v>
      </c>
      <c r="C1356" s="6">
        <v>-6.0081033245644186E-3</v>
      </c>
      <c r="D1356" s="6">
        <f t="shared" ca="1" si="107"/>
        <v>-1.294055729368346E-2</v>
      </c>
      <c r="E1356" s="6">
        <f t="shared" ca="1" si="108"/>
        <v>-6.932453969119041E-3</v>
      </c>
      <c r="F1356">
        <f t="shared" ca="1" si="106"/>
        <v>1.0867581979306604E-2</v>
      </c>
      <c r="G1356">
        <f t="shared" ca="1" si="105"/>
        <v>-0.79663939297498498</v>
      </c>
      <c r="H1356">
        <f t="shared" ca="1" si="109"/>
        <v>2.778899494192129</v>
      </c>
    </row>
    <row r="1357" spans="1:8" x14ac:dyDescent="0.25">
      <c r="A1357" s="1">
        <v>42146</v>
      </c>
      <c r="B1357">
        <v>540.10998500000005</v>
      </c>
      <c r="C1357" s="6">
        <v>4.4239275879903381E-3</v>
      </c>
      <c r="D1357" s="6">
        <f t="shared" ca="1" si="107"/>
        <v>-6.4203894644838805E-3</v>
      </c>
      <c r="E1357" s="6">
        <f t="shared" ca="1" si="108"/>
        <v>-1.0844317052474219E-2</v>
      </c>
      <c r="F1357">
        <f t="shared" ca="1" si="106"/>
        <v>1.4540287492407026E-2</v>
      </c>
      <c r="G1357">
        <f t="shared" ca="1" si="105"/>
        <v>-0.33140986963254682</v>
      </c>
      <c r="H1357">
        <f t="shared" ca="1" si="109"/>
        <v>2.7188503814327696</v>
      </c>
    </row>
    <row r="1358" spans="1:8" x14ac:dyDescent="0.25">
      <c r="A1358" s="5">
        <v>42150</v>
      </c>
      <c r="B1358">
        <v>532.32000700000003</v>
      </c>
      <c r="C1358" s="6">
        <v>1.4422947577982693E-2</v>
      </c>
      <c r="D1358" s="6">
        <f t="shared" ca="1" si="107"/>
        <v>-9.9432288357559568E-4</v>
      </c>
      <c r="E1358" s="6">
        <f t="shared" ca="1" si="108"/>
        <v>-1.5417270461558288E-2</v>
      </c>
      <c r="F1358">
        <f t="shared" ca="1" si="106"/>
        <v>9.2709987139401994E-3</v>
      </c>
      <c r="G1358">
        <f t="shared" ca="1" si="105"/>
        <v>0.18472621299270153</v>
      </c>
      <c r="H1358">
        <f t="shared" ca="1" si="109"/>
        <v>2.6144122260013538</v>
      </c>
    </row>
    <row r="1359" spans="1:8" x14ac:dyDescent="0.25">
      <c r="A1359" s="1">
        <v>42151</v>
      </c>
      <c r="B1359">
        <v>539.78997800000002</v>
      </c>
      <c r="C1359" s="6">
        <v>-1.4032857870773184E-2</v>
      </c>
      <c r="D1359" s="6">
        <f t="shared" ca="1" si="107"/>
        <v>1.4746435171073368E-2</v>
      </c>
      <c r="E1359" s="6">
        <f t="shared" ca="1" si="108"/>
        <v>2.8779293041846551E-2</v>
      </c>
      <c r="F1359">
        <f t="shared" ca="1" si="106"/>
        <v>7.6836117939497609E-3</v>
      </c>
      <c r="G1359">
        <f t="shared" ca="1" si="105"/>
        <v>1.6597618077054606</v>
      </c>
      <c r="H1359">
        <f t="shared" ca="1" si="109"/>
        <v>2.0783535201917136</v>
      </c>
    </row>
    <row r="1360" spans="1:8" x14ac:dyDescent="0.25">
      <c r="A1360" s="5">
        <v>42152</v>
      </c>
      <c r="B1360">
        <v>539.78002900000001</v>
      </c>
      <c r="C1360" s="6">
        <v>1.8431242530416117E-5</v>
      </c>
      <c r="D1360" s="6">
        <f t="shared" ca="1" si="107"/>
        <v>-5.9308906699043366E-2</v>
      </c>
      <c r="E1360" s="6">
        <f t="shared" ca="1" si="108"/>
        <v>-5.9327337941573785E-2</v>
      </c>
      <c r="F1360">
        <f t="shared" ca="1" si="106"/>
        <v>2.7174896503657758E-2</v>
      </c>
      <c r="G1360">
        <f t="shared" ca="1" si="105"/>
        <v>-2.4216111897155108</v>
      </c>
      <c r="H1360">
        <f t="shared" ca="1" si="109"/>
        <v>-0.2671294124230657</v>
      </c>
    </row>
    <row r="1361" spans="1:8" x14ac:dyDescent="0.25">
      <c r="A1361" s="1">
        <v>42153</v>
      </c>
      <c r="B1361">
        <v>532.10998500000005</v>
      </c>
      <c r="C1361" s="6">
        <v>1.4209573507581476E-2</v>
      </c>
      <c r="D1361" s="6">
        <f t="shared" ca="1" si="107"/>
        <v>2.8143712178343723E-2</v>
      </c>
      <c r="E1361" s="6">
        <f t="shared" ca="1" si="108"/>
        <v>1.3934138670762247E-2</v>
      </c>
      <c r="F1361">
        <f t="shared" ca="1" si="106"/>
        <v>3.9497290378245051E-2</v>
      </c>
      <c r="G1361">
        <f t="shared" ca="1" si="105"/>
        <v>0.87262474964456349</v>
      </c>
      <c r="H1361">
        <f t="shared" ca="1" si="109"/>
        <v>2.6429312644388236</v>
      </c>
    </row>
    <row r="1362" spans="1:8" x14ac:dyDescent="0.25">
      <c r="A1362" s="5">
        <v>42156</v>
      </c>
      <c r="B1362">
        <v>533.98999000000003</v>
      </c>
      <c r="C1362" s="6">
        <v>-3.5331135535823155E-3</v>
      </c>
      <c r="D1362" s="6">
        <f t="shared" ca="1" si="107"/>
        <v>-3.43720683717338E-3</v>
      </c>
      <c r="E1362" s="6">
        <f t="shared" ca="1" si="108"/>
        <v>9.5906716408935416E-5</v>
      </c>
      <c r="F1362">
        <f t="shared" ca="1" si="106"/>
        <v>1.829333569390804E-2</v>
      </c>
      <c r="G1362">
        <f t="shared" ca="1" si="105"/>
        <v>-0.18836073751947668</v>
      </c>
      <c r="H1362">
        <f t="shared" ca="1" si="109"/>
        <v>2.8189326429207746</v>
      </c>
    </row>
    <row r="1363" spans="1:8" x14ac:dyDescent="0.25">
      <c r="A1363" s="1">
        <v>42157</v>
      </c>
      <c r="B1363">
        <v>539.17999299999997</v>
      </c>
      <c r="C1363" s="6">
        <v>-9.7192889327381085E-3</v>
      </c>
      <c r="D1363" s="6">
        <f t="shared" ca="1" si="107"/>
        <v>7.0767394051074262E-3</v>
      </c>
      <c r="E1363" s="6">
        <f t="shared" ca="1" si="108"/>
        <v>1.6796028337845534E-2</v>
      </c>
      <c r="F1363">
        <f t="shared" ca="1" si="106"/>
        <v>8.6691211844376961E-3</v>
      </c>
      <c r="G1363">
        <f t="shared" ca="1" si="105"/>
        <v>7.7813670426704534E-2</v>
      </c>
      <c r="H1363">
        <f t="shared" ca="1" si="109"/>
        <v>2.564355006281958</v>
      </c>
    </row>
    <row r="1364" spans="1:8" x14ac:dyDescent="0.25">
      <c r="A1364" s="5">
        <v>42158</v>
      </c>
      <c r="B1364">
        <v>540.30999799999995</v>
      </c>
      <c r="C1364" s="6">
        <v>-2.0957843663905809E-3</v>
      </c>
      <c r="D1364" s="6">
        <f t="shared" ca="1" si="107"/>
        <v>7.7974912866967091E-3</v>
      </c>
      <c r="E1364" s="6">
        <f t="shared" ca="1" si="108"/>
        <v>9.8932756530872891E-3</v>
      </c>
      <c r="F1364">
        <f t="shared" ca="1" si="106"/>
        <v>7.1641942769710542E-3</v>
      </c>
      <c r="G1364">
        <f t="shared" ca="1" si="105"/>
        <v>1.310617839286478</v>
      </c>
      <c r="H1364">
        <f t="shared" ca="1" si="109"/>
        <v>2.7292623122995892</v>
      </c>
    </row>
    <row r="1365" spans="1:8" x14ac:dyDescent="0.25">
      <c r="A1365" s="1">
        <v>42159</v>
      </c>
      <c r="B1365">
        <v>536.70001200000002</v>
      </c>
      <c r="C1365" s="6">
        <v>6.6813237092827882E-3</v>
      </c>
      <c r="D1365" s="6">
        <f t="shared" ca="1" si="107"/>
        <v>3.2133975997963417E-3</v>
      </c>
      <c r="E1365" s="6">
        <f t="shared" ca="1" si="108"/>
        <v>-3.4679261094864465E-3</v>
      </c>
      <c r="F1365">
        <f t="shared" ca="1" si="106"/>
        <v>2.1871038444048106E-2</v>
      </c>
      <c r="G1365">
        <f t="shared" ca="1" si="105"/>
        <v>0.34714973388521497</v>
      </c>
      <c r="H1365">
        <f t="shared" ca="1" si="109"/>
        <v>2.8095292774316056</v>
      </c>
    </row>
    <row r="1366" spans="1:8" x14ac:dyDescent="0.25">
      <c r="A1366" s="5">
        <v>42160</v>
      </c>
      <c r="B1366">
        <v>533.330017</v>
      </c>
      <c r="C1366" s="6">
        <v>6.2791036419802002E-3</v>
      </c>
      <c r="D1366" s="6">
        <f t="shared" ca="1" si="107"/>
        <v>3.1895057176396947E-3</v>
      </c>
      <c r="E1366" s="6">
        <f t="shared" ca="1" si="108"/>
        <v>-3.0895979243405055E-3</v>
      </c>
      <c r="F1366">
        <f t="shared" ca="1" si="106"/>
        <v>1.0274138905274692E-2</v>
      </c>
      <c r="G1366">
        <f t="shared" ca="1" si="105"/>
        <v>0.4023369153790482</v>
      </c>
      <c r="H1366">
        <f t="shared" ca="1" si="109"/>
        <v>2.8115910565107938</v>
      </c>
    </row>
    <row r="1367" spans="1:8" x14ac:dyDescent="0.25">
      <c r="A1367" s="1">
        <v>42163</v>
      </c>
      <c r="B1367">
        <v>526.830017</v>
      </c>
      <c r="C1367" s="6">
        <v>1.2187575783869671E-2</v>
      </c>
      <c r="D1367" s="6">
        <f t="shared" ca="1" si="107"/>
        <v>-4.5505447131233955E-3</v>
      </c>
      <c r="E1367" s="6">
        <f t="shared" ca="1" si="108"/>
        <v>-1.6738120496993067E-2</v>
      </c>
      <c r="F1367">
        <f t="shared" ca="1" si="106"/>
        <v>9.6054750225806756E-3</v>
      </c>
      <c r="G1367">
        <f t="shared" ca="1" si="105"/>
        <v>-0.7871516199351255</v>
      </c>
      <c r="H1367">
        <f t="shared" ca="1" si="109"/>
        <v>2.5773763636057434</v>
      </c>
    </row>
    <row r="1368" spans="1:8" x14ac:dyDescent="0.25">
      <c r="A1368" s="5">
        <v>42164</v>
      </c>
      <c r="B1368">
        <v>526.69000200000005</v>
      </c>
      <c r="C1368" s="6">
        <v>2.6576883526351628E-4</v>
      </c>
      <c r="D1368" s="6">
        <f t="shared" ca="1" si="107"/>
        <v>1.8306116688607741E-2</v>
      </c>
      <c r="E1368" s="6">
        <f t="shared" ca="1" si="108"/>
        <v>1.8040347853344223E-2</v>
      </c>
      <c r="F1368">
        <f t="shared" ca="1" si="106"/>
        <v>1.4353354299012595E-2</v>
      </c>
      <c r="G1368">
        <f t="shared" ca="1" si="105"/>
        <v>1.078272099892873</v>
      </c>
      <c r="H1368">
        <f t="shared" ca="1" si="109"/>
        <v>2.5256818809527188</v>
      </c>
    </row>
    <row r="1369" spans="1:8" x14ac:dyDescent="0.25">
      <c r="A1369" s="1">
        <v>42165</v>
      </c>
      <c r="B1369">
        <v>536.69000200000005</v>
      </c>
      <c r="C1369" s="6">
        <v>-1.8986500525977328E-2</v>
      </c>
      <c r="D1369" s="6">
        <f t="shared" ca="1" si="107"/>
        <v>-5.4182709660208607E-3</v>
      </c>
      <c r="E1369" s="6">
        <f t="shared" ca="1" si="108"/>
        <v>1.3568229559956468E-2</v>
      </c>
      <c r="F1369">
        <f t="shared" ca="1" si="106"/>
        <v>1.8686756844256306E-2</v>
      </c>
      <c r="G1369">
        <f t="shared" ca="1" si="105"/>
        <v>-0.58380767136504164</v>
      </c>
      <c r="H1369">
        <f t="shared" ca="1" si="109"/>
        <v>2.6519354076217607</v>
      </c>
    </row>
    <row r="1370" spans="1:8" x14ac:dyDescent="0.25">
      <c r="A1370" s="5">
        <v>42166</v>
      </c>
      <c r="B1370">
        <v>534.60998500000005</v>
      </c>
      <c r="C1370" s="6">
        <v>3.8756395540232138E-3</v>
      </c>
      <c r="D1370" s="6">
        <f t="shared" ca="1" si="107"/>
        <v>6.8308646346951036E-3</v>
      </c>
      <c r="E1370" s="6">
        <f t="shared" ca="1" si="108"/>
        <v>2.9552250806718899E-3</v>
      </c>
      <c r="F1370">
        <f t="shared" ca="1" si="106"/>
        <v>1.2350048435041221E-2</v>
      </c>
      <c r="G1370">
        <f t="shared" ca="1" si="105"/>
        <v>0.54343387712467228</v>
      </c>
      <c r="H1370">
        <f t="shared" ca="1" si="109"/>
        <v>2.8102695565917601</v>
      </c>
    </row>
    <row r="1371" spans="1:8" x14ac:dyDescent="0.25">
      <c r="A1371" s="1">
        <v>42167</v>
      </c>
      <c r="B1371">
        <v>532.330017</v>
      </c>
      <c r="C1371" s="6">
        <v>4.2647314191111736E-3</v>
      </c>
      <c r="D1371" s="6">
        <f t="shared" ca="1" si="107"/>
        <v>-2.0838831717337025E-2</v>
      </c>
      <c r="E1371" s="6">
        <f t="shared" ca="1" si="108"/>
        <v>-2.5103563136448199E-2</v>
      </c>
      <c r="F1371">
        <f t="shared" ca="1" si="106"/>
        <v>1.1342555270010666E-2</v>
      </c>
      <c r="G1371">
        <f t="shared" ca="1" si="105"/>
        <v>-1.083036078593866</v>
      </c>
      <c r="H1371">
        <f t="shared" ca="1" si="109"/>
        <v>2.2713064664425704</v>
      </c>
    </row>
    <row r="1372" spans="1:8" x14ac:dyDescent="0.25">
      <c r="A1372" s="5">
        <v>42170</v>
      </c>
      <c r="B1372">
        <v>527.20001200000002</v>
      </c>
      <c r="C1372" s="6">
        <v>9.6368884642475134E-3</v>
      </c>
      <c r="D1372" s="6">
        <f t="shared" ca="1" si="107"/>
        <v>4.1308949264124151E-3</v>
      </c>
      <c r="E1372" s="6">
        <f t="shared" ca="1" si="108"/>
        <v>-5.5059935378350983E-3</v>
      </c>
      <c r="F1372">
        <f t="shared" ca="1" si="106"/>
        <v>1.8624309438462064E-2</v>
      </c>
      <c r="G1372">
        <f t="shared" ca="1" si="105"/>
        <v>0.12803847365391624</v>
      </c>
      <c r="H1372">
        <f t="shared" ca="1" si="109"/>
        <v>2.7940763635672248</v>
      </c>
    </row>
    <row r="1373" spans="1:8" x14ac:dyDescent="0.25">
      <c r="A1373" s="1">
        <v>42171</v>
      </c>
      <c r="B1373">
        <v>528.15002400000003</v>
      </c>
      <c r="C1373" s="6">
        <v>-1.8019954066313929E-3</v>
      </c>
      <c r="D1373" s="6">
        <f t="shared" ca="1" si="107"/>
        <v>1.7577177052392624E-2</v>
      </c>
      <c r="E1373" s="6">
        <f t="shared" ca="1" si="108"/>
        <v>1.9379172459024017E-2</v>
      </c>
      <c r="F1373">
        <f t="shared" ca="1" si="106"/>
        <v>8.4350738830350717E-3</v>
      </c>
      <c r="G1373">
        <f t="shared" ca="1" si="105"/>
        <v>1.8560019274052051</v>
      </c>
      <c r="H1373">
        <f t="shared" ca="1" si="109"/>
        <v>2.4810196002924076</v>
      </c>
    </row>
    <row r="1374" spans="1:8" x14ac:dyDescent="0.25">
      <c r="A1374" s="5">
        <v>42172</v>
      </c>
      <c r="B1374">
        <v>529.26000999999997</v>
      </c>
      <c r="C1374" s="6">
        <v>-2.1016490572003366E-3</v>
      </c>
      <c r="D1374" s="6">
        <f t="shared" ca="1" si="107"/>
        <v>-5.0450042269074161E-3</v>
      </c>
      <c r="E1374" s="6">
        <f t="shared" ca="1" si="108"/>
        <v>-2.9433551697070795E-3</v>
      </c>
      <c r="F1374">
        <f t="shared" ca="1" si="106"/>
        <v>3.0198900681923057E-2</v>
      </c>
      <c r="G1374">
        <f t="shared" ca="1" si="105"/>
        <v>-0.3108371833330093</v>
      </c>
      <c r="H1374">
        <f t="shared" ca="1" si="109"/>
        <v>2.8123203377003607</v>
      </c>
    </row>
    <row r="1375" spans="1:8" x14ac:dyDescent="0.25">
      <c r="A1375" s="1">
        <v>42173</v>
      </c>
      <c r="B1375">
        <v>536.72997999999995</v>
      </c>
      <c r="C1375" s="6">
        <v>-1.4113989076937799E-2</v>
      </c>
      <c r="D1375" s="6">
        <f t="shared" ca="1" si="107"/>
        <v>1.4783715602258749E-2</v>
      </c>
      <c r="E1375" s="6">
        <f t="shared" ca="1" si="108"/>
        <v>2.8897704679196549E-2</v>
      </c>
      <c r="F1375">
        <f t="shared" ca="1" si="106"/>
        <v>1.1273157551289185E-2</v>
      </c>
      <c r="G1375">
        <f t="shared" ca="1" si="105"/>
        <v>1.3834324411275436</v>
      </c>
      <c r="H1375">
        <f t="shared" ca="1" si="109"/>
        <v>2.0722865556497556</v>
      </c>
    </row>
    <row r="1376" spans="1:8" x14ac:dyDescent="0.25">
      <c r="A1376" s="5">
        <v>42174</v>
      </c>
      <c r="B1376">
        <v>536.69000200000005</v>
      </c>
      <c r="C1376" s="6">
        <v>7.4484380395344198E-5</v>
      </c>
      <c r="D1376" s="6">
        <f t="shared" ca="1" si="107"/>
        <v>-5.6999524568900383E-3</v>
      </c>
      <c r="E1376" s="6">
        <f t="shared" ca="1" si="108"/>
        <v>-5.7744368372853825E-3</v>
      </c>
      <c r="F1376">
        <f t="shared" ca="1" si="106"/>
        <v>2.3070757840993932E-2</v>
      </c>
      <c r="G1376">
        <f t="shared" ca="1" si="105"/>
        <v>-0.20600998448624377</v>
      </c>
      <c r="H1376">
        <f t="shared" ca="1" si="109"/>
        <v>2.7914945835211893</v>
      </c>
    </row>
    <row r="1377" spans="1:8" x14ac:dyDescent="0.25">
      <c r="A1377" s="1">
        <v>42177</v>
      </c>
      <c r="B1377">
        <v>538.19000200000005</v>
      </c>
      <c r="C1377" s="6">
        <v>-2.7949095276792579E-3</v>
      </c>
      <c r="D1377" s="6">
        <f t="shared" ca="1" si="107"/>
        <v>7.7882979485779666E-3</v>
      </c>
      <c r="E1377" s="6">
        <f t="shared" ca="1" si="108"/>
        <v>1.0583207476257225E-2</v>
      </c>
      <c r="F1377">
        <f t="shared" ca="1" si="106"/>
        <v>9.4568565094924097E-3</v>
      </c>
      <c r="G1377">
        <f t="shared" ca="1" si="105"/>
        <v>1.4959994564120442</v>
      </c>
      <c r="H1377">
        <f t="shared" ca="1" si="109"/>
        <v>2.7165624856217518</v>
      </c>
    </row>
    <row r="1378" spans="1:8" x14ac:dyDescent="0.25">
      <c r="A1378" s="5">
        <v>42178</v>
      </c>
      <c r="B1378">
        <v>540.47997999999995</v>
      </c>
      <c r="C1378" s="6">
        <v>-4.2549619864545628E-3</v>
      </c>
      <c r="D1378" s="6">
        <f t="shared" ca="1" si="107"/>
        <v>2.8896573302451274E-2</v>
      </c>
      <c r="E1378" s="6">
        <f t="shared" ca="1" si="108"/>
        <v>3.315153528890584E-2</v>
      </c>
      <c r="F1378">
        <f t="shared" ca="1" si="106"/>
        <v>2.4718809659186235E-2</v>
      </c>
      <c r="G1378">
        <f t="shared" ca="1" si="105"/>
        <v>1.1676557438676594</v>
      </c>
      <c r="H1378">
        <f t="shared" ca="1" si="109"/>
        <v>1.8379232389890625</v>
      </c>
    </row>
    <row r="1379" spans="1:8" x14ac:dyDescent="0.25">
      <c r="A1379" s="1">
        <v>42179</v>
      </c>
      <c r="B1379">
        <v>537.84002699999996</v>
      </c>
      <c r="C1379" s="6">
        <v>4.8844602902775262E-3</v>
      </c>
      <c r="D1379" s="6">
        <f t="shared" ca="1" si="107"/>
        <v>2.9829715603530801E-2</v>
      </c>
      <c r="E1379" s="6">
        <f t="shared" ca="1" si="108"/>
        <v>2.4945255313253277E-2</v>
      </c>
      <c r="F1379">
        <f t="shared" ca="1" si="106"/>
        <v>2.0619062982082881E-2</v>
      </c>
      <c r="G1379">
        <f t="shared" ca="1" si="105"/>
        <v>1.507781990258559</v>
      </c>
      <c r="H1379">
        <f t="shared" ca="1" si="109"/>
        <v>2.261422096255338</v>
      </c>
    </row>
    <row r="1380" spans="1:8" x14ac:dyDescent="0.25">
      <c r="A1380" s="5">
        <v>42180</v>
      </c>
      <c r="B1380">
        <v>535.22997999999995</v>
      </c>
      <c r="C1380" s="6">
        <v>4.8528314535429863E-3</v>
      </c>
      <c r="D1380" s="6">
        <f t="shared" ca="1" si="107"/>
        <v>-1.1732231305140816E-2</v>
      </c>
      <c r="E1380" s="6">
        <f t="shared" ca="1" si="108"/>
        <v>-1.6585062758683801E-2</v>
      </c>
      <c r="F1380">
        <f t="shared" ca="1" si="106"/>
        <v>2.5321467170767172E-2</v>
      </c>
      <c r="G1380">
        <f t="shared" ca="1" si="105"/>
        <v>-0.38762404468116984</v>
      </c>
      <c r="H1380">
        <f t="shared" ca="1" si="109"/>
        <v>2.581825747916215</v>
      </c>
    </row>
    <row r="1381" spans="1:8" x14ac:dyDescent="0.25">
      <c r="A1381" s="1">
        <v>42181</v>
      </c>
      <c r="B1381">
        <v>531.69000200000005</v>
      </c>
      <c r="C1381" s="6">
        <v>6.6139381803685697E-3</v>
      </c>
      <c r="D1381" s="6">
        <f t="shared" ca="1" si="107"/>
        <v>-5.9213512190532443E-3</v>
      </c>
      <c r="E1381" s="6">
        <f t="shared" ca="1" si="108"/>
        <v>-1.2535289399421813E-2</v>
      </c>
      <c r="F1381">
        <f t="shared" ca="1" si="106"/>
        <v>1.1105541537767992E-2</v>
      </c>
      <c r="G1381">
        <f t="shared" ca="1" si="105"/>
        <v>-0.73136090288490174</v>
      </c>
      <c r="H1381">
        <f t="shared" ca="1" si="109"/>
        <v>2.6845322213805742</v>
      </c>
    </row>
    <row r="1382" spans="1:8" x14ac:dyDescent="0.25">
      <c r="A1382" s="5">
        <v>42184</v>
      </c>
      <c r="B1382">
        <v>521.52002000000005</v>
      </c>
      <c r="C1382" s="6">
        <v>1.9127653259878308E-2</v>
      </c>
      <c r="D1382" s="6">
        <f t="shared" ca="1" si="107"/>
        <v>-3.3233354939158849E-3</v>
      </c>
      <c r="E1382" s="6">
        <f t="shared" ca="1" si="108"/>
        <v>-2.2450988753794192E-2</v>
      </c>
      <c r="F1382">
        <f t="shared" ca="1" si="106"/>
        <v>1.3666732954385818E-2</v>
      </c>
      <c r="G1382">
        <f t="shared" ca="1" si="105"/>
        <v>-0.40316304698696237</v>
      </c>
      <c r="H1382">
        <f t="shared" ca="1" si="109"/>
        <v>2.3817302895506898</v>
      </c>
    </row>
    <row r="1383" spans="1:8" x14ac:dyDescent="0.25">
      <c r="A1383" s="1">
        <v>42185</v>
      </c>
      <c r="B1383">
        <v>520.51000999999997</v>
      </c>
      <c r="C1383" s="6">
        <v>1.9366658254079665E-3</v>
      </c>
      <c r="D1383" s="6">
        <f t="shared" ca="1" si="107"/>
        <v>9.5641150606204893E-3</v>
      </c>
      <c r="E1383" s="6">
        <f t="shared" ca="1" si="108"/>
        <v>7.6274492352125228E-3</v>
      </c>
      <c r="F1383">
        <f t="shared" ca="1" si="106"/>
        <v>9.8784693878652616E-3</v>
      </c>
      <c r="G1383">
        <f t="shared" ca="1" si="105"/>
        <v>0.66648412607273277</v>
      </c>
      <c r="H1383">
        <f t="shared" ca="1" si="109"/>
        <v>2.7650600035550754</v>
      </c>
    </row>
    <row r="1384" spans="1:8" x14ac:dyDescent="0.25">
      <c r="A1384" s="5">
        <v>42186</v>
      </c>
      <c r="B1384">
        <v>521.84002699999996</v>
      </c>
      <c r="C1384" s="6">
        <v>-2.5552188708147959E-3</v>
      </c>
      <c r="D1384" s="6">
        <f t="shared" ca="1" si="107"/>
        <v>3.3926008172340677E-3</v>
      </c>
      <c r="E1384" s="6">
        <f t="shared" ca="1" si="108"/>
        <v>5.9478196880488636E-3</v>
      </c>
      <c r="F1384">
        <f t="shared" ca="1" si="106"/>
        <v>1.274526655262867E-2</v>
      </c>
      <c r="G1384">
        <f t="shared" ca="1" si="105"/>
        <v>-0.40999752974403386</v>
      </c>
      <c r="H1384">
        <f t="shared" ca="1" si="109"/>
        <v>2.785748260170525</v>
      </c>
    </row>
    <row r="1385" spans="1:8" x14ac:dyDescent="0.25">
      <c r="A1385" s="1">
        <v>42187</v>
      </c>
      <c r="B1385">
        <v>523.40002400000003</v>
      </c>
      <c r="C1385" s="6">
        <v>-2.9894161415104838E-3</v>
      </c>
      <c r="D1385" s="6">
        <f t="shared" ca="1" si="107"/>
        <v>-9.8522950024651206E-3</v>
      </c>
      <c r="E1385" s="6">
        <f t="shared" ca="1" si="108"/>
        <v>-6.8628788609546368E-3</v>
      </c>
      <c r="F1385">
        <f t="shared" ca="1" si="106"/>
        <v>9.870746090616141E-3</v>
      </c>
      <c r="G1385">
        <f t="shared" ca="1" si="105"/>
        <v>-1.0865268776916868</v>
      </c>
      <c r="H1385">
        <f t="shared" ca="1" si="109"/>
        <v>2.7797230519633147</v>
      </c>
    </row>
    <row r="1386" spans="1:8" x14ac:dyDescent="0.25">
      <c r="A1386" s="5">
        <v>42191</v>
      </c>
      <c r="B1386">
        <v>522.85998500000005</v>
      </c>
      <c r="C1386" s="6">
        <v>1.0317901704948696E-3</v>
      </c>
      <c r="D1386" s="6">
        <f t="shared" ca="1" si="107"/>
        <v>9.7870912656331729E-3</v>
      </c>
      <c r="E1386" s="6">
        <f t="shared" ca="1" si="108"/>
        <v>8.7553010951383035E-3</v>
      </c>
      <c r="F1386">
        <f t="shared" ca="1" si="106"/>
        <v>1.8622040219479823E-2</v>
      </c>
      <c r="G1386">
        <f t="shared" ca="1" si="105"/>
        <v>0.58739064760778958</v>
      </c>
      <c r="H1386">
        <f t="shared" ca="1" si="109"/>
        <v>2.7483737606317642</v>
      </c>
    </row>
    <row r="1387" spans="1:8" x14ac:dyDescent="0.25">
      <c r="A1387" s="1">
        <v>42192</v>
      </c>
      <c r="B1387">
        <v>525.02002000000005</v>
      </c>
      <c r="C1387" s="6">
        <v>-4.1311920245723013E-3</v>
      </c>
      <c r="D1387" s="6">
        <f t="shared" ca="1" si="107"/>
        <v>-6.2467523505606755E-3</v>
      </c>
      <c r="E1387" s="6">
        <f t="shared" ca="1" si="108"/>
        <v>-2.1155603259883742E-3</v>
      </c>
      <c r="F1387">
        <f t="shared" ca="1" si="106"/>
        <v>1.2386328109092966E-2</v>
      </c>
      <c r="G1387">
        <f t="shared" ca="1" si="105"/>
        <v>-0.39558674999610227</v>
      </c>
      <c r="H1387">
        <f t="shared" ca="1" si="109"/>
        <v>2.8157368230363029</v>
      </c>
    </row>
    <row r="1388" spans="1:8" x14ac:dyDescent="0.25">
      <c r="A1388" s="5">
        <v>42193</v>
      </c>
      <c r="B1388">
        <v>516.830017</v>
      </c>
      <c r="C1388" s="6">
        <v>1.5599410856751799E-2</v>
      </c>
      <c r="D1388" s="6">
        <f t="shared" ca="1" si="107"/>
        <v>-6.0049851451661647E-4</v>
      </c>
      <c r="E1388" s="6">
        <f t="shared" ca="1" si="108"/>
        <v>-1.6199909371268417E-2</v>
      </c>
      <c r="F1388">
        <f t="shared" ca="1" si="106"/>
        <v>9.6929336083827113E-3</v>
      </c>
      <c r="G1388">
        <f t="shared" ca="1" si="105"/>
        <v>-0.10990587853774335</v>
      </c>
      <c r="H1388">
        <f t="shared" ca="1" si="109"/>
        <v>2.5928392129971187</v>
      </c>
    </row>
    <row r="1389" spans="1:8" x14ac:dyDescent="0.25">
      <c r="A1389" s="1">
        <v>42194</v>
      </c>
      <c r="B1389">
        <v>520.67999299999997</v>
      </c>
      <c r="C1389" s="6">
        <v>-7.4492112945521308E-3</v>
      </c>
      <c r="D1389" s="6">
        <f t="shared" ca="1" si="107"/>
        <v>-1.260493038999792E-2</v>
      </c>
      <c r="E1389" s="6">
        <f t="shared" ca="1" si="108"/>
        <v>-5.1557190954457889E-3</v>
      </c>
      <c r="F1389">
        <f t="shared" ca="1" si="106"/>
        <v>7.3502705492537084E-3</v>
      </c>
      <c r="G1389">
        <f t="shared" ca="1" si="105"/>
        <v>-1.4616946662013366</v>
      </c>
      <c r="H1389">
        <f t="shared" ca="1" si="109"/>
        <v>2.7972539099465461</v>
      </c>
    </row>
    <row r="1390" spans="1:8" x14ac:dyDescent="0.25">
      <c r="A1390" s="5">
        <v>42195</v>
      </c>
      <c r="B1390">
        <v>530.13000499999998</v>
      </c>
      <c r="C1390" s="6">
        <v>-1.8149366457412577E-2</v>
      </c>
      <c r="D1390" s="6">
        <f t="shared" ca="1" si="107"/>
        <v>3.9391793071312086E-3</v>
      </c>
      <c r="E1390" s="6">
        <f t="shared" ca="1" si="108"/>
        <v>2.2088545764543784E-2</v>
      </c>
      <c r="F1390">
        <f t="shared" ca="1" si="106"/>
        <v>2.4153084441904792E-2</v>
      </c>
      <c r="G1390">
        <f t="shared" ca="1" si="105"/>
        <v>-0.1278975374254549</v>
      </c>
      <c r="H1390">
        <f t="shared" ca="1" si="109"/>
        <v>2.3809575916290711</v>
      </c>
    </row>
    <row r="1391" spans="1:8" x14ac:dyDescent="0.25">
      <c r="A1391" s="1">
        <v>42198</v>
      </c>
      <c r="B1391">
        <v>546.54998799999998</v>
      </c>
      <c r="C1391" s="6">
        <v>-3.0973502433615321E-2</v>
      </c>
      <c r="D1391" s="6">
        <f t="shared" ca="1" si="107"/>
        <v>-1.336054254237988E-4</v>
      </c>
      <c r="E1391" s="6">
        <f t="shared" ca="1" si="108"/>
        <v>3.0839897008191522E-2</v>
      </c>
      <c r="F1391">
        <f t="shared" ca="1" si="106"/>
        <v>9.2814093147584563E-3</v>
      </c>
      <c r="G1391">
        <f t="shared" ca="1" si="105"/>
        <v>0.34725205954487703</v>
      </c>
      <c r="H1391">
        <f t="shared" ca="1" si="109"/>
        <v>1.9692441856541514</v>
      </c>
    </row>
    <row r="1392" spans="1:8" x14ac:dyDescent="0.25">
      <c r="A1392" s="5">
        <v>42199</v>
      </c>
      <c r="B1392">
        <v>561.09997599999997</v>
      </c>
      <c r="C1392" s="6">
        <v>-2.6621513712301068E-2</v>
      </c>
      <c r="D1392" s="6">
        <f t="shared" ca="1" si="107"/>
        <v>7.7373735680546282E-3</v>
      </c>
      <c r="E1392" s="6">
        <f t="shared" ca="1" si="108"/>
        <v>3.4358887280355695E-2</v>
      </c>
      <c r="F1392">
        <f t="shared" ca="1" si="106"/>
        <v>8.9831018640516031E-3</v>
      </c>
      <c r="G1392">
        <f t="shared" ca="1" si="105"/>
        <v>1.7716829708506217</v>
      </c>
      <c r="H1392">
        <f t="shared" ca="1" si="109"/>
        <v>1.7655858824305664</v>
      </c>
    </row>
    <row r="1393" spans="1:8" x14ac:dyDescent="0.25">
      <c r="A1393" s="1">
        <v>42200</v>
      </c>
      <c r="B1393">
        <v>560.21997099999999</v>
      </c>
      <c r="C1393" s="6">
        <v>1.56835686622803E-3</v>
      </c>
      <c r="D1393" s="6">
        <f t="shared" ca="1" si="107"/>
        <v>-2.6039086439465099E-2</v>
      </c>
      <c r="E1393" s="6">
        <f t="shared" ca="1" si="108"/>
        <v>-2.7607443305693129E-2</v>
      </c>
      <c r="F1393">
        <f t="shared" ca="1" si="106"/>
        <v>2.8913648946209455E-2</v>
      </c>
      <c r="G1393">
        <f t="shared" ca="1" si="105"/>
        <v>-0.4179105923660319</v>
      </c>
      <c r="H1393">
        <f t="shared" ca="1" si="109"/>
        <v>2.1556787472216685</v>
      </c>
    </row>
    <row r="1394" spans="1:8" x14ac:dyDescent="0.25">
      <c r="A1394" s="5">
        <v>42201</v>
      </c>
      <c r="B1394">
        <v>579.84997599999997</v>
      </c>
      <c r="C1394" s="6">
        <v>-3.503981652949674E-2</v>
      </c>
      <c r="D1394" s="6">
        <f t="shared" ca="1" si="107"/>
        <v>-1.7102911247665706E-2</v>
      </c>
      <c r="E1394" s="6">
        <f t="shared" ca="1" si="108"/>
        <v>1.7936905281831034E-2</v>
      </c>
      <c r="F1394">
        <f t="shared" ca="1" si="106"/>
        <v>1.1907972898346969E-2</v>
      </c>
      <c r="G1394">
        <f t="shared" ca="1" si="105"/>
        <v>-0.42899240250561116</v>
      </c>
      <c r="H1394">
        <f t="shared" ca="1" si="109"/>
        <v>2.5290009955894681</v>
      </c>
    </row>
    <row r="1395" spans="1:8" x14ac:dyDescent="0.25">
      <c r="A1395" s="1">
        <v>42202</v>
      </c>
      <c r="B1395">
        <v>672.92999299999997</v>
      </c>
      <c r="C1395" s="6">
        <v>-0.16052430948104413</v>
      </c>
      <c r="D1395" s="6">
        <f t="shared" ca="1" si="107"/>
        <v>7.1311580920182483E-3</v>
      </c>
      <c r="E1395" s="6">
        <f t="shared" ca="1" si="108"/>
        <v>0.16765546757306238</v>
      </c>
      <c r="F1395">
        <f t="shared" ca="1" si="106"/>
        <v>1.0005598494090445E-2</v>
      </c>
      <c r="G1395">
        <f t="shared" ca="1" si="105"/>
        <v>0.64215085683475304</v>
      </c>
      <c r="H1395">
        <f t="shared" ca="1" si="109"/>
        <v>-22.042730623833467</v>
      </c>
    </row>
    <row r="1396" spans="1:8" x14ac:dyDescent="0.25">
      <c r="A1396" s="5">
        <v>42205</v>
      </c>
      <c r="B1396">
        <v>663.02002000000005</v>
      </c>
      <c r="C1396" s="6">
        <v>1.472660321740173E-2</v>
      </c>
      <c r="D1396" s="6">
        <f t="shared" ca="1" si="107"/>
        <v>-3.4301079667732395E-3</v>
      </c>
      <c r="E1396" s="6">
        <f t="shared" ca="1" si="108"/>
        <v>-1.8156711184174969E-2</v>
      </c>
      <c r="F1396">
        <f t="shared" ca="1" si="106"/>
        <v>1.2435029003044286E-2</v>
      </c>
      <c r="G1396">
        <f t="shared" ca="1" si="105"/>
        <v>0.99396464411172158</v>
      </c>
      <c r="H1396">
        <f t="shared" ca="1" si="109"/>
        <v>2.5341704501537961</v>
      </c>
    </row>
    <row r="1397" spans="1:8" x14ac:dyDescent="0.25">
      <c r="A1397" s="1">
        <v>42206</v>
      </c>
      <c r="B1397">
        <v>662.29998799999998</v>
      </c>
      <c r="C1397" s="6">
        <v>1.0859883235502603E-3</v>
      </c>
      <c r="D1397" s="6">
        <f t="shared" ca="1" si="107"/>
        <v>-9.8816710192173293E-2</v>
      </c>
      <c r="E1397" s="6">
        <f t="shared" ca="1" si="108"/>
        <v>-9.9902698515723559E-2</v>
      </c>
      <c r="F1397">
        <f t="shared" ca="1" si="106"/>
        <v>1.7383792066070818E-2</v>
      </c>
      <c r="G1397">
        <f t="shared" ca="1" si="105"/>
        <v>-1.523926128333319</v>
      </c>
      <c r="H1397">
        <f t="shared" ca="1" si="109"/>
        <v>-5.9550134674895956</v>
      </c>
    </row>
    <row r="1398" spans="1:8" x14ac:dyDescent="0.25">
      <c r="A1398" s="5">
        <v>42207</v>
      </c>
      <c r="B1398">
        <v>662.09997599999997</v>
      </c>
      <c r="C1398" s="6">
        <v>3.0199607975836952E-4</v>
      </c>
      <c r="D1398" s="6">
        <f t="shared" ca="1" si="107"/>
        <v>-1.3061626850864854E-3</v>
      </c>
      <c r="E1398" s="6">
        <f t="shared" ca="1" si="108"/>
        <v>-1.6081587648448549E-3</v>
      </c>
      <c r="F1398">
        <f t="shared" ca="1" si="106"/>
        <v>2.540926625437475E-2</v>
      </c>
      <c r="G1398">
        <f t="shared" ca="1" si="105"/>
        <v>-0.31253770147470195</v>
      </c>
      <c r="H1398">
        <f t="shared" ca="1" si="109"/>
        <v>2.8172331113457574</v>
      </c>
    </row>
    <row r="1399" spans="1:8" x14ac:dyDescent="0.25">
      <c r="A1399" s="1">
        <v>42208</v>
      </c>
      <c r="B1399">
        <v>644.28002900000001</v>
      </c>
      <c r="C1399" s="6">
        <v>2.6914284316482073E-2</v>
      </c>
      <c r="D1399" s="6">
        <f t="shared" ca="1" si="107"/>
        <v>-7.613667439392343E-4</v>
      </c>
      <c r="E1399" s="6">
        <f t="shared" ca="1" si="108"/>
        <v>-2.7675651060421309E-2</v>
      </c>
      <c r="F1399">
        <f t="shared" ca="1" si="106"/>
        <v>1.050969347734222E-2</v>
      </c>
      <c r="G1399">
        <f t="shared" ca="1" si="105"/>
        <v>-0.11900169103727637</v>
      </c>
      <c r="H1399">
        <f t="shared" ca="1" si="109"/>
        <v>2.1523741333287751</v>
      </c>
    </row>
    <row r="1400" spans="1:8" x14ac:dyDescent="0.25">
      <c r="A1400" s="5">
        <v>42209</v>
      </c>
      <c r="B1400">
        <v>623.55999799999995</v>
      </c>
      <c r="C1400" s="6">
        <v>3.2159977133173041E-2</v>
      </c>
      <c r="D1400" s="6">
        <f t="shared" ca="1" si="107"/>
        <v>-5.4242353644082548E-3</v>
      </c>
      <c r="E1400" s="6">
        <f t="shared" ca="1" si="108"/>
        <v>-3.7584212497581294E-2</v>
      </c>
      <c r="F1400">
        <f t="shared" ca="1" si="106"/>
        <v>7.4561713356844275E-3</v>
      </c>
      <c r="G1400">
        <f t="shared" ca="1" si="105"/>
        <v>-0.74579120168679747</v>
      </c>
      <c r="H1400">
        <f t="shared" ca="1" si="109"/>
        <v>1.5850735375960381</v>
      </c>
    </row>
    <row r="1401" spans="1:8" x14ac:dyDescent="0.25">
      <c r="A1401" s="1">
        <v>42212</v>
      </c>
      <c r="B1401">
        <v>627.26000999999997</v>
      </c>
      <c r="C1401" s="6">
        <v>-5.9336904417656624E-3</v>
      </c>
      <c r="D1401" s="6">
        <f t="shared" ca="1" si="107"/>
        <v>1.1798187116112606E-2</v>
      </c>
      <c r="E1401" s="6">
        <f t="shared" ca="1" si="108"/>
        <v>1.7731877557878268E-2</v>
      </c>
      <c r="F1401">
        <f t="shared" ca="1" si="106"/>
        <v>1.3704709465504322E-2</v>
      </c>
      <c r="G1401">
        <f t="shared" ca="1" si="105"/>
        <v>-2.3988976615986316E-2</v>
      </c>
      <c r="H1401">
        <f t="shared" ca="1" si="109"/>
        <v>2.5355238140447374</v>
      </c>
    </row>
    <row r="1402" spans="1:8" x14ac:dyDescent="0.25">
      <c r="A1402" s="5">
        <v>42213</v>
      </c>
      <c r="B1402">
        <v>628</v>
      </c>
      <c r="C1402" s="6">
        <v>-1.1797181204011944E-3</v>
      </c>
      <c r="D1402" s="6">
        <f t="shared" ca="1" si="107"/>
        <v>1.1260924506822142E-2</v>
      </c>
      <c r="E1402" s="6">
        <f t="shared" ca="1" si="108"/>
        <v>1.2440642627223336E-2</v>
      </c>
      <c r="F1402">
        <f t="shared" ca="1" si="106"/>
        <v>7.5565156793571267E-3</v>
      </c>
      <c r="G1402">
        <f t="shared" ca="1" si="105"/>
        <v>-0.42729715671287083</v>
      </c>
      <c r="H1402">
        <f t="shared" ca="1" si="109"/>
        <v>2.6781964661446316</v>
      </c>
    </row>
    <row r="1403" spans="1:8" x14ac:dyDescent="0.25">
      <c r="A1403" s="1">
        <v>42214</v>
      </c>
      <c r="B1403">
        <v>631.92999299999997</v>
      </c>
      <c r="C1403" s="6">
        <v>-6.2579506369426236E-3</v>
      </c>
      <c r="D1403" s="6">
        <f t="shared" ca="1" si="107"/>
        <v>-5.5257708279314623E-3</v>
      </c>
      <c r="E1403" s="6">
        <f t="shared" ca="1" si="108"/>
        <v>7.3217980901116135E-4</v>
      </c>
      <c r="F1403">
        <f t="shared" ca="1" si="106"/>
        <v>9.7147098319426209E-3</v>
      </c>
      <c r="G1403">
        <f t="shared" ca="1" si="105"/>
        <v>-0.29360485898524774</v>
      </c>
      <c r="H1403">
        <f t="shared" ca="1" si="109"/>
        <v>2.8182531212802404</v>
      </c>
    </row>
    <row r="1404" spans="1:8" x14ac:dyDescent="0.25">
      <c r="A1404" s="5">
        <v>42215</v>
      </c>
      <c r="B1404">
        <v>632.59002699999996</v>
      </c>
      <c r="C1404" s="6">
        <v>-1.0444732918381927E-3</v>
      </c>
      <c r="D1404" s="6">
        <f t="shared" ca="1" si="107"/>
        <v>1.5467397191132626E-2</v>
      </c>
      <c r="E1404" s="6">
        <f t="shared" ca="1" si="108"/>
        <v>1.6511870482970818E-2</v>
      </c>
      <c r="F1404">
        <f t="shared" ca="1" si="106"/>
        <v>8.5212044253343191E-3</v>
      </c>
      <c r="G1404">
        <f t="shared" ca="1" si="105"/>
        <v>1.8775551050661023</v>
      </c>
      <c r="H1404">
        <f t="shared" ca="1" si="109"/>
        <v>2.5728032699409229</v>
      </c>
    </row>
    <row r="1405" spans="1:8" x14ac:dyDescent="0.25">
      <c r="A1405" s="1">
        <v>42216</v>
      </c>
      <c r="B1405">
        <v>625.60998500000005</v>
      </c>
      <c r="C1405" s="6">
        <v>1.1034068989519356E-2</v>
      </c>
      <c r="D1405" s="6">
        <f t="shared" ca="1" si="107"/>
        <v>5.4183949476535771E-3</v>
      </c>
      <c r="E1405" s="6">
        <f t="shared" ca="1" si="108"/>
        <v>-5.6156740418657793E-3</v>
      </c>
      <c r="F1405">
        <f t="shared" ca="1" si="106"/>
        <v>3.0532155710403533E-2</v>
      </c>
      <c r="G1405">
        <f t="shared" ca="1" si="105"/>
        <v>0.26981308761570061</v>
      </c>
      <c r="H1405">
        <f t="shared" ca="1" si="109"/>
        <v>2.7930368672993824</v>
      </c>
    </row>
    <row r="1406" spans="1:8" x14ac:dyDescent="0.25">
      <c r="A1406" s="5">
        <v>42219</v>
      </c>
      <c r="B1406">
        <v>631.21002199999998</v>
      </c>
      <c r="C1406" s="6">
        <v>-8.9513229236581459E-3</v>
      </c>
      <c r="D1406" s="6">
        <f t="shared" ca="1" si="107"/>
        <v>1.5933539180329453E-3</v>
      </c>
      <c r="E1406" s="6">
        <f t="shared" ca="1" si="108"/>
        <v>1.0544676841691091E-2</v>
      </c>
      <c r="F1406">
        <f t="shared" ca="1" si="106"/>
        <v>1.1063646909765053E-2</v>
      </c>
      <c r="G1406">
        <f t="shared" ca="1" si="105"/>
        <v>0.18653578617948344</v>
      </c>
      <c r="H1406">
        <f t="shared" ca="1" si="109"/>
        <v>2.7172938824391517</v>
      </c>
    </row>
    <row r="1407" spans="1:8" x14ac:dyDescent="0.25">
      <c r="A1407" s="1">
        <v>42220</v>
      </c>
      <c r="B1407">
        <v>629.25</v>
      </c>
      <c r="C1407" s="6">
        <v>3.1051820023224866E-3</v>
      </c>
      <c r="D1407" s="6">
        <f t="shared" ca="1" si="107"/>
        <v>4.5461725932825509E-4</v>
      </c>
      <c r="E1407" s="6">
        <f t="shared" ca="1" si="108"/>
        <v>-2.6505647429942315E-3</v>
      </c>
      <c r="F1407">
        <f t="shared" ca="1" si="106"/>
        <v>7.8433745415427171E-3</v>
      </c>
      <c r="G1407">
        <f t="shared" ca="1" si="105"/>
        <v>-0.57586321006774144</v>
      </c>
      <c r="H1407">
        <f t="shared" ca="1" si="109"/>
        <v>2.8136669820023226</v>
      </c>
    </row>
    <row r="1408" spans="1:8" x14ac:dyDescent="0.25">
      <c r="A1408" s="5">
        <v>42221</v>
      </c>
      <c r="B1408">
        <v>643.78002900000001</v>
      </c>
      <c r="C1408" s="6">
        <v>-2.3091027413587626E-2</v>
      </c>
      <c r="D1408" s="6">
        <f t="shared" ca="1" si="107"/>
        <v>-1.5560596351353998E-3</v>
      </c>
      <c r="E1408" s="6">
        <f t="shared" ca="1" si="108"/>
        <v>2.1534967778452225E-2</v>
      </c>
      <c r="F1408">
        <f t="shared" ca="1" si="106"/>
        <v>1.1487733414615051E-2</v>
      </c>
      <c r="G1408">
        <f t="shared" ca="1" si="105"/>
        <v>0.21561864469582206</v>
      </c>
      <c r="H1408">
        <f t="shared" ca="1" si="109"/>
        <v>2.4024553750944841</v>
      </c>
    </row>
    <row r="1409" spans="1:8" x14ac:dyDescent="0.25">
      <c r="A1409" s="1">
        <v>42222</v>
      </c>
      <c r="B1409">
        <v>642.67999299999997</v>
      </c>
      <c r="C1409" s="6">
        <v>1.7087140800387355E-3</v>
      </c>
      <c r="D1409" s="6">
        <f t="shared" ca="1" si="107"/>
        <v>-5.8970299031275821E-3</v>
      </c>
      <c r="E1409" s="6">
        <f t="shared" ca="1" si="108"/>
        <v>-7.6057439831663173E-3</v>
      </c>
      <c r="F1409">
        <f t="shared" ca="1" si="106"/>
        <v>8.0655654405086818E-3</v>
      </c>
      <c r="G1409">
        <f t="shared" ca="1" si="105"/>
        <v>-0.90455024541730156</v>
      </c>
      <c r="H1409">
        <f t="shared" ca="1" si="109"/>
        <v>2.7704884008703363</v>
      </c>
    </row>
    <row r="1410" spans="1:8" x14ac:dyDescent="0.25">
      <c r="A1410" s="5">
        <v>42223</v>
      </c>
      <c r="B1410">
        <v>635.29998799999998</v>
      </c>
      <c r="C1410" s="6">
        <v>1.1483172154699366E-2</v>
      </c>
      <c r="D1410" s="6">
        <f t="shared" ca="1" si="107"/>
        <v>-5.8234139863596931E-3</v>
      </c>
      <c r="E1410" s="6">
        <f t="shared" ca="1" si="108"/>
        <v>-1.7306586141059059E-2</v>
      </c>
      <c r="F1410">
        <f t="shared" ca="1" si="106"/>
        <v>1.5937831073008776E-2</v>
      </c>
      <c r="G1410">
        <f t="shared" ca="1" si="105"/>
        <v>0.28739042186901709</v>
      </c>
      <c r="H1410">
        <f t="shared" ca="1" si="109"/>
        <v>2.56048912202737</v>
      </c>
    </row>
    <row r="1411" spans="1:8" x14ac:dyDescent="0.25">
      <c r="A1411" s="1">
        <v>42226</v>
      </c>
      <c r="B1411">
        <v>633.72997999999995</v>
      </c>
      <c r="C1411" s="6">
        <v>2.4712860532905122E-3</v>
      </c>
      <c r="D1411" s="6">
        <f t="shared" ca="1" si="107"/>
        <v>4.8526909097716953E-3</v>
      </c>
      <c r="E1411" s="6">
        <f t="shared" ca="1" si="108"/>
        <v>2.381404856481183E-3</v>
      </c>
      <c r="F1411">
        <f t="shared" ca="1" si="106"/>
        <v>9.0462093502168238E-3</v>
      </c>
      <c r="G1411">
        <f t="shared" ref="G1411:G1474" ca="1" si="110">_xlfn.NORM.INV(RAND(),0,1)</f>
        <v>0.45130815022461124</v>
      </c>
      <c r="H1411">
        <f t="shared" ca="1" si="109"/>
        <v>2.8131654485175015</v>
      </c>
    </row>
    <row r="1412" spans="1:8" x14ac:dyDescent="0.25">
      <c r="A1412" s="5">
        <v>42227</v>
      </c>
      <c r="B1412">
        <v>660.78002900000001</v>
      </c>
      <c r="C1412" s="6">
        <v>-4.2683871449477676E-2</v>
      </c>
      <c r="D1412" s="6">
        <f t="shared" ca="1" si="107"/>
        <v>2.6759373808061808E-2</v>
      </c>
      <c r="E1412" s="6">
        <f t="shared" ca="1" si="108"/>
        <v>6.9443245257539477E-2</v>
      </c>
      <c r="F1412">
        <f t="shared" ref="F1412:F1475" ca="1" si="111">SQRT($K$6+$K$7*POWER($G1411,2)+$K$8*POWER($F1411,2))</f>
        <v>1.0061120642911588E-2</v>
      </c>
      <c r="G1412">
        <f t="shared" ca="1" si="110"/>
        <v>2.1454379677161883</v>
      </c>
      <c r="H1412">
        <f t="shared" ca="1" si="109"/>
        <v>-1.4601017756957446</v>
      </c>
    </row>
    <row r="1413" spans="1:8" x14ac:dyDescent="0.25">
      <c r="A1413" s="1">
        <v>42228</v>
      </c>
      <c r="B1413">
        <v>659.55999799999995</v>
      </c>
      <c r="C1413" s="6">
        <v>1.846349687423835E-3</v>
      </c>
      <c r="D1413" s="6">
        <f t="shared" ref="D1413:D1476" ca="1" si="112">($K$10*$C1412)+($K$11*$C1411)+($F1413*$G1413)</f>
        <v>-2.3990284798260122E-2</v>
      </c>
      <c r="E1413" s="6">
        <f t="shared" ca="1" si="108"/>
        <v>-2.5836634485683956E-2</v>
      </c>
      <c r="F1413">
        <f t="shared" ca="1" si="111"/>
        <v>3.4696338887813087E-2</v>
      </c>
      <c r="G1413">
        <f t="shared" ca="1" si="110"/>
        <v>-0.72350670426442687</v>
      </c>
      <c r="H1413">
        <f t="shared" ca="1" si="109"/>
        <v>2.238599239118654</v>
      </c>
    </row>
    <row r="1414" spans="1:8" x14ac:dyDescent="0.25">
      <c r="A1414" s="5">
        <v>42229</v>
      </c>
      <c r="B1414">
        <v>656.45001200000002</v>
      </c>
      <c r="C1414" s="6">
        <v>4.7152435099618271E-3</v>
      </c>
      <c r="D1414" s="6">
        <f t="shared" ca="1" si="112"/>
        <v>-8.121593670017007E-3</v>
      </c>
      <c r="E1414" s="6">
        <f t="shared" ref="E1414:E1477" ca="1" si="113">$D1414-$C1414</f>
        <v>-1.2836837179978834E-2</v>
      </c>
      <c r="F1414">
        <f t="shared" ca="1" si="111"/>
        <v>1.5889051977469065E-2</v>
      </c>
      <c r="G1414">
        <f t="shared" ca="1" si="110"/>
        <v>0.69921664053521249</v>
      </c>
      <c r="H1414">
        <f t="shared" ref="H1414:H1477" ca="1" si="114">LN(_xlfn.NORM.DIST($E1414,AVERAGE($E$5:$E$1763),_xlfn.STDEV.S($E$5:$E$1763),FALSE))</f>
        <v>2.6778820996124559</v>
      </c>
    </row>
    <row r="1415" spans="1:8" x14ac:dyDescent="0.25">
      <c r="A1415" s="1">
        <v>42230</v>
      </c>
      <c r="B1415">
        <v>657.11999500000002</v>
      </c>
      <c r="C1415" s="6">
        <v>-1.0206154128305537E-3</v>
      </c>
      <c r="D1415" s="6">
        <f t="shared" ca="1" si="112"/>
        <v>-4.1432283912118447E-3</v>
      </c>
      <c r="E1415" s="6">
        <f t="shared" ca="1" si="113"/>
        <v>-3.1226129783812912E-3</v>
      </c>
      <c r="F1415">
        <f t="shared" ca="1" si="111"/>
        <v>1.3544681529867536E-2</v>
      </c>
      <c r="G1415">
        <f t="shared" ca="1" si="110"/>
        <v>-0.36731701726182259</v>
      </c>
      <c r="H1415">
        <f t="shared" ca="1" si="114"/>
        <v>2.8114211948097494</v>
      </c>
    </row>
    <row r="1416" spans="1:8" x14ac:dyDescent="0.25">
      <c r="A1416" s="5">
        <v>42233</v>
      </c>
      <c r="B1416">
        <v>660.86999500000002</v>
      </c>
      <c r="C1416" s="6">
        <v>-5.706720277169469E-3</v>
      </c>
      <c r="D1416" s="6">
        <f t="shared" ca="1" si="112"/>
        <v>6.4171509826722074E-3</v>
      </c>
      <c r="E1416" s="6">
        <f t="shared" ca="1" si="113"/>
        <v>1.2123871259841677E-2</v>
      </c>
      <c r="F1416">
        <f t="shared" ca="1" si="111"/>
        <v>9.5109900987978904E-3</v>
      </c>
      <c r="G1416">
        <f t="shared" ca="1" si="110"/>
        <v>0.45133915775816158</v>
      </c>
      <c r="H1416">
        <f t="shared" ca="1" si="114"/>
        <v>2.6851701833237858</v>
      </c>
    </row>
    <row r="1417" spans="1:8" x14ac:dyDescent="0.25">
      <c r="A1417" s="1">
        <v>42234</v>
      </c>
      <c r="B1417">
        <v>656.13000499999998</v>
      </c>
      <c r="C1417" s="6">
        <v>7.1723486250878047E-3</v>
      </c>
      <c r="D1417" s="6">
        <f t="shared" ca="1" si="112"/>
        <v>1.7235634305703584E-2</v>
      </c>
      <c r="E1417" s="6">
        <f t="shared" ca="1" si="113"/>
        <v>1.0063285680615779E-2</v>
      </c>
      <c r="F1417">
        <f t="shared" ca="1" si="111"/>
        <v>1.0088622121258257E-2</v>
      </c>
      <c r="G1417">
        <f t="shared" ca="1" si="110"/>
        <v>1.7540129690418549</v>
      </c>
      <c r="H1417">
        <f t="shared" ca="1" si="114"/>
        <v>2.7262108801648148</v>
      </c>
    </row>
    <row r="1418" spans="1:8" x14ac:dyDescent="0.25">
      <c r="A1418" s="5">
        <v>42235</v>
      </c>
      <c r="B1418">
        <v>660.90002400000003</v>
      </c>
      <c r="C1418" s="6">
        <v>-7.269929684133326E-3</v>
      </c>
      <c r="D1418" s="6">
        <f t="shared" ca="1" si="112"/>
        <v>-2.6388514911443194E-2</v>
      </c>
      <c r="E1418" s="6">
        <f t="shared" ca="1" si="113"/>
        <v>-1.9118585227309866E-2</v>
      </c>
      <c r="F1418">
        <f t="shared" ca="1" si="111"/>
        <v>2.8665999977130419E-2</v>
      </c>
      <c r="G1418">
        <f t="shared" ca="1" si="110"/>
        <v>-0.83085994711400057</v>
      </c>
      <c r="H1418">
        <f t="shared" ca="1" si="114"/>
        <v>2.5028540926397231</v>
      </c>
    </row>
    <row r="1419" spans="1:8" x14ac:dyDescent="0.25">
      <c r="A1419" s="1">
        <v>42236</v>
      </c>
      <c r="B1419">
        <v>646.830017</v>
      </c>
      <c r="C1419" s="6">
        <v>2.1289160976032936E-2</v>
      </c>
      <c r="D1419" s="6">
        <f t="shared" ca="1" si="112"/>
        <v>-7.7581802425342444E-3</v>
      </c>
      <c r="E1419" s="6">
        <f t="shared" ca="1" si="113"/>
        <v>-2.9047341218567183E-2</v>
      </c>
      <c r="F1419">
        <f t="shared" ca="1" si="111"/>
        <v>1.643165911862789E-2</v>
      </c>
      <c r="G1419">
        <f t="shared" ca="1" si="110"/>
        <v>-0.66880716264660023</v>
      </c>
      <c r="H1419">
        <f t="shared" ca="1" si="114"/>
        <v>2.0841737989552147</v>
      </c>
    </row>
    <row r="1420" spans="1:8" x14ac:dyDescent="0.25">
      <c r="A1420" s="5">
        <v>42237</v>
      </c>
      <c r="B1420">
        <v>612.47997999999995</v>
      </c>
      <c r="C1420" s="6">
        <v>5.3105199352552687E-2</v>
      </c>
      <c r="D1420" s="6">
        <f t="shared" ca="1" si="112"/>
        <v>-7.3432054971196755E-3</v>
      </c>
      <c r="E1420" s="6">
        <f t="shared" ca="1" si="113"/>
        <v>-6.0448404849672364E-2</v>
      </c>
      <c r="F1420">
        <f t="shared" ca="1" si="111"/>
        <v>1.3196810563690665E-2</v>
      </c>
      <c r="G1420">
        <f t="shared" ca="1" si="110"/>
        <v>-0.30825936911894114</v>
      </c>
      <c r="H1420">
        <f t="shared" ca="1" si="114"/>
        <v>-0.38524834242700651</v>
      </c>
    </row>
    <row r="1421" spans="1:8" x14ac:dyDescent="0.25">
      <c r="A1421" s="1">
        <v>42240</v>
      </c>
      <c r="B1421">
        <v>589.60998500000005</v>
      </c>
      <c r="C1421" s="6">
        <v>3.7339987831112302E-2</v>
      </c>
      <c r="D1421" s="6">
        <f t="shared" ca="1" si="112"/>
        <v>8.2391253121290985E-3</v>
      </c>
      <c r="E1421" s="6">
        <f t="shared" ca="1" si="113"/>
        <v>-2.9100862518983202E-2</v>
      </c>
      <c r="F1421">
        <f t="shared" ca="1" si="111"/>
        <v>8.9375641472168293E-3</v>
      </c>
      <c r="G1421">
        <f t="shared" ca="1" si="110"/>
        <v>-0.1514654253898865</v>
      </c>
      <c r="H1421">
        <f t="shared" ca="1" si="114"/>
        <v>2.0814454086742211</v>
      </c>
    </row>
    <row r="1422" spans="1:8" x14ac:dyDescent="0.25">
      <c r="A1422" s="5">
        <v>42241</v>
      </c>
      <c r="B1422">
        <v>582.05999799999995</v>
      </c>
      <c r="C1422" s="6">
        <v>1.2805052818093134E-2</v>
      </c>
      <c r="D1422" s="6">
        <f t="shared" ca="1" si="112"/>
        <v>9.8376311003012928E-3</v>
      </c>
      <c r="E1422" s="6">
        <f t="shared" ca="1" si="113"/>
        <v>-2.9674217177918412E-3</v>
      </c>
      <c r="F1422">
        <f t="shared" ca="1" si="111"/>
        <v>7.4735029327789035E-3</v>
      </c>
      <c r="G1422">
        <f t="shared" ca="1" si="110"/>
        <v>-1.8853142700981356</v>
      </c>
      <c r="H1422">
        <f t="shared" ca="1" si="114"/>
        <v>2.8122029178168653</v>
      </c>
    </row>
    <row r="1423" spans="1:8" x14ac:dyDescent="0.25">
      <c r="A1423" s="1">
        <v>42242</v>
      </c>
      <c r="B1423">
        <v>628.61999500000002</v>
      </c>
      <c r="C1423" s="6">
        <v>-7.9991748548231392E-2</v>
      </c>
      <c r="D1423" s="6">
        <f t="shared" ca="1" si="112"/>
        <v>-4.7514012781643307E-3</v>
      </c>
      <c r="E1423" s="6">
        <f t="shared" ca="1" si="113"/>
        <v>7.5240347270067065E-2</v>
      </c>
      <c r="F1423">
        <f t="shared" ca="1" si="111"/>
        <v>3.063427996927507E-2</v>
      </c>
      <c r="G1423">
        <f t="shared" ca="1" si="110"/>
        <v>-0.70428954453585668</v>
      </c>
      <c r="H1423">
        <f t="shared" ca="1" si="114"/>
        <v>-2.2022359629973409</v>
      </c>
    </row>
    <row r="1424" spans="1:8" x14ac:dyDescent="0.25">
      <c r="A1424" s="5">
        <v>42243</v>
      </c>
      <c r="B1424">
        <v>637.60998500000005</v>
      </c>
      <c r="C1424" s="6">
        <v>-1.4301151842934991E-2</v>
      </c>
      <c r="D1424" s="6">
        <f t="shared" ca="1" si="112"/>
        <v>-3.1211132483436278E-3</v>
      </c>
      <c r="E1424" s="6">
        <f t="shared" ca="1" si="113"/>
        <v>1.1180038594591362E-2</v>
      </c>
      <c r="F1424">
        <f t="shared" ca="1" si="111"/>
        <v>1.5124750299267261E-2</v>
      </c>
      <c r="G1424">
        <f t="shared" ca="1" si="110"/>
        <v>-0.58772509363581105</v>
      </c>
      <c r="H1424">
        <f t="shared" ca="1" si="114"/>
        <v>2.7048986674643984</v>
      </c>
    </row>
    <row r="1425" spans="1:8" x14ac:dyDescent="0.25">
      <c r="A1425" s="1">
        <v>42244</v>
      </c>
      <c r="B1425">
        <v>630.38000499999998</v>
      </c>
      <c r="C1425" s="6">
        <v>1.133918879893336E-2</v>
      </c>
      <c r="D1425" s="6">
        <f t="shared" ca="1" si="112"/>
        <v>-5.5138988711277009E-2</v>
      </c>
      <c r="E1425" s="6">
        <f t="shared" ca="1" si="113"/>
        <v>-6.6478177510210373E-2</v>
      </c>
      <c r="F1425">
        <f t="shared" ca="1" si="111"/>
        <v>1.2084395370633605E-2</v>
      </c>
      <c r="G1425">
        <f t="shared" ca="1" si="110"/>
        <v>-1.5803782917511942</v>
      </c>
      <c r="H1425">
        <f t="shared" ca="1" si="114"/>
        <v>-1.0586139336584994</v>
      </c>
    </row>
    <row r="1426" spans="1:8" x14ac:dyDescent="0.25">
      <c r="A1426" s="5">
        <v>42247</v>
      </c>
      <c r="B1426">
        <v>618.25</v>
      </c>
      <c r="C1426" s="6">
        <v>1.924236952915406E-2</v>
      </c>
      <c r="D1426" s="6">
        <f t="shared" ca="1" si="112"/>
        <v>-2.0663148371262898E-2</v>
      </c>
      <c r="E1426" s="6">
        <f t="shared" ca="1" si="113"/>
        <v>-3.9905517900416958E-2</v>
      </c>
      <c r="F1426">
        <f t="shared" ca="1" si="111"/>
        <v>2.6069104506268894E-2</v>
      </c>
      <c r="G1426">
        <f t="shared" ca="1" si="110"/>
        <v>-0.54546764234165712</v>
      </c>
      <c r="H1426">
        <f t="shared" ca="1" si="114"/>
        <v>1.4271174371219433</v>
      </c>
    </row>
    <row r="1427" spans="1:8" x14ac:dyDescent="0.25">
      <c r="A1427" s="1">
        <v>42248</v>
      </c>
      <c r="B1427">
        <v>597.78997800000002</v>
      </c>
      <c r="C1427" s="6">
        <v>3.3093444399514726E-2</v>
      </c>
      <c r="D1427" s="6">
        <f t="shared" ca="1" si="112"/>
        <v>1.9885029603261391E-2</v>
      </c>
      <c r="E1427" s="6">
        <f t="shared" ca="1" si="113"/>
        <v>-1.3208414796253336E-2</v>
      </c>
      <c r="F1427">
        <f t="shared" ca="1" si="111"/>
        <v>1.2753183351367494E-2</v>
      </c>
      <c r="G1427">
        <f t="shared" ca="1" si="110"/>
        <v>1.1585939681676209</v>
      </c>
      <c r="H1427">
        <f t="shared" ca="1" si="114"/>
        <v>2.6694668639183754</v>
      </c>
    </row>
    <row r="1428" spans="1:8" x14ac:dyDescent="0.25">
      <c r="A1428" s="5">
        <v>42249</v>
      </c>
      <c r="B1428">
        <v>614.34002699999996</v>
      </c>
      <c r="C1428" s="6">
        <v>-2.7685390536941964E-2</v>
      </c>
      <c r="D1428" s="6">
        <f t="shared" ca="1" si="112"/>
        <v>-9.4722006338612465E-3</v>
      </c>
      <c r="E1428" s="6">
        <f t="shared" ca="1" si="113"/>
        <v>1.8213189903080719E-2</v>
      </c>
      <c r="F1428">
        <f t="shared" ca="1" si="111"/>
        <v>1.9784460973247348E-2</v>
      </c>
      <c r="G1428">
        <f t="shared" ca="1" si="110"/>
        <v>-0.91700910399411439</v>
      </c>
      <c r="H1428">
        <f t="shared" ca="1" si="114"/>
        <v>2.5200938351129079</v>
      </c>
    </row>
    <row r="1429" spans="1:8" x14ac:dyDescent="0.25">
      <c r="A1429" s="1">
        <v>42250</v>
      </c>
      <c r="B1429">
        <v>606.25</v>
      </c>
      <c r="C1429" s="6">
        <v>1.3168647075636444E-2</v>
      </c>
      <c r="D1429" s="6">
        <f t="shared" ca="1" si="112"/>
        <v>5.9857453877749638E-3</v>
      </c>
      <c r="E1429" s="6">
        <f t="shared" ca="1" si="113"/>
        <v>-7.1829016878614798E-3</v>
      </c>
      <c r="F1429">
        <f t="shared" ca="1" si="111"/>
        <v>1.6745149688684294E-2</v>
      </c>
      <c r="G1429">
        <f t="shared" ca="1" si="110"/>
        <v>-0.5329469900912549</v>
      </c>
      <c r="H1429">
        <f t="shared" ca="1" si="114"/>
        <v>2.7758642243795135</v>
      </c>
    </row>
    <row r="1430" spans="1:8" x14ac:dyDescent="0.25">
      <c r="A1430" s="5">
        <v>42251</v>
      </c>
      <c r="B1430">
        <v>600.70001200000002</v>
      </c>
      <c r="C1430" s="6">
        <v>9.1546193814432738E-3</v>
      </c>
      <c r="D1430" s="6">
        <f t="shared" ca="1" si="112"/>
        <v>-1.8846796950145316E-2</v>
      </c>
      <c r="E1430" s="6">
        <f t="shared" ca="1" si="113"/>
        <v>-2.8001416331588591E-2</v>
      </c>
      <c r="F1430">
        <f t="shared" ca="1" si="111"/>
        <v>1.1573226089393814E-2</v>
      </c>
      <c r="G1430">
        <f t="shared" ca="1" si="110"/>
        <v>-0.55068227039631323</v>
      </c>
      <c r="H1430">
        <f t="shared" ca="1" si="114"/>
        <v>2.136477793066172</v>
      </c>
    </row>
    <row r="1431" spans="1:8" x14ac:dyDescent="0.25">
      <c r="A1431" s="1">
        <v>42255</v>
      </c>
      <c r="B1431">
        <v>614.65997300000004</v>
      </c>
      <c r="C1431" s="6">
        <v>-2.3239488465334041E-2</v>
      </c>
      <c r="D1431" s="6">
        <f t="shared" ca="1" si="112"/>
        <v>-6.7029308639640055E-3</v>
      </c>
      <c r="E1431" s="6">
        <f t="shared" ca="1" si="113"/>
        <v>1.6536557601370037E-2</v>
      </c>
      <c r="F1431">
        <f t="shared" ca="1" si="111"/>
        <v>1.1378054864042551E-2</v>
      </c>
      <c r="G1431">
        <f t="shared" ca="1" si="110"/>
        <v>-1.1105859077608071</v>
      </c>
      <c r="H1431">
        <f t="shared" ca="1" si="114"/>
        <v>2.5720749529615641</v>
      </c>
    </row>
    <row r="1432" spans="1:8" x14ac:dyDescent="0.25">
      <c r="A1432" s="5">
        <v>42256</v>
      </c>
      <c r="B1432">
        <v>612.71997099999999</v>
      </c>
      <c r="C1432" s="6">
        <v>3.156219837337691E-3</v>
      </c>
      <c r="D1432" s="6">
        <f t="shared" ca="1" si="112"/>
        <v>8.6927774436282752E-3</v>
      </c>
      <c r="E1432" s="6">
        <f t="shared" ca="1" si="113"/>
        <v>5.5365576062905847E-3</v>
      </c>
      <c r="F1432">
        <f t="shared" ca="1" si="111"/>
        <v>1.9027510599438493E-2</v>
      </c>
      <c r="G1432">
        <f t="shared" ca="1" si="110"/>
        <v>0.24009891847210474</v>
      </c>
      <c r="H1432">
        <f t="shared" ca="1" si="114"/>
        <v>2.7900549869678537</v>
      </c>
    </row>
    <row r="1433" spans="1:8" x14ac:dyDescent="0.25">
      <c r="A1433" s="1">
        <v>42257</v>
      </c>
      <c r="B1433">
        <v>621.34997599999997</v>
      </c>
      <c r="C1433" s="6">
        <v>-1.4084745737788238E-2</v>
      </c>
      <c r="D1433" s="6">
        <f t="shared" ca="1" si="112"/>
        <v>-5.8354928679913241E-3</v>
      </c>
      <c r="E1433" s="6">
        <f t="shared" ca="1" si="113"/>
        <v>8.2492528697969136E-3</v>
      </c>
      <c r="F1433">
        <f t="shared" ca="1" si="111"/>
        <v>9.0797400441119495E-3</v>
      </c>
      <c r="G1433">
        <f t="shared" ca="1" si="110"/>
        <v>0.5104955982039221</v>
      </c>
      <c r="H1433">
        <f t="shared" ca="1" si="114"/>
        <v>2.7561382828399039</v>
      </c>
    </row>
    <row r="1434" spans="1:8" x14ac:dyDescent="0.25">
      <c r="A1434" s="5">
        <v>42258</v>
      </c>
      <c r="B1434">
        <v>625.77002000000005</v>
      </c>
      <c r="C1434" s="6">
        <v>-7.1136141799739531E-3</v>
      </c>
      <c r="D1434" s="6">
        <f t="shared" ca="1" si="112"/>
        <v>6.3300368290608519E-3</v>
      </c>
      <c r="E1434" s="6">
        <f t="shared" ca="1" si="113"/>
        <v>1.3443651009034805E-2</v>
      </c>
      <c r="F1434">
        <f t="shared" ca="1" si="111"/>
        <v>1.0747871438468202E-2</v>
      </c>
      <c r="G1434">
        <f t="shared" ca="1" si="110"/>
        <v>0.45666838666724613</v>
      </c>
      <c r="H1434">
        <f t="shared" ca="1" si="114"/>
        <v>2.6549470626329561</v>
      </c>
    </row>
    <row r="1435" spans="1:8" x14ac:dyDescent="0.25">
      <c r="A1435" s="1">
        <v>42261</v>
      </c>
      <c r="B1435">
        <v>623.23999000000003</v>
      </c>
      <c r="C1435" s="6">
        <v>4.0430668123091137E-3</v>
      </c>
      <c r="D1435" s="6">
        <f t="shared" ca="1" si="112"/>
        <v>-2.1524598527394467E-2</v>
      </c>
      <c r="E1435" s="6">
        <f t="shared" ca="1" si="113"/>
        <v>-2.5567665339703581E-2</v>
      </c>
      <c r="F1435">
        <f t="shared" ca="1" si="111"/>
        <v>1.022650224562965E-2</v>
      </c>
      <c r="G1435">
        <f t="shared" ca="1" si="110"/>
        <v>-1.4842319303019171</v>
      </c>
      <c r="H1435">
        <f t="shared" ca="1" si="114"/>
        <v>2.2507099155936801</v>
      </c>
    </row>
    <row r="1436" spans="1:8" x14ac:dyDescent="0.25">
      <c r="A1436" s="5">
        <v>42262</v>
      </c>
      <c r="B1436">
        <v>635.14001499999995</v>
      </c>
      <c r="C1436" s="6">
        <v>-1.9093808470152747E-2</v>
      </c>
      <c r="D1436" s="6">
        <f t="shared" ca="1" si="112"/>
        <v>1.0169500750247007E-2</v>
      </c>
      <c r="E1436" s="6">
        <f t="shared" ca="1" si="113"/>
        <v>2.9263309220399755E-2</v>
      </c>
      <c r="F1436">
        <f t="shared" ca="1" si="111"/>
        <v>2.4560141118847433E-2</v>
      </c>
      <c r="G1436">
        <f t="shared" ca="1" si="110"/>
        <v>0.54456209843083514</v>
      </c>
      <c r="H1436">
        <f t="shared" ca="1" si="114"/>
        <v>2.0533981984045488</v>
      </c>
    </row>
    <row r="1437" spans="1:8" x14ac:dyDescent="0.25">
      <c r="A1437" s="1">
        <v>42263</v>
      </c>
      <c r="B1437">
        <v>635.97997999999995</v>
      </c>
      <c r="C1437" s="6">
        <v>-1.3224879241784295E-3</v>
      </c>
      <c r="D1437" s="6">
        <f t="shared" ca="1" si="112"/>
        <v>1.4849794028719592E-2</v>
      </c>
      <c r="E1437" s="6">
        <f t="shared" ca="1" si="113"/>
        <v>1.6172281952898021E-2</v>
      </c>
      <c r="F1437">
        <f t="shared" ca="1" si="111"/>
        <v>1.2551899225651192E-2</v>
      </c>
      <c r="G1437">
        <f t="shared" ca="1" si="110"/>
        <v>1.0379686680931648</v>
      </c>
      <c r="H1437">
        <f t="shared" ca="1" si="114"/>
        <v>2.5827126112752659</v>
      </c>
    </row>
    <row r="1438" spans="1:8" x14ac:dyDescent="0.25">
      <c r="A1438" s="5">
        <v>42264</v>
      </c>
      <c r="B1438">
        <v>642.90002400000003</v>
      </c>
      <c r="C1438" s="6">
        <v>-1.0880914836344496E-2</v>
      </c>
      <c r="D1438" s="6">
        <f t="shared" ca="1" si="112"/>
        <v>-1.4515610798638633E-2</v>
      </c>
      <c r="E1438" s="6">
        <f t="shared" ca="1" si="113"/>
        <v>-3.634695962294137E-3</v>
      </c>
      <c r="F1438">
        <f t="shared" ca="1" si="111"/>
        <v>1.8021286408947623E-2</v>
      </c>
      <c r="G1438">
        <f t="shared" ca="1" si="110"/>
        <v>-0.32809762900358752</v>
      </c>
      <c r="H1438">
        <f t="shared" ca="1" si="114"/>
        <v>2.8085402070079688</v>
      </c>
    </row>
    <row r="1439" spans="1:8" x14ac:dyDescent="0.25">
      <c r="A1439" s="1">
        <v>42265</v>
      </c>
      <c r="B1439">
        <v>629.25</v>
      </c>
      <c r="C1439" s="6">
        <v>2.1231954410379724E-2</v>
      </c>
      <c r="D1439" s="6">
        <f t="shared" ca="1" si="112"/>
        <v>-2.0519131335027117E-2</v>
      </c>
      <c r="E1439" s="6">
        <f t="shared" ca="1" si="113"/>
        <v>-4.1751085745406841E-2</v>
      </c>
      <c r="F1439">
        <f t="shared" ca="1" si="111"/>
        <v>9.622620909573899E-3</v>
      </c>
      <c r="G1439">
        <f t="shared" ca="1" si="110"/>
        <v>-2.0704437440685131</v>
      </c>
      <c r="H1439">
        <f t="shared" ca="1" si="114"/>
        <v>1.2947469686932176</v>
      </c>
    </row>
    <row r="1440" spans="1:8" x14ac:dyDescent="0.25">
      <c r="A1440" s="5">
        <v>42268</v>
      </c>
      <c r="B1440">
        <v>635.44000200000005</v>
      </c>
      <c r="C1440" s="6">
        <v>-9.8371108462456096E-3</v>
      </c>
      <c r="D1440" s="6">
        <f t="shared" ca="1" si="112"/>
        <v>-1.581218656760559E-2</v>
      </c>
      <c r="E1440" s="6">
        <f t="shared" ca="1" si="113"/>
        <v>-5.9750757213599803E-3</v>
      </c>
      <c r="F1440">
        <f t="shared" ca="1" si="111"/>
        <v>3.3528102004482453E-2</v>
      </c>
      <c r="G1440">
        <f t="shared" ca="1" si="110"/>
        <v>-0.3254006524009333</v>
      </c>
      <c r="H1440">
        <f t="shared" ca="1" si="114"/>
        <v>2.7894818631995251</v>
      </c>
    </row>
    <row r="1441" spans="1:8" x14ac:dyDescent="0.25">
      <c r="A1441" s="1">
        <v>42269</v>
      </c>
      <c r="B1441">
        <v>622.69000200000005</v>
      </c>
      <c r="C1441" s="6">
        <v>2.0064836900211391E-2</v>
      </c>
      <c r="D1441" s="6">
        <f t="shared" ca="1" si="112"/>
        <v>6.5421769765356807E-3</v>
      </c>
      <c r="E1441" s="6">
        <f t="shared" ca="1" si="113"/>
        <v>-1.352265992367571E-2</v>
      </c>
      <c r="F1441">
        <f t="shared" ca="1" si="111"/>
        <v>1.1952510741865123E-2</v>
      </c>
      <c r="G1441">
        <f t="shared" ca="1" si="110"/>
        <v>-0.2529898870188978</v>
      </c>
      <c r="H1441">
        <f t="shared" ca="1" si="114"/>
        <v>2.6621598654213714</v>
      </c>
    </row>
    <row r="1442" spans="1:8" x14ac:dyDescent="0.25">
      <c r="A1442" s="5">
        <v>42270</v>
      </c>
      <c r="B1442">
        <v>622.35998500000005</v>
      </c>
      <c r="C1442" s="6">
        <v>5.2998602665857159E-4</v>
      </c>
      <c r="D1442" s="6">
        <f t="shared" ca="1" si="112"/>
        <v>-6.2027520801101778E-3</v>
      </c>
      <c r="E1442" s="6">
        <f t="shared" ca="1" si="113"/>
        <v>-6.7327381067687495E-3</v>
      </c>
      <c r="F1442">
        <f t="shared" ca="1" si="111"/>
        <v>8.3742962057239655E-3</v>
      </c>
      <c r="G1442">
        <f t="shared" ca="1" si="110"/>
        <v>-0.21146918415244445</v>
      </c>
      <c r="H1442">
        <f t="shared" ca="1" si="114"/>
        <v>2.7812405860720206</v>
      </c>
    </row>
    <row r="1443" spans="1:8" x14ac:dyDescent="0.25">
      <c r="A1443" s="1">
        <v>42271</v>
      </c>
      <c r="B1443">
        <v>625.79998799999998</v>
      </c>
      <c r="C1443" s="6">
        <v>-5.5273524694874673E-3</v>
      </c>
      <c r="D1443" s="6">
        <f t="shared" ca="1" si="112"/>
        <v>8.2952316858679598E-3</v>
      </c>
      <c r="E1443" s="6">
        <f t="shared" ca="1" si="113"/>
        <v>1.3822584155355427E-2</v>
      </c>
      <c r="F1443">
        <f t="shared" ca="1" si="111"/>
        <v>7.7901741406477751E-3</v>
      </c>
      <c r="G1443">
        <f t="shared" ca="1" si="110"/>
        <v>-9.5649754304696952E-2</v>
      </c>
      <c r="H1443">
        <f t="shared" ca="1" si="114"/>
        <v>2.6457013927209259</v>
      </c>
    </row>
    <row r="1444" spans="1:8" x14ac:dyDescent="0.25">
      <c r="A1444" s="5">
        <v>42272</v>
      </c>
      <c r="B1444">
        <v>611.96997099999999</v>
      </c>
      <c r="C1444" s="6">
        <v>2.2099739957169826E-2</v>
      </c>
      <c r="D1444" s="6">
        <f t="shared" ca="1" si="112"/>
        <v>4.8101323093740203E-3</v>
      </c>
      <c r="E1444" s="6">
        <f t="shared" ca="1" si="113"/>
        <v>-1.7289607647795805E-2</v>
      </c>
      <c r="F1444">
        <f t="shared" ca="1" si="111"/>
        <v>7.1541972922351191E-3</v>
      </c>
      <c r="G1444">
        <f t="shared" ca="1" si="110"/>
        <v>0.63898641287454938</v>
      </c>
      <c r="H1444">
        <f t="shared" ca="1" si="114"/>
        <v>2.5610017601975188</v>
      </c>
    </row>
    <row r="1445" spans="1:8" x14ac:dyDescent="0.25">
      <c r="A1445" s="1">
        <v>42275</v>
      </c>
      <c r="B1445">
        <v>594.89001499999995</v>
      </c>
      <c r="C1445" s="6">
        <v>2.7909794286295198E-2</v>
      </c>
      <c r="D1445" s="6">
        <f t="shared" ca="1" si="112"/>
        <v>4.459208299186659E-3</v>
      </c>
      <c r="E1445" s="6">
        <f t="shared" ca="1" si="113"/>
        <v>-2.3450585987108537E-2</v>
      </c>
      <c r="F1445">
        <f t="shared" ca="1" si="111"/>
        <v>1.2268295211785251E-2</v>
      </c>
      <c r="G1445">
        <f t="shared" ca="1" si="110"/>
        <v>0.5664380863754036</v>
      </c>
      <c r="H1445">
        <f t="shared" ca="1" si="114"/>
        <v>2.3415762682761585</v>
      </c>
    </row>
    <row r="1446" spans="1:8" x14ac:dyDescent="0.25">
      <c r="A1446" s="5">
        <v>42276</v>
      </c>
      <c r="B1446">
        <v>594.96997099999999</v>
      </c>
      <c r="C1446" s="6">
        <v>-1.3440467646786496E-4</v>
      </c>
      <c r="D1446" s="6">
        <f t="shared" ca="1" si="112"/>
        <v>2.2272865911635215E-2</v>
      </c>
      <c r="E1446" s="6">
        <f t="shared" ca="1" si="113"/>
        <v>2.240727058810308E-2</v>
      </c>
      <c r="F1446">
        <f t="shared" ca="1" si="111"/>
        <v>1.1615418596135126E-2</v>
      </c>
      <c r="G1446">
        <f t="shared" ca="1" si="110"/>
        <v>1.0602470613162949</v>
      </c>
      <c r="H1446">
        <f t="shared" ca="1" si="114"/>
        <v>2.3683348013671841</v>
      </c>
    </row>
    <row r="1447" spans="1:8" x14ac:dyDescent="0.25">
      <c r="A1447" s="1">
        <v>42277</v>
      </c>
      <c r="B1447">
        <v>608.419983</v>
      </c>
      <c r="C1447" s="6">
        <v>-2.2606203095248342E-2</v>
      </c>
      <c r="D1447" s="6">
        <f t="shared" ca="1" si="112"/>
        <v>3.8771428298869912E-2</v>
      </c>
      <c r="E1447" s="6">
        <f t="shared" ca="1" si="113"/>
        <v>6.1377631394118254E-2</v>
      </c>
      <c r="F1447">
        <f t="shared" ca="1" si="111"/>
        <v>1.8303933853666462E-2</v>
      </c>
      <c r="G1447">
        <f t="shared" ca="1" si="110"/>
        <v>1.4311939560941183</v>
      </c>
      <c r="H1447">
        <f t="shared" ca="1" si="114"/>
        <v>-0.52622861246905484</v>
      </c>
    </row>
    <row r="1448" spans="1:8" x14ac:dyDescent="0.25">
      <c r="A1448" s="5">
        <v>42278</v>
      </c>
      <c r="B1448">
        <v>611.28997800000002</v>
      </c>
      <c r="C1448" s="6">
        <v>-4.7171281026120032E-3</v>
      </c>
      <c r="D1448" s="6">
        <f t="shared" ca="1" si="112"/>
        <v>8.4606556398565819E-3</v>
      </c>
      <c r="E1448" s="6">
        <f t="shared" ca="1" si="113"/>
        <v>1.3177783742468585E-2</v>
      </c>
      <c r="F1448">
        <f t="shared" ca="1" si="111"/>
        <v>2.406464704420402E-2</v>
      </c>
      <c r="G1448">
        <f t="shared" ca="1" si="110"/>
        <v>0.35411225907243543</v>
      </c>
      <c r="H1448">
        <f t="shared" ca="1" si="114"/>
        <v>2.6612827288750993</v>
      </c>
    </row>
    <row r="1449" spans="1:8" x14ac:dyDescent="0.25">
      <c r="A1449" s="1">
        <v>42279</v>
      </c>
      <c r="B1449">
        <v>626.90997300000004</v>
      </c>
      <c r="C1449" s="6">
        <v>-2.5552512820682979E-2</v>
      </c>
      <c r="D1449" s="6">
        <f t="shared" ca="1" si="112"/>
        <v>-2.2506560894616157E-2</v>
      </c>
      <c r="E1449" s="6">
        <f t="shared" ca="1" si="113"/>
        <v>3.0459519260668221E-3</v>
      </c>
      <c r="F1449">
        <f t="shared" ca="1" si="111"/>
        <v>1.0638255256413339E-2</v>
      </c>
      <c r="G1449">
        <f t="shared" ca="1" si="110"/>
        <v>-1.158188187614446</v>
      </c>
      <c r="H1449">
        <f t="shared" ca="1" si="114"/>
        <v>2.8097584795185111</v>
      </c>
    </row>
    <row r="1450" spans="1:8" x14ac:dyDescent="0.25">
      <c r="A1450" s="5">
        <v>42282</v>
      </c>
      <c r="B1450">
        <v>641.46997099999999</v>
      </c>
      <c r="C1450" s="6">
        <v>-2.3225022135674254E-2</v>
      </c>
      <c r="D1450" s="6">
        <f t="shared" ca="1" si="112"/>
        <v>1.1367984200980355E-2</v>
      </c>
      <c r="E1450" s="6">
        <f t="shared" ca="1" si="113"/>
        <v>3.459300633665461E-2</v>
      </c>
      <c r="F1450">
        <f t="shared" ca="1" si="111"/>
        <v>1.9699016719993773E-2</v>
      </c>
      <c r="G1450">
        <f t="shared" ca="1" si="110"/>
        <v>0.68499569190351295</v>
      </c>
      <c r="H1450">
        <f t="shared" ca="1" si="114"/>
        <v>1.7512610428596842</v>
      </c>
    </row>
    <row r="1451" spans="1:8" x14ac:dyDescent="0.25">
      <c r="A1451" s="1">
        <v>42283</v>
      </c>
      <c r="B1451">
        <v>645.44000200000005</v>
      </c>
      <c r="C1451" s="6">
        <v>-6.1889584539882737E-3</v>
      </c>
      <c r="D1451" s="6">
        <f t="shared" ca="1" si="112"/>
        <v>-5.934638629786145E-3</v>
      </c>
      <c r="E1451" s="6">
        <f t="shared" ca="1" si="113"/>
        <v>2.5431982420212867E-4</v>
      </c>
      <c r="F1451">
        <f t="shared" ca="1" si="111"/>
        <v>1.3679599626128225E-2</v>
      </c>
      <c r="G1451">
        <f t="shared" ca="1" si="110"/>
        <v>0.4078048499671782</v>
      </c>
      <c r="H1451">
        <f t="shared" ca="1" si="114"/>
        <v>2.8188302656066759</v>
      </c>
    </row>
    <row r="1452" spans="1:8" x14ac:dyDescent="0.25">
      <c r="A1452" s="5">
        <v>42284</v>
      </c>
      <c r="B1452">
        <v>642.35998500000005</v>
      </c>
      <c r="C1452" s="6">
        <v>4.7719648463932637E-3</v>
      </c>
      <c r="D1452" s="6">
        <f t="shared" ca="1" si="112"/>
        <v>-2.4081241469632426E-2</v>
      </c>
      <c r="E1452" s="6">
        <f t="shared" ca="1" si="113"/>
        <v>-2.8853206316025691E-2</v>
      </c>
      <c r="F1452">
        <f t="shared" ca="1" si="111"/>
        <v>9.9271804922907332E-3</v>
      </c>
      <c r="G1452">
        <f t="shared" ca="1" si="110"/>
        <v>-1.3716829881700943</v>
      </c>
      <c r="H1452">
        <f t="shared" ca="1" si="114"/>
        <v>2.0940279119647629</v>
      </c>
    </row>
    <row r="1453" spans="1:8" x14ac:dyDescent="0.25">
      <c r="A1453" s="1">
        <v>42285</v>
      </c>
      <c r="B1453">
        <v>639.15997300000004</v>
      </c>
      <c r="C1453" s="6">
        <v>4.9816490359374035E-3</v>
      </c>
      <c r="D1453" s="6">
        <f t="shared" ca="1" si="112"/>
        <v>2.2753872502611218E-2</v>
      </c>
      <c r="E1453" s="6">
        <f t="shared" ca="1" si="113"/>
        <v>1.7772223466673814E-2</v>
      </c>
      <c r="F1453">
        <f t="shared" ca="1" si="111"/>
        <v>2.2854875801591016E-2</v>
      </c>
      <c r="G1453">
        <f t="shared" ca="1" si="110"/>
        <v>1.1175852305917076</v>
      </c>
      <c r="H1453">
        <f t="shared" ca="1" si="114"/>
        <v>2.5342460996593998</v>
      </c>
    </row>
    <row r="1454" spans="1:8" x14ac:dyDescent="0.25">
      <c r="A1454" s="5">
        <v>42286</v>
      </c>
      <c r="B1454">
        <v>643.60998500000005</v>
      </c>
      <c r="C1454" s="6">
        <v>-6.9622820388973499E-3</v>
      </c>
      <c r="D1454" s="6">
        <f t="shared" ca="1" si="112"/>
        <v>2.8818353206095465E-2</v>
      </c>
      <c r="E1454" s="6">
        <f t="shared" ca="1" si="113"/>
        <v>3.5780635244992816E-2</v>
      </c>
      <c r="F1454">
        <f t="shared" ca="1" si="111"/>
        <v>1.9770530325655958E-2</v>
      </c>
      <c r="G1454">
        <f t="shared" ca="1" si="110"/>
        <v>1.3488878937480251</v>
      </c>
      <c r="H1454">
        <f t="shared" ca="1" si="114"/>
        <v>1.6771045413217591</v>
      </c>
    </row>
    <row r="1455" spans="1:8" x14ac:dyDescent="0.25">
      <c r="A1455" s="1">
        <v>42289</v>
      </c>
      <c r="B1455">
        <v>646.669983</v>
      </c>
      <c r="C1455" s="6">
        <v>-4.754429035155429E-3</v>
      </c>
      <c r="D1455" s="6">
        <f t="shared" ca="1" si="112"/>
        <v>-4.8586488177429299E-3</v>
      </c>
      <c r="E1455" s="6">
        <f t="shared" ca="1" si="113"/>
        <v>-1.0421978258750089E-4</v>
      </c>
      <c r="F1455">
        <f t="shared" ca="1" si="111"/>
        <v>2.2920804598157599E-2</v>
      </c>
      <c r="G1455">
        <f t="shared" ca="1" si="110"/>
        <v>-0.30989532158755784</v>
      </c>
      <c r="H1455">
        <f t="shared" ca="1" si="114"/>
        <v>2.8189986571539207</v>
      </c>
    </row>
    <row r="1456" spans="1:8" x14ac:dyDescent="0.25">
      <c r="A1456" s="5">
        <v>42290</v>
      </c>
      <c r="B1456">
        <v>652.29998799999998</v>
      </c>
      <c r="C1456" s="6">
        <v>-8.7061486507871242E-3</v>
      </c>
      <c r="D1456" s="6">
        <f t="shared" ca="1" si="112"/>
        <v>7.5866748756268504E-3</v>
      </c>
      <c r="E1456" s="6">
        <f t="shared" ca="1" si="113"/>
        <v>1.6292823526413973E-2</v>
      </c>
      <c r="F1456">
        <f t="shared" ca="1" si="111"/>
        <v>1.0119908985692289E-2</v>
      </c>
      <c r="G1456">
        <f t="shared" ca="1" si="110"/>
        <v>1.0596595189201865</v>
      </c>
      <c r="H1456">
        <f t="shared" ca="1" si="114"/>
        <v>2.5792184569536509</v>
      </c>
    </row>
    <row r="1457" spans="1:8" x14ac:dyDescent="0.25">
      <c r="A1457" s="1">
        <v>42291</v>
      </c>
      <c r="B1457">
        <v>651.15997300000004</v>
      </c>
      <c r="C1457" s="6">
        <v>1.7476851463623644E-3</v>
      </c>
      <c r="D1457" s="6">
        <f t="shared" ca="1" si="112"/>
        <v>-1.9917950136429476E-2</v>
      </c>
      <c r="E1457" s="6">
        <f t="shared" ca="1" si="113"/>
        <v>-2.1665635282791841E-2</v>
      </c>
      <c r="F1457">
        <f t="shared" ca="1" si="111"/>
        <v>1.823897314711374E-2</v>
      </c>
      <c r="G1457">
        <f t="shared" ca="1" si="110"/>
        <v>-0.97459791568592102</v>
      </c>
      <c r="H1457">
        <f t="shared" ca="1" si="114"/>
        <v>2.4120410148480369</v>
      </c>
    </row>
    <row r="1458" spans="1:8" x14ac:dyDescent="0.25">
      <c r="A1458" s="5">
        <v>42292</v>
      </c>
      <c r="B1458">
        <v>661.73999000000003</v>
      </c>
      <c r="C1458" s="6">
        <v>-1.6247953557796461E-2</v>
      </c>
      <c r="D1458" s="6">
        <f t="shared" ca="1" si="112"/>
        <v>-1.576306248992327E-2</v>
      </c>
      <c r="E1458" s="6">
        <f t="shared" ca="1" si="113"/>
        <v>4.8489106787319089E-4</v>
      </c>
      <c r="F1458">
        <f t="shared" ca="1" si="111"/>
        <v>1.743401921047873E-2</v>
      </c>
      <c r="G1458">
        <f t="shared" ca="1" si="110"/>
        <v>-0.67915927553480604</v>
      </c>
      <c r="H1458">
        <f t="shared" ca="1" si="114"/>
        <v>2.818602106054624</v>
      </c>
    </row>
    <row r="1459" spans="1:8" x14ac:dyDescent="0.25">
      <c r="A1459" s="1">
        <v>42293</v>
      </c>
      <c r="B1459">
        <v>662.20001200000002</v>
      </c>
      <c r="C1459" s="6">
        <v>-6.9517031908556835E-4</v>
      </c>
      <c r="D1459" s="6">
        <f t="shared" ca="1" si="112"/>
        <v>-8.1412172440163393E-3</v>
      </c>
      <c r="E1459" s="6">
        <f t="shared" ca="1" si="113"/>
        <v>-7.4460469249307713E-3</v>
      </c>
      <c r="F1459">
        <f t="shared" ca="1" si="111"/>
        <v>1.3409055173297739E-2</v>
      </c>
      <c r="G1459">
        <f t="shared" ca="1" si="110"/>
        <v>-0.66584707203553628</v>
      </c>
      <c r="H1459">
        <f t="shared" ca="1" si="114"/>
        <v>2.7725558012924125</v>
      </c>
    </row>
    <row r="1460" spans="1:8" x14ac:dyDescent="0.25">
      <c r="A1460" s="5">
        <v>42296</v>
      </c>
      <c r="B1460">
        <v>666.09997599999997</v>
      </c>
      <c r="C1460" s="6">
        <v>-5.8894049068666495E-3</v>
      </c>
      <c r="D1460" s="6">
        <f t="shared" ca="1" si="112"/>
        <v>1.3637111786687363E-2</v>
      </c>
      <c r="E1460" s="6">
        <f t="shared" ca="1" si="113"/>
        <v>1.9526516693554014E-2</v>
      </c>
      <c r="F1460">
        <f t="shared" ca="1" si="111"/>
        <v>1.2940053071331208E-2</v>
      </c>
      <c r="G1460">
        <f t="shared" ca="1" si="110"/>
        <v>1.6196031901916643</v>
      </c>
      <c r="H1460">
        <f t="shared" ca="1" si="114"/>
        <v>2.4759110516646055</v>
      </c>
    </row>
    <row r="1461" spans="1:8" x14ac:dyDescent="0.25">
      <c r="A1461" s="1">
        <v>42297</v>
      </c>
      <c r="B1461">
        <v>650.28002900000001</v>
      </c>
      <c r="C1461" s="6">
        <v>2.3750108947609327E-2</v>
      </c>
      <c r="D1461" s="6">
        <f t="shared" ca="1" si="112"/>
        <v>-1.4053020440371704E-2</v>
      </c>
      <c r="E1461" s="6">
        <f t="shared" ca="1" si="113"/>
        <v>-3.7803129387981027E-2</v>
      </c>
      <c r="F1461">
        <f t="shared" ca="1" si="111"/>
        <v>2.6690469466359074E-2</v>
      </c>
      <c r="G1461">
        <f t="shared" ca="1" si="110"/>
        <v>-0.51477960104754528</v>
      </c>
      <c r="H1461">
        <f t="shared" ca="1" si="114"/>
        <v>1.5705832284651666</v>
      </c>
    </row>
    <row r="1462" spans="1:8" x14ac:dyDescent="0.25">
      <c r="A1462" s="5">
        <v>42298</v>
      </c>
      <c r="B1462">
        <v>642.60998500000005</v>
      </c>
      <c r="C1462" s="6">
        <v>1.1794986248916405E-2</v>
      </c>
      <c r="D1462" s="6">
        <f t="shared" ca="1" si="112"/>
        <v>-3.7576951191919089E-2</v>
      </c>
      <c r="E1462" s="6">
        <f t="shared" ca="1" si="113"/>
        <v>-4.9371937440835498E-2</v>
      </c>
      <c r="F1462">
        <f t="shared" ca="1" si="111"/>
        <v>1.251309124052769E-2</v>
      </c>
      <c r="G1462">
        <f t="shared" ca="1" si="110"/>
        <v>-2.7909835566551262</v>
      </c>
      <c r="H1462">
        <f t="shared" ca="1" si="114"/>
        <v>0.68448898539443837</v>
      </c>
    </row>
    <row r="1463" spans="1:8" x14ac:dyDescent="0.25">
      <c r="A1463" s="1">
        <v>42299</v>
      </c>
      <c r="B1463">
        <v>651.78997800000002</v>
      </c>
      <c r="C1463" s="6">
        <v>-1.4285481418406481E-2</v>
      </c>
      <c r="D1463" s="6">
        <f t="shared" ca="1" si="112"/>
        <v>6.099327197887432E-3</v>
      </c>
      <c r="E1463" s="6">
        <f t="shared" ca="1" si="113"/>
        <v>2.0384808616293913E-2</v>
      </c>
      <c r="F1463">
        <f t="shared" ca="1" si="111"/>
        <v>4.4778992835601029E-2</v>
      </c>
      <c r="G1463">
        <f t="shared" ca="1" si="110"/>
        <v>-0.10276345237777196</v>
      </c>
      <c r="H1463">
        <f t="shared" ca="1" si="114"/>
        <v>2.4453916505338382</v>
      </c>
    </row>
    <row r="1464" spans="1:8" x14ac:dyDescent="0.25">
      <c r="A1464" s="5">
        <v>42300</v>
      </c>
      <c r="B1464">
        <v>702</v>
      </c>
      <c r="C1464" s="6">
        <v>-7.7034050376270105E-2</v>
      </c>
      <c r="D1464" s="6">
        <f t="shared" ca="1" si="112"/>
        <v>2.0747482296179239E-2</v>
      </c>
      <c r="E1464" s="6">
        <f t="shared" ca="1" si="113"/>
        <v>9.7781532672449351E-2</v>
      </c>
      <c r="F1464">
        <f t="shared" ca="1" si="111"/>
        <v>1.3224450930758164E-2</v>
      </c>
      <c r="G1464">
        <f t="shared" ca="1" si="110"/>
        <v>1.1670356652722911</v>
      </c>
      <c r="H1464">
        <f t="shared" ca="1" si="114"/>
        <v>-5.6516282766562913</v>
      </c>
    </row>
    <row r="1465" spans="1:8" x14ac:dyDescent="0.25">
      <c r="A1465" s="1">
        <v>42303</v>
      </c>
      <c r="B1465">
        <v>712.78002900000001</v>
      </c>
      <c r="C1465" s="6">
        <v>-1.5356166666666685E-2</v>
      </c>
      <c r="D1465" s="6">
        <f t="shared" ca="1" si="112"/>
        <v>-2.4262473361334719E-2</v>
      </c>
      <c r="E1465" s="6">
        <f t="shared" ca="1" si="113"/>
        <v>-8.9063066946680342E-3</v>
      </c>
      <c r="F1465">
        <f t="shared" ca="1" si="111"/>
        <v>1.9927784548260448E-2</v>
      </c>
      <c r="G1465">
        <f t="shared" ca="1" si="110"/>
        <v>-0.8944685520839909</v>
      </c>
      <c r="H1465">
        <f t="shared" ca="1" si="114"/>
        <v>2.7519756454475526</v>
      </c>
    </row>
    <row r="1466" spans="1:8" x14ac:dyDescent="0.25">
      <c r="A1466" s="5">
        <v>42304</v>
      </c>
      <c r="B1466">
        <v>708.48999000000003</v>
      </c>
      <c r="C1466" s="6">
        <v>6.0187418634872819E-3</v>
      </c>
      <c r="D1466" s="6">
        <f t="shared" ca="1" si="112"/>
        <v>-5.5268192422371923E-2</v>
      </c>
      <c r="E1466" s="6">
        <f t="shared" ca="1" si="113"/>
        <v>-6.1286934285859206E-2</v>
      </c>
      <c r="F1466">
        <f t="shared" ca="1" si="111"/>
        <v>1.6448056699641986E-2</v>
      </c>
      <c r="G1466">
        <f t="shared" ca="1" si="110"/>
        <v>-1.2499782882450858</v>
      </c>
      <c r="H1466">
        <f t="shared" ca="1" si="114"/>
        <v>-0.4750483666726707</v>
      </c>
    </row>
    <row r="1467" spans="1:8" x14ac:dyDescent="0.25">
      <c r="A1467" s="1">
        <v>42305</v>
      </c>
      <c r="B1467">
        <v>712.95001200000002</v>
      </c>
      <c r="C1467" s="6">
        <v>-6.2951094058505764E-3</v>
      </c>
      <c r="D1467" s="6">
        <f t="shared" ca="1" si="112"/>
        <v>4.7759417140094294E-3</v>
      </c>
      <c r="E1467" s="6">
        <f t="shared" ca="1" si="113"/>
        <v>1.1071051119860006E-2</v>
      </c>
      <c r="F1467">
        <f t="shared" ca="1" si="111"/>
        <v>2.129259282058836E-2</v>
      </c>
      <c r="G1467">
        <f t="shared" ca="1" si="110"/>
        <v>0.54923650909441069</v>
      </c>
      <c r="H1467">
        <f t="shared" ca="1" si="114"/>
        <v>2.7070755207659416</v>
      </c>
    </row>
    <row r="1468" spans="1:8" x14ac:dyDescent="0.25">
      <c r="A1468" s="5">
        <v>42306</v>
      </c>
      <c r="B1468">
        <v>716.919983</v>
      </c>
      <c r="C1468" s="6">
        <v>-5.5683721623950074E-3</v>
      </c>
      <c r="D1468" s="6">
        <f t="shared" ca="1" si="112"/>
        <v>-5.9998149505306663E-3</v>
      </c>
      <c r="E1468" s="6">
        <f t="shared" ca="1" si="113"/>
        <v>-4.3144278813565893E-4</v>
      </c>
      <c r="F1468">
        <f t="shared" ca="1" si="111"/>
        <v>1.2219893637620634E-2</v>
      </c>
      <c r="G1468">
        <f t="shared" ca="1" si="110"/>
        <v>-0.71289463652381446</v>
      </c>
      <c r="H1468">
        <f t="shared" ca="1" si="114"/>
        <v>2.8189543135608539</v>
      </c>
    </row>
    <row r="1469" spans="1:8" x14ac:dyDescent="0.25">
      <c r="A1469" s="1">
        <v>42307</v>
      </c>
      <c r="B1469">
        <v>710.80999799999995</v>
      </c>
      <c r="C1469" s="6">
        <v>8.5225480456443785E-3</v>
      </c>
      <c r="D1469" s="6">
        <f t="shared" ca="1" si="112"/>
        <v>-2.9670005436526856E-2</v>
      </c>
      <c r="E1469" s="6">
        <f t="shared" ca="1" si="113"/>
        <v>-3.8192553482171238E-2</v>
      </c>
      <c r="F1469">
        <f t="shared" ca="1" si="111"/>
        <v>1.3481521978019705E-2</v>
      </c>
      <c r="G1469">
        <f t="shared" ca="1" si="110"/>
        <v>-1.9903990256694135</v>
      </c>
      <c r="H1469">
        <f t="shared" ca="1" si="114"/>
        <v>1.5445978288659281</v>
      </c>
    </row>
    <row r="1470" spans="1:8" x14ac:dyDescent="0.25">
      <c r="A1470" s="5">
        <v>42310</v>
      </c>
      <c r="B1470">
        <v>721.10998500000005</v>
      </c>
      <c r="C1470" s="6">
        <v>-1.4490492577455419E-2</v>
      </c>
      <c r="D1470" s="6">
        <f t="shared" ca="1" si="112"/>
        <v>-2.6536978182612275E-2</v>
      </c>
      <c r="E1470" s="6">
        <f t="shared" ca="1" si="113"/>
        <v>-1.2046485605156856E-2</v>
      </c>
      <c r="F1470">
        <f t="shared" ca="1" si="111"/>
        <v>3.2379173694161843E-2</v>
      </c>
      <c r="G1470">
        <f t="shared" ca="1" si="110"/>
        <v>-0.74208967645946333</v>
      </c>
      <c r="H1470">
        <f t="shared" ca="1" si="114"/>
        <v>2.694971027804232</v>
      </c>
    </row>
    <row r="1471" spans="1:8" x14ac:dyDescent="0.25">
      <c r="A1471" s="1">
        <v>42311</v>
      </c>
      <c r="B1471">
        <v>722.15997300000004</v>
      </c>
      <c r="C1471" s="6">
        <v>-1.4560719194589779E-3</v>
      </c>
      <c r="D1471" s="6">
        <f t="shared" ca="1" si="112"/>
        <v>-2.5413667993991387E-2</v>
      </c>
      <c r="E1471" s="6">
        <f t="shared" ca="1" si="113"/>
        <v>-2.3957596074532409E-2</v>
      </c>
      <c r="F1471">
        <f t="shared" ca="1" si="111"/>
        <v>1.5793064860963817E-2</v>
      </c>
      <c r="G1471">
        <f t="shared" ca="1" si="110"/>
        <v>-1.8522890636621838</v>
      </c>
      <c r="H1471">
        <f t="shared" ca="1" si="114"/>
        <v>2.3205354727768932</v>
      </c>
    </row>
    <row r="1472" spans="1:8" x14ac:dyDescent="0.25">
      <c r="A1472" s="5">
        <v>42312</v>
      </c>
      <c r="B1472">
        <v>728.10998500000005</v>
      </c>
      <c r="C1472" s="6">
        <v>-8.2391882996262593E-3</v>
      </c>
      <c r="D1472" s="6">
        <f t="shared" ca="1" si="112"/>
        <v>2.4019636229989816E-2</v>
      </c>
      <c r="E1472" s="6">
        <f t="shared" ca="1" si="113"/>
        <v>3.2258824529616079E-2</v>
      </c>
      <c r="F1472">
        <f t="shared" ca="1" si="111"/>
        <v>3.0328788488755507E-2</v>
      </c>
      <c r="G1472">
        <f t="shared" ca="1" si="110"/>
        <v>1.0072427411943088</v>
      </c>
      <c r="H1472">
        <f t="shared" ca="1" si="114"/>
        <v>1.8897547272878299</v>
      </c>
    </row>
    <row r="1473" spans="1:8" x14ac:dyDescent="0.25">
      <c r="A1473" s="1">
        <v>42313</v>
      </c>
      <c r="B1473">
        <v>731.25</v>
      </c>
      <c r="C1473" s="6">
        <v>-4.3125558839849564E-3</v>
      </c>
      <c r="D1473" s="6">
        <f t="shared" ca="1" si="112"/>
        <v>-2.1255740046672363E-2</v>
      </c>
      <c r="E1473" s="6">
        <f t="shared" ca="1" si="113"/>
        <v>-1.6943184162687405E-2</v>
      </c>
      <c r="F1473">
        <f t="shared" ca="1" si="111"/>
        <v>1.8904778214193615E-2</v>
      </c>
      <c r="G1473">
        <f t="shared" ca="1" si="110"/>
        <v>-1.0896483547850944</v>
      </c>
      <c r="H1473">
        <f t="shared" ca="1" si="114"/>
        <v>2.5713503608188581</v>
      </c>
    </row>
    <row r="1474" spans="1:8" x14ac:dyDescent="0.25">
      <c r="A1474" s="5">
        <v>42314</v>
      </c>
      <c r="B1474">
        <v>733.76000999999997</v>
      </c>
      <c r="C1474" s="6">
        <v>-3.4324923076922607E-3</v>
      </c>
      <c r="D1474" s="6">
        <f t="shared" ca="1" si="112"/>
        <v>-1.2352505931252547E-2</v>
      </c>
      <c r="E1474" s="6">
        <f t="shared" ca="1" si="113"/>
        <v>-8.9200136235602859E-3</v>
      </c>
      <c r="F1474">
        <f t="shared" ca="1" si="111"/>
        <v>1.9104237389886009E-2</v>
      </c>
      <c r="G1474">
        <f t="shared" ca="1" si="110"/>
        <v>-0.4522667457126619</v>
      </c>
      <c r="H1474">
        <f t="shared" ca="1" si="114"/>
        <v>2.7517646376752096</v>
      </c>
    </row>
    <row r="1475" spans="1:8" x14ac:dyDescent="0.25">
      <c r="A1475" s="1">
        <v>42317</v>
      </c>
      <c r="B1475">
        <v>724.89001499999995</v>
      </c>
      <c r="C1475" s="6">
        <v>1.2088414303199785E-2</v>
      </c>
      <c r="D1475" s="6">
        <f t="shared" ca="1" si="112"/>
        <v>7.3795149741215224E-3</v>
      </c>
      <c r="E1475" s="6">
        <f t="shared" ca="1" si="113"/>
        <v>-4.7088993290782628E-3</v>
      </c>
      <c r="F1475">
        <f t="shared" ca="1" si="111"/>
        <v>1.0927224870606557E-2</v>
      </c>
      <c r="G1475">
        <f t="shared" ref="G1475:G1538" ca="1" si="115">_xlfn.NORM.INV(RAND(),0,1)</f>
        <v>0.853155651904971</v>
      </c>
      <c r="H1475">
        <f t="shared" ca="1" si="114"/>
        <v>2.8009929727884444</v>
      </c>
    </row>
    <row r="1476" spans="1:8" x14ac:dyDescent="0.25">
      <c r="A1476" s="5">
        <v>42318</v>
      </c>
      <c r="B1476">
        <v>728.32000700000003</v>
      </c>
      <c r="C1476" s="6">
        <v>-4.731741269742947E-3</v>
      </c>
      <c r="D1476" s="6">
        <f t="shared" ca="1" si="112"/>
        <v>-1.0718815502319644E-2</v>
      </c>
      <c r="E1476" s="6">
        <f t="shared" ca="1" si="113"/>
        <v>-5.9870742325766968E-3</v>
      </c>
      <c r="F1476">
        <f t="shared" ref="F1476:F1539" ca="1" si="116">SQRT($K$6+$K$7*POWER($G1475,2)+$K$8*POWER($F1475,2))</f>
        <v>1.532468039998988E-2</v>
      </c>
      <c r="G1476">
        <f t="shared" ca="1" si="115"/>
        <v>-0.59854313749253041</v>
      </c>
      <c r="H1476">
        <f t="shared" ca="1" si="114"/>
        <v>2.7893592479456633</v>
      </c>
    </row>
    <row r="1477" spans="1:8" x14ac:dyDescent="0.25">
      <c r="A1477" s="1">
        <v>42319</v>
      </c>
      <c r="B1477">
        <v>735.40002400000003</v>
      </c>
      <c r="C1477" s="6">
        <v>-9.721025005427316E-3</v>
      </c>
      <c r="D1477" s="6">
        <f t="shared" ref="D1477:D1540" ca="1" si="117">($K$10*$C1476)+($K$11*$C1475)+($F1477*$G1477)</f>
        <v>6.2008766478740176E-3</v>
      </c>
      <c r="E1477" s="6">
        <f t="shared" ca="1" si="113"/>
        <v>1.5921901653301332E-2</v>
      </c>
      <c r="F1477">
        <f t="shared" ca="1" si="116"/>
        <v>1.2232402127314111E-2</v>
      </c>
      <c r="G1477">
        <f t="shared" ca="1" si="115"/>
        <v>6.1675226441552454E-2</v>
      </c>
      <c r="H1477">
        <f t="shared" ca="1" si="114"/>
        <v>2.5898884600664664</v>
      </c>
    </row>
    <row r="1478" spans="1:8" x14ac:dyDescent="0.25">
      <c r="A1478" s="5">
        <v>42320</v>
      </c>
      <c r="B1478">
        <v>731.22997999999995</v>
      </c>
      <c r="C1478" s="6">
        <v>5.6704431111088398E-3</v>
      </c>
      <c r="D1478" s="6">
        <f t="shared" ca="1" si="117"/>
        <v>-1.3224341158553908E-2</v>
      </c>
      <c r="E1478" s="6">
        <f t="shared" ref="E1478:E1541" ca="1" si="118">$D1478-$C1478</f>
        <v>-1.8894784269662748E-2</v>
      </c>
      <c r="F1478">
        <f t="shared" ca="1" si="116"/>
        <v>7.4489398333956519E-3</v>
      </c>
      <c r="G1478">
        <f t="shared" ca="1" si="115"/>
        <v>-1.4891060776751854</v>
      </c>
      <c r="H1478">
        <f t="shared" ref="H1478:H1541" ca="1" si="119">LN(_xlfn.NORM.DIST($E1478,AVERAGE($E$5:$E$1763),_xlfn.STDEV.S($E$5:$E$1763),FALSE))</f>
        <v>2.5102862956494114</v>
      </c>
    </row>
    <row r="1479" spans="1:8" x14ac:dyDescent="0.25">
      <c r="A1479" s="1">
        <v>42321</v>
      </c>
      <c r="B1479">
        <v>717</v>
      </c>
      <c r="C1479" s="6">
        <v>1.9460334490114802E-2</v>
      </c>
      <c r="D1479" s="6">
        <f t="shared" ca="1" si="117"/>
        <v>-1.7365952764550722E-2</v>
      </c>
      <c r="E1479" s="6">
        <f t="shared" ca="1" si="118"/>
        <v>-3.6826287254665524E-2</v>
      </c>
      <c r="F1479">
        <f t="shared" ca="1" si="116"/>
        <v>2.4570601358569547E-2</v>
      </c>
      <c r="G1479">
        <f t="shared" ca="1" si="115"/>
        <v>-0.52852477078326343</v>
      </c>
      <c r="H1479">
        <f t="shared" ca="1" si="119"/>
        <v>1.6345879348917782</v>
      </c>
    </row>
    <row r="1480" spans="1:8" x14ac:dyDescent="0.25">
      <c r="A1480" s="5">
        <v>42324</v>
      </c>
      <c r="B1480">
        <v>728.96002199999998</v>
      </c>
      <c r="C1480" s="6">
        <v>-1.6680644351464408E-2</v>
      </c>
      <c r="D1480" s="6">
        <f t="shared" ca="1" si="117"/>
        <v>-4.1326807266874399E-3</v>
      </c>
      <c r="E1480" s="6">
        <f t="shared" ca="1" si="118"/>
        <v>1.2547963624776969E-2</v>
      </c>
      <c r="F1480">
        <f t="shared" ca="1" si="116"/>
        <v>1.2380398179126929E-2</v>
      </c>
      <c r="G1480">
        <f t="shared" ca="1" si="115"/>
        <v>-0.54019748976243243</v>
      </c>
      <c r="H1480">
        <f t="shared" ca="1" si="119"/>
        <v>2.6757936305146468</v>
      </c>
    </row>
    <row r="1481" spans="1:8" x14ac:dyDescent="0.25">
      <c r="A1481" s="1">
        <v>42325</v>
      </c>
      <c r="B1481">
        <v>725.29998799999998</v>
      </c>
      <c r="C1481" s="6">
        <v>5.020898114492205E-3</v>
      </c>
      <c r="D1481" s="6">
        <f t="shared" ca="1" si="117"/>
        <v>2.6462837581421768E-3</v>
      </c>
      <c r="E1481" s="6">
        <f t="shared" ca="1" si="118"/>
        <v>-2.3746143563500282E-3</v>
      </c>
      <c r="F1481">
        <f t="shared" ca="1" si="116"/>
        <v>1.1305890324756932E-2</v>
      </c>
      <c r="G1481">
        <f t="shared" ca="1" si="115"/>
        <v>-0.54143712403779631</v>
      </c>
      <c r="H1481">
        <f t="shared" ca="1" si="119"/>
        <v>2.8147976723772077</v>
      </c>
    </row>
    <row r="1482" spans="1:8" x14ac:dyDescent="0.25">
      <c r="A1482" s="5">
        <v>42326</v>
      </c>
      <c r="B1482">
        <v>740</v>
      </c>
      <c r="C1482" s="6">
        <v>-2.0267492407569178E-2</v>
      </c>
      <c r="D1482" s="6">
        <f t="shared" ca="1" si="117"/>
        <v>7.2690973770833372E-3</v>
      </c>
      <c r="E1482" s="6">
        <f t="shared" ca="1" si="118"/>
        <v>2.7536589784652517E-2</v>
      </c>
      <c r="F1482">
        <f t="shared" ca="1" si="116"/>
        <v>1.1249191880223445E-2</v>
      </c>
      <c r="G1482">
        <f t="shared" ca="1" si="115"/>
        <v>1.3142805515007494</v>
      </c>
      <c r="H1482">
        <f t="shared" ca="1" si="119"/>
        <v>2.140532248144861</v>
      </c>
    </row>
    <row r="1483" spans="1:8" x14ac:dyDescent="0.25">
      <c r="A1483" s="1">
        <v>42327</v>
      </c>
      <c r="B1483">
        <v>738.40997300000004</v>
      </c>
      <c r="C1483" s="6">
        <v>2.1486851351350859E-3</v>
      </c>
      <c r="D1483" s="6">
        <f t="shared" ca="1" si="117"/>
        <v>-1.3825827754508463E-2</v>
      </c>
      <c r="E1483" s="6">
        <f t="shared" ca="1" si="118"/>
        <v>-1.597451288964355E-2</v>
      </c>
      <c r="F1483">
        <f t="shared" ca="1" si="116"/>
        <v>2.203453924880041E-2</v>
      </c>
      <c r="G1483">
        <f t="shared" ca="1" si="115"/>
        <v>-0.73011251691671786</v>
      </c>
      <c r="H1483">
        <f t="shared" ca="1" si="119"/>
        <v>2.59916298399461</v>
      </c>
    </row>
    <row r="1484" spans="1:8" x14ac:dyDescent="0.25">
      <c r="A1484" s="5">
        <v>42328</v>
      </c>
      <c r="B1484">
        <v>756.59997599999997</v>
      </c>
      <c r="C1484" s="6">
        <v>-2.4634015878872661E-2</v>
      </c>
      <c r="D1484" s="6">
        <f t="shared" ca="1" si="117"/>
        <v>-1.7400244625290655E-2</v>
      </c>
      <c r="E1484" s="6">
        <f t="shared" ca="1" si="118"/>
        <v>7.233771253582006E-3</v>
      </c>
      <c r="F1484">
        <f t="shared" ca="1" si="116"/>
        <v>1.4467159292490067E-2</v>
      </c>
      <c r="G1484">
        <f t="shared" ca="1" si="115"/>
        <v>-0.57154421238920916</v>
      </c>
      <c r="H1484">
        <f t="shared" ca="1" si="119"/>
        <v>2.7703557542518125</v>
      </c>
    </row>
    <row r="1485" spans="1:8" x14ac:dyDescent="0.25">
      <c r="A1485" s="1">
        <v>42331</v>
      </c>
      <c r="B1485">
        <v>755.97997999999995</v>
      </c>
      <c r="C1485" s="6">
        <v>8.1945019781498737E-4</v>
      </c>
      <c r="D1485" s="6">
        <f t="shared" ca="1" si="117"/>
        <v>9.6163443928018802E-3</v>
      </c>
      <c r="E1485" s="6">
        <f t="shared" ca="1" si="118"/>
        <v>8.7968941949868925E-3</v>
      </c>
      <c r="F1485">
        <f t="shared" ca="1" si="116"/>
        <v>1.183646784888291E-2</v>
      </c>
      <c r="G1485">
        <f t="shared" ca="1" si="115"/>
        <v>0.73067802111016489</v>
      </c>
      <c r="H1485">
        <f t="shared" ca="1" si="119"/>
        <v>2.7477154779601713</v>
      </c>
    </row>
    <row r="1486" spans="1:8" x14ac:dyDescent="0.25">
      <c r="A1486" s="5">
        <v>42332</v>
      </c>
      <c r="B1486">
        <v>748.28002900000001</v>
      </c>
      <c r="C1486" s="6">
        <v>1.0185390094589465E-2</v>
      </c>
      <c r="D1486" s="6">
        <f t="shared" ca="1" si="117"/>
        <v>1.1625068625689905E-2</v>
      </c>
      <c r="E1486" s="6">
        <f t="shared" ca="1" si="118"/>
        <v>1.4396785311004395E-3</v>
      </c>
      <c r="F1486">
        <f t="shared" ca="1" si="116"/>
        <v>1.3696473701518703E-2</v>
      </c>
      <c r="G1486">
        <f t="shared" ca="1" si="115"/>
        <v>1.6591191241339758</v>
      </c>
      <c r="H1486">
        <f t="shared" ca="1" si="119"/>
        <v>2.8166585404102076</v>
      </c>
    </row>
    <row r="1487" spans="1:8" x14ac:dyDescent="0.25">
      <c r="A1487" s="1">
        <v>42333</v>
      </c>
      <c r="B1487">
        <v>748.15002400000003</v>
      </c>
      <c r="C1487" s="6">
        <v>1.7373843342274048E-4</v>
      </c>
      <c r="D1487" s="6">
        <f t="shared" ca="1" si="117"/>
        <v>2.3558109837992368E-3</v>
      </c>
      <c r="E1487" s="6">
        <f t="shared" ca="1" si="118"/>
        <v>2.1820725503764963E-3</v>
      </c>
      <c r="F1487">
        <f t="shared" ca="1" si="116"/>
        <v>2.7314759439667442E-2</v>
      </c>
      <c r="G1487">
        <f t="shared" ca="1" si="115"/>
        <v>7.2723816276088954E-2</v>
      </c>
      <c r="H1487">
        <f t="shared" ca="1" si="119"/>
        <v>2.8140354132111893</v>
      </c>
    </row>
    <row r="1488" spans="1:8" x14ac:dyDescent="0.25">
      <c r="A1488" s="5">
        <v>42335</v>
      </c>
      <c r="B1488">
        <v>750.26000999999997</v>
      </c>
      <c r="C1488" s="6">
        <v>-2.8202712454901092E-3</v>
      </c>
      <c r="D1488" s="6">
        <f t="shared" ca="1" si="117"/>
        <v>7.6369326045226558E-3</v>
      </c>
      <c r="E1488" s="6">
        <f t="shared" ca="1" si="118"/>
        <v>1.0457203850012765E-2</v>
      </c>
      <c r="F1488">
        <f t="shared" ca="1" si="116"/>
        <v>9.6796694261001102E-3</v>
      </c>
      <c r="G1488">
        <f t="shared" ca="1" si="115"/>
        <v>0.31486940124205276</v>
      </c>
      <c r="H1488">
        <f t="shared" ca="1" si="119"/>
        <v>2.7189445869759821</v>
      </c>
    </row>
    <row r="1489" spans="1:8" x14ac:dyDescent="0.25">
      <c r="A1489" s="1">
        <v>42338</v>
      </c>
      <c r="B1489">
        <v>742.59997599999997</v>
      </c>
      <c r="C1489" s="6">
        <v>1.0209839119640665E-2</v>
      </c>
      <c r="D1489" s="6">
        <f t="shared" ca="1" si="117"/>
        <v>-5.0587231417472073E-4</v>
      </c>
      <c r="E1489" s="6">
        <f t="shared" ca="1" si="118"/>
        <v>-1.0715711433815386E-2</v>
      </c>
      <c r="F1489">
        <f t="shared" ca="1" si="116"/>
        <v>8.7067315055587968E-3</v>
      </c>
      <c r="G1489">
        <f t="shared" ca="1" si="115"/>
        <v>-6.7086565984983332E-2</v>
      </c>
      <c r="H1489">
        <f t="shared" ca="1" si="119"/>
        <v>2.7212539148127828</v>
      </c>
    </row>
    <row r="1490" spans="1:8" x14ac:dyDescent="0.25">
      <c r="A1490" s="5">
        <v>42339</v>
      </c>
      <c r="B1490">
        <v>767.03997800000002</v>
      </c>
      <c r="C1490" s="6">
        <v>-3.2911396161962779E-2</v>
      </c>
      <c r="D1490" s="6">
        <f t="shared" ca="1" si="117"/>
        <v>5.9445491797834767E-3</v>
      </c>
      <c r="E1490" s="6">
        <f t="shared" ca="1" si="118"/>
        <v>3.8855945341746259E-2</v>
      </c>
      <c r="F1490">
        <f t="shared" ca="1" si="116"/>
        <v>7.1398872628876649E-3</v>
      </c>
      <c r="G1490">
        <f t="shared" ca="1" si="115"/>
        <v>1.0105303858247325</v>
      </c>
      <c r="H1490">
        <f t="shared" ca="1" si="119"/>
        <v>1.4735104730376567</v>
      </c>
    </row>
    <row r="1491" spans="1:8" x14ac:dyDescent="0.25">
      <c r="A1491" s="1">
        <v>42340</v>
      </c>
      <c r="B1491">
        <v>762.38000499999998</v>
      </c>
      <c r="C1491" s="6">
        <v>6.07526743540874E-3</v>
      </c>
      <c r="D1491" s="6">
        <f t="shared" ca="1" si="117"/>
        <v>1.2543501991816027E-2</v>
      </c>
      <c r="E1491" s="6">
        <f t="shared" ca="1" si="118"/>
        <v>6.4682345564072872E-3</v>
      </c>
      <c r="F1491">
        <f t="shared" ca="1" si="116"/>
        <v>1.7433711192107647E-2</v>
      </c>
      <c r="G1491">
        <f t="shared" ca="1" si="115"/>
        <v>0.4556650390190729</v>
      </c>
      <c r="H1491">
        <f t="shared" ca="1" si="119"/>
        <v>2.779870608135568</v>
      </c>
    </row>
    <row r="1492" spans="1:8" x14ac:dyDescent="0.25">
      <c r="A1492" s="5">
        <v>42341</v>
      </c>
      <c r="B1492">
        <v>752.53997800000002</v>
      </c>
      <c r="C1492" s="6">
        <v>1.2906984621140429E-2</v>
      </c>
      <c r="D1492" s="6">
        <f t="shared" ca="1" si="117"/>
        <v>-1.2380054793459591E-2</v>
      </c>
      <c r="E1492" s="6">
        <f t="shared" ca="1" si="118"/>
        <v>-2.5287039414600018E-2</v>
      </c>
      <c r="F1492">
        <f t="shared" ca="1" si="116"/>
        <v>1.0784465587614681E-2</v>
      </c>
      <c r="G1492">
        <f t="shared" ca="1" si="115"/>
        <v>0.2270211779257976</v>
      </c>
      <c r="H1492">
        <f t="shared" ca="1" si="119"/>
        <v>2.2632093472746919</v>
      </c>
    </row>
    <row r="1493" spans="1:8" x14ac:dyDescent="0.25">
      <c r="A1493" s="1">
        <v>42342</v>
      </c>
      <c r="B1493">
        <v>766.80999799999995</v>
      </c>
      <c r="C1493" s="6">
        <v>-1.8962474309902951E-2</v>
      </c>
      <c r="D1493" s="6">
        <f t="shared" ca="1" si="117"/>
        <v>8.649759422643748E-3</v>
      </c>
      <c r="E1493" s="6">
        <f t="shared" ca="1" si="118"/>
        <v>2.7612233732546697E-2</v>
      </c>
      <c r="F1493">
        <f t="shared" ca="1" si="116"/>
        <v>8.0822849899004883E-3</v>
      </c>
      <c r="G1493">
        <f t="shared" ca="1" si="115"/>
        <v>0.73151245421551925</v>
      </c>
      <c r="H1493">
        <f t="shared" ca="1" si="119"/>
        <v>2.1368253054567887</v>
      </c>
    </row>
    <row r="1494" spans="1:8" x14ac:dyDescent="0.25">
      <c r="A1494" s="5">
        <v>42345</v>
      </c>
      <c r="B1494">
        <v>763.25</v>
      </c>
      <c r="C1494" s="6">
        <v>4.6426076984978889E-3</v>
      </c>
      <c r="D1494" s="6">
        <f t="shared" ca="1" si="117"/>
        <v>-4.9115954873452296E-3</v>
      </c>
      <c r="E1494" s="6">
        <f t="shared" ca="1" si="118"/>
        <v>-9.5542031858431194E-3</v>
      </c>
      <c r="F1494">
        <f t="shared" ca="1" si="116"/>
        <v>1.3533483223096254E-2</v>
      </c>
      <c r="G1494">
        <f t="shared" ca="1" si="115"/>
        <v>-0.79259810047110779</v>
      </c>
      <c r="H1494">
        <f t="shared" ca="1" si="119"/>
        <v>2.7416391673712721</v>
      </c>
    </row>
    <row r="1495" spans="1:8" x14ac:dyDescent="0.25">
      <c r="A1495" s="1">
        <v>42346</v>
      </c>
      <c r="B1495">
        <v>762.36999500000002</v>
      </c>
      <c r="C1495" s="6">
        <v>1.1529708483458668E-3</v>
      </c>
      <c r="D1495" s="6">
        <f t="shared" ca="1" si="117"/>
        <v>5.5316622228909536E-3</v>
      </c>
      <c r="E1495" s="6">
        <f t="shared" ca="1" si="118"/>
        <v>4.3786913745450864E-3</v>
      </c>
      <c r="F1495">
        <f t="shared" ca="1" si="116"/>
        <v>1.4626640357693566E-2</v>
      </c>
      <c r="G1495">
        <f t="shared" ca="1" si="115"/>
        <v>0.96230297256838038</v>
      </c>
      <c r="H1495">
        <f t="shared" ca="1" si="119"/>
        <v>2.800576802177789</v>
      </c>
    </row>
    <row r="1496" spans="1:8" x14ac:dyDescent="0.25">
      <c r="A1496" s="5">
        <v>42347</v>
      </c>
      <c r="B1496">
        <v>751.60998500000005</v>
      </c>
      <c r="C1496" s="6">
        <v>1.4113894920536538E-2</v>
      </c>
      <c r="D1496" s="6">
        <f t="shared" ca="1" si="117"/>
        <v>-7.059226992189525E-3</v>
      </c>
      <c r="E1496" s="6">
        <f t="shared" ca="1" si="118"/>
        <v>-2.1173121912726064E-2</v>
      </c>
      <c r="F1496">
        <f t="shared" ca="1" si="116"/>
        <v>1.7042644303286211E-2</v>
      </c>
      <c r="G1496">
        <f t="shared" ca="1" si="115"/>
        <v>-0.53694749108209294</v>
      </c>
      <c r="H1496">
        <f t="shared" ca="1" si="119"/>
        <v>2.4304941676489733</v>
      </c>
    </row>
    <row r="1497" spans="1:8" x14ac:dyDescent="0.25">
      <c r="A1497" s="1">
        <v>42348</v>
      </c>
      <c r="B1497">
        <v>749.46002199999998</v>
      </c>
      <c r="C1497" s="6">
        <v>2.8604769001306847E-3</v>
      </c>
      <c r="D1497" s="6">
        <f t="shared" ca="1" si="117"/>
        <v>-8.2674139101440152E-3</v>
      </c>
      <c r="E1497" s="6">
        <f t="shared" ca="1" si="118"/>
        <v>-1.1127890810274699E-2</v>
      </c>
      <c r="F1497">
        <f t="shared" ca="1" si="116"/>
        <v>1.1646834927094937E-2</v>
      </c>
      <c r="G1497">
        <f t="shared" ca="1" si="115"/>
        <v>-0.75446474698570254</v>
      </c>
      <c r="H1497">
        <f t="shared" ca="1" si="119"/>
        <v>2.7134474732317431</v>
      </c>
    </row>
    <row r="1498" spans="1:8" x14ac:dyDescent="0.25">
      <c r="A1498" s="5">
        <v>42349</v>
      </c>
      <c r="B1498">
        <v>738.86999500000002</v>
      </c>
      <c r="C1498" s="6">
        <v>1.4130209336235901E-2</v>
      </c>
      <c r="D1498" s="6">
        <f t="shared" ca="1" si="117"/>
        <v>3.2572362163607177E-2</v>
      </c>
      <c r="E1498" s="6">
        <f t="shared" ca="1" si="118"/>
        <v>1.8442152827371276E-2</v>
      </c>
      <c r="F1498">
        <f t="shared" ca="1" si="116"/>
        <v>1.4005541828256255E-2</v>
      </c>
      <c r="G1498">
        <f t="shared" ca="1" si="115"/>
        <v>1.8716306810120038</v>
      </c>
      <c r="H1498">
        <f t="shared" ca="1" si="119"/>
        <v>2.5126101940062688</v>
      </c>
    </row>
    <row r="1499" spans="1:8" x14ac:dyDescent="0.25">
      <c r="A1499" s="1">
        <v>42352</v>
      </c>
      <c r="B1499">
        <v>747.77002000000005</v>
      </c>
      <c r="C1499" s="6">
        <v>-1.2045454626967262E-2</v>
      </c>
      <c r="D1499" s="6">
        <f t="shared" ca="1" si="117"/>
        <v>3.4846074302974338E-2</v>
      </c>
      <c r="E1499" s="6">
        <f t="shared" ca="1" si="118"/>
        <v>4.6891528929941598E-2</v>
      </c>
      <c r="F1499">
        <f t="shared" ca="1" si="116"/>
        <v>3.0569410308743165E-2</v>
      </c>
      <c r="G1499">
        <f t="shared" ca="1" si="115"/>
        <v>1.0977324248733096</v>
      </c>
      <c r="H1499">
        <f t="shared" ca="1" si="119"/>
        <v>0.86274214632983692</v>
      </c>
    </row>
    <row r="1500" spans="1:8" x14ac:dyDescent="0.25">
      <c r="A1500" s="5">
        <v>42353</v>
      </c>
      <c r="B1500">
        <v>743.40002400000003</v>
      </c>
      <c r="C1500" s="6">
        <v>5.8440374488402391E-3</v>
      </c>
      <c r="D1500" s="6">
        <f t="shared" ca="1" si="117"/>
        <v>3.1062172146858802E-2</v>
      </c>
      <c r="E1500" s="6">
        <f t="shared" ca="1" si="118"/>
        <v>2.5218134698018563E-2</v>
      </c>
      <c r="F1500">
        <f t="shared" ca="1" si="116"/>
        <v>2.0149639143337682E-2</v>
      </c>
      <c r="G1500">
        <f t="shared" ca="1" si="115"/>
        <v>1.2256253119494369</v>
      </c>
      <c r="H1500">
        <f t="shared" ca="1" si="119"/>
        <v>2.2492501527373228</v>
      </c>
    </row>
    <row r="1501" spans="1:8" x14ac:dyDescent="0.25">
      <c r="A1501" s="1">
        <v>42354</v>
      </c>
      <c r="B1501">
        <v>758.09002699999996</v>
      </c>
      <c r="C1501" s="6">
        <v>-1.976056298862849E-2</v>
      </c>
      <c r="D1501" s="6">
        <f t="shared" ca="1" si="117"/>
        <v>-4.1682195140302018E-2</v>
      </c>
      <c r="E1501" s="6">
        <f t="shared" ca="1" si="118"/>
        <v>-2.1921632151673528E-2</v>
      </c>
      <c r="F1501">
        <f t="shared" ca="1" si="116"/>
        <v>2.1139407604714573E-2</v>
      </c>
      <c r="G1501">
        <f t="shared" ca="1" si="115"/>
        <v>-1.7150494242599157</v>
      </c>
      <c r="H1501">
        <f t="shared" ca="1" si="119"/>
        <v>2.4022804016530093</v>
      </c>
    </row>
    <row r="1502" spans="1:8" x14ac:dyDescent="0.25">
      <c r="A1502" s="5">
        <v>42355</v>
      </c>
      <c r="B1502">
        <v>749.42999299999997</v>
      </c>
      <c r="C1502" s="6">
        <v>1.1423490207713808E-2</v>
      </c>
      <c r="D1502" s="6">
        <f t="shared" ca="1" si="117"/>
        <v>-6.6313974411332122E-3</v>
      </c>
      <c r="E1502" s="6">
        <f t="shared" ca="1" si="118"/>
        <v>-1.805488764884702E-2</v>
      </c>
      <c r="F1502">
        <f t="shared" ca="1" si="116"/>
        <v>2.8456826883804541E-2</v>
      </c>
      <c r="G1502">
        <f t="shared" ca="1" si="115"/>
        <v>-0.32555077714172925</v>
      </c>
      <c r="H1502">
        <f t="shared" ca="1" si="119"/>
        <v>2.5373900037402533</v>
      </c>
    </row>
    <row r="1503" spans="1:8" x14ac:dyDescent="0.25">
      <c r="A1503" s="1">
        <v>42356</v>
      </c>
      <c r="B1503">
        <v>739.30999799999995</v>
      </c>
      <c r="C1503" s="6">
        <v>1.3503589520735952E-2</v>
      </c>
      <c r="D1503" s="6">
        <f t="shared" ca="1" si="117"/>
        <v>-5.6010913551705205E-3</v>
      </c>
      <c r="E1503" s="6">
        <f t="shared" ca="1" si="118"/>
        <v>-1.9104680875906471E-2</v>
      </c>
      <c r="F1503">
        <f t="shared" ca="1" si="116"/>
        <v>1.10881118961109E-2</v>
      </c>
      <c r="G1503">
        <f t="shared" ca="1" si="115"/>
        <v>0.2977944453864555</v>
      </c>
      <c r="H1503">
        <f t="shared" ca="1" si="119"/>
        <v>2.5033184175676775</v>
      </c>
    </row>
    <row r="1504" spans="1:8" x14ac:dyDescent="0.25">
      <c r="A1504" s="5">
        <v>42359</v>
      </c>
      <c r="B1504">
        <v>747.77002000000005</v>
      </c>
      <c r="C1504" s="6">
        <v>-1.1443132140626205E-2</v>
      </c>
      <c r="D1504" s="6">
        <f t="shared" ca="1" si="117"/>
        <v>1.9958498788472636E-2</v>
      </c>
      <c r="E1504" s="6">
        <f t="shared" ca="1" si="118"/>
        <v>3.1401630929098839E-2</v>
      </c>
      <c r="F1504">
        <f t="shared" ca="1" si="116"/>
        <v>8.662774269645547E-3</v>
      </c>
      <c r="G1504">
        <f t="shared" ca="1" si="115"/>
        <v>1.7097689922910697</v>
      </c>
      <c r="H1504">
        <f t="shared" ca="1" si="119"/>
        <v>1.9382003296163977</v>
      </c>
    </row>
    <row r="1505" spans="1:8" x14ac:dyDescent="0.25">
      <c r="A1505" s="1">
        <v>42360</v>
      </c>
      <c r="B1505">
        <v>750</v>
      </c>
      <c r="C1505" s="6">
        <v>-2.9821735832628793E-3</v>
      </c>
      <c r="D1505" s="6">
        <f t="shared" ca="1" si="117"/>
        <v>3.3590918759939789E-2</v>
      </c>
      <c r="E1505" s="6">
        <f t="shared" ca="1" si="118"/>
        <v>3.6573092343202669E-2</v>
      </c>
      <c r="F1505">
        <f t="shared" ca="1" si="116"/>
        <v>2.7958465588172457E-2</v>
      </c>
      <c r="G1505">
        <f t="shared" ca="1" si="115"/>
        <v>0.98385128538459654</v>
      </c>
      <c r="H1505">
        <f t="shared" ca="1" si="119"/>
        <v>1.6262381498001464</v>
      </c>
    </row>
    <row r="1506" spans="1:8" x14ac:dyDescent="0.25">
      <c r="A1506" s="5">
        <v>42361</v>
      </c>
      <c r="B1506">
        <v>750.30999799999995</v>
      </c>
      <c r="C1506" s="6">
        <v>-4.1333066666660061E-4</v>
      </c>
      <c r="D1506" s="6">
        <f t="shared" ca="1" si="117"/>
        <v>-1.0445404752023674E-2</v>
      </c>
      <c r="E1506" s="6">
        <f t="shared" ca="1" si="118"/>
        <v>-1.0032074085357074E-2</v>
      </c>
      <c r="F1506">
        <f t="shared" ca="1" si="116"/>
        <v>1.835663345118272E-2</v>
      </c>
      <c r="G1506">
        <f t="shared" ca="1" si="115"/>
        <v>-0.2881559430806313</v>
      </c>
      <c r="H1506">
        <f t="shared" ca="1" si="119"/>
        <v>2.7335405100230936</v>
      </c>
    </row>
    <row r="1507" spans="1:8" x14ac:dyDescent="0.25">
      <c r="A1507" s="1">
        <v>42362</v>
      </c>
      <c r="B1507">
        <v>748.40002400000003</v>
      </c>
      <c r="C1507" s="6">
        <v>2.5455798337901399E-3</v>
      </c>
      <c r="D1507" s="6">
        <f t="shared" ca="1" si="117"/>
        <v>6.4648917311592368E-3</v>
      </c>
      <c r="E1507" s="6">
        <f t="shared" ca="1" si="118"/>
        <v>3.9193118973690974E-3</v>
      </c>
      <c r="F1507">
        <f t="shared" ca="1" si="116"/>
        <v>9.3384341873346648E-3</v>
      </c>
      <c r="G1507">
        <f t="shared" ca="1" si="115"/>
        <v>0.83617203517656213</v>
      </c>
      <c r="H1507">
        <f t="shared" ca="1" si="119"/>
        <v>2.8040956731777382</v>
      </c>
    </row>
    <row r="1508" spans="1:8" x14ac:dyDescent="0.25">
      <c r="A1508" s="5">
        <v>42366</v>
      </c>
      <c r="B1508">
        <v>762.51000999999997</v>
      </c>
      <c r="C1508" s="6">
        <v>-1.8853534937887623E-2</v>
      </c>
      <c r="D1508" s="6">
        <f t="shared" ca="1" si="117"/>
        <v>-1.2628339567531063E-2</v>
      </c>
      <c r="E1508" s="6">
        <f t="shared" ca="1" si="118"/>
        <v>6.2251953703565607E-3</v>
      </c>
      <c r="F1508">
        <f t="shared" ca="1" si="116"/>
        <v>1.5020663356040419E-2</v>
      </c>
      <c r="G1508">
        <f t="shared" ca="1" si="115"/>
        <v>-0.82833576561764533</v>
      </c>
      <c r="H1508">
        <f t="shared" ca="1" si="119"/>
        <v>2.7826750241308624</v>
      </c>
    </row>
    <row r="1509" spans="1:8" x14ac:dyDescent="0.25">
      <c r="A1509" s="1">
        <v>42367</v>
      </c>
      <c r="B1509">
        <v>776.59997599999997</v>
      </c>
      <c r="C1509" s="6">
        <v>-1.847840135239668E-2</v>
      </c>
      <c r="D1509" s="6">
        <f t="shared" ca="1" si="117"/>
        <v>-2.673160988546142E-3</v>
      </c>
      <c r="E1509" s="6">
        <f t="shared" ca="1" si="118"/>
        <v>1.5805240363850538E-2</v>
      </c>
      <c r="F1509">
        <f t="shared" ca="1" si="116"/>
        <v>1.5203133201053359E-2</v>
      </c>
      <c r="G1509">
        <f t="shared" ca="1" si="115"/>
        <v>-0.25124937705279288</v>
      </c>
      <c r="H1509">
        <f t="shared" ca="1" si="119"/>
        <v>2.5931941614902643</v>
      </c>
    </row>
    <row r="1510" spans="1:8" x14ac:dyDescent="0.25">
      <c r="A1510" s="5">
        <v>42368</v>
      </c>
      <c r="B1510">
        <v>771</v>
      </c>
      <c r="C1510" s="6">
        <v>7.2108887111270907E-3</v>
      </c>
      <c r="D1510" s="6">
        <f t="shared" ca="1" si="117"/>
        <v>-5.0658131072919641E-3</v>
      </c>
      <c r="E1510" s="6">
        <f t="shared" ca="1" si="118"/>
        <v>-1.2276701818419056E-2</v>
      </c>
      <c r="F1510">
        <f t="shared" ca="1" si="116"/>
        <v>8.6895809335713475E-3</v>
      </c>
      <c r="G1510">
        <f t="shared" ca="1" si="115"/>
        <v>0.39462009152863214</v>
      </c>
      <c r="H1510">
        <f t="shared" ca="1" si="119"/>
        <v>2.6901071067149478</v>
      </c>
    </row>
    <row r="1511" spans="1:8" x14ac:dyDescent="0.25">
      <c r="A1511" s="1">
        <v>42369</v>
      </c>
      <c r="B1511">
        <v>758.88000499999998</v>
      </c>
      <c r="C1511" s="6">
        <v>1.571983787289237E-2</v>
      </c>
      <c r="D1511" s="6">
        <f t="shared" ca="1" si="117"/>
        <v>-4.4778658544001801E-4</v>
      </c>
      <c r="E1511" s="6">
        <f t="shared" ca="1" si="118"/>
        <v>-1.6167624458332388E-2</v>
      </c>
      <c r="F1511">
        <f t="shared" ca="1" si="116"/>
        <v>9.4243965422352045E-3</v>
      </c>
      <c r="G1511">
        <f t="shared" ca="1" si="115"/>
        <v>0.83588012740535711</v>
      </c>
      <c r="H1511">
        <f t="shared" ca="1" si="119"/>
        <v>2.5937505072160638</v>
      </c>
    </row>
    <row r="1512" spans="1:8" x14ac:dyDescent="0.25">
      <c r="A1512" s="5">
        <v>42373</v>
      </c>
      <c r="B1512">
        <v>741.84002699999996</v>
      </c>
      <c r="C1512" s="6">
        <v>2.2454113809468493E-2</v>
      </c>
      <c r="D1512" s="6">
        <f t="shared" ca="1" si="117"/>
        <v>1.5124332238994048E-2</v>
      </c>
      <c r="E1512" s="6">
        <f t="shared" ca="1" si="118"/>
        <v>-7.329781570474446E-3</v>
      </c>
      <c r="F1512">
        <f t="shared" ca="1" si="116"/>
        <v>1.5020001603512646E-2</v>
      </c>
      <c r="G1512">
        <f t="shared" ca="1" si="115"/>
        <v>0.79062284437777297</v>
      </c>
      <c r="H1512">
        <f t="shared" ca="1" si="119"/>
        <v>2.7740326307505581</v>
      </c>
    </row>
    <row r="1513" spans="1:8" x14ac:dyDescent="0.25">
      <c r="A1513" s="1">
        <v>42374</v>
      </c>
      <c r="B1513">
        <v>742.580017</v>
      </c>
      <c r="C1513" s="6">
        <v>-9.9750616449283927E-4</v>
      </c>
      <c r="D1513" s="6">
        <f t="shared" ca="1" si="117"/>
        <v>1.2585547886694973E-2</v>
      </c>
      <c r="E1513" s="6">
        <f t="shared" ca="1" si="118"/>
        <v>1.3583054051187813E-2</v>
      </c>
      <c r="F1513">
        <f t="shared" ca="1" si="116"/>
        <v>1.4691774816598795E-2</v>
      </c>
      <c r="G1513">
        <f t="shared" ca="1" si="115"/>
        <v>0.37452892978445501</v>
      </c>
      <c r="H1513">
        <f t="shared" ca="1" si="119"/>
        <v>2.6515752055667936</v>
      </c>
    </row>
    <row r="1514" spans="1:8" x14ac:dyDescent="0.25">
      <c r="A1514" s="5">
        <v>42375</v>
      </c>
      <c r="B1514">
        <v>743.61999500000002</v>
      </c>
      <c r="C1514" s="6">
        <v>-1.4004928441267485E-3</v>
      </c>
      <c r="D1514" s="6">
        <f t="shared" ca="1" si="117"/>
        <v>1.420227449690969E-2</v>
      </c>
      <c r="E1514" s="6">
        <f t="shared" ca="1" si="118"/>
        <v>1.5602767341036439E-2</v>
      </c>
      <c r="F1514">
        <f t="shared" ca="1" si="116"/>
        <v>9.6877795401783973E-3</v>
      </c>
      <c r="G1514">
        <f t="shared" ca="1" si="115"/>
        <v>0.42171011086643051</v>
      </c>
      <c r="H1514">
        <f t="shared" ca="1" si="119"/>
        <v>2.598874392064968</v>
      </c>
    </row>
    <row r="1515" spans="1:8" x14ac:dyDescent="0.25">
      <c r="A1515" s="1">
        <v>42376</v>
      </c>
      <c r="B1515">
        <v>726.39001499999995</v>
      </c>
      <c r="C1515" s="6">
        <v>2.3170409773610335E-2</v>
      </c>
      <c r="D1515" s="6">
        <f t="shared" ca="1" si="117"/>
        <v>1.4042647874994764E-4</v>
      </c>
      <c r="E1515" s="6">
        <f t="shared" ca="1" si="118"/>
        <v>-2.3029983294860387E-2</v>
      </c>
      <c r="F1515">
        <f t="shared" ca="1" si="116"/>
        <v>9.7734053626550143E-3</v>
      </c>
      <c r="G1515">
        <f t="shared" ca="1" si="115"/>
        <v>6.0355928162059876E-2</v>
      </c>
      <c r="H1515">
        <f t="shared" ca="1" si="119"/>
        <v>2.3586868711027091</v>
      </c>
    </row>
    <row r="1516" spans="1:8" x14ac:dyDescent="0.25">
      <c r="A1516" s="5">
        <v>42377</v>
      </c>
      <c r="B1516">
        <v>714.46997099999999</v>
      </c>
      <c r="C1516" s="6">
        <v>1.6409977772065001E-2</v>
      </c>
      <c r="D1516" s="6">
        <f t="shared" ca="1" si="117"/>
        <v>9.1440725357307632E-3</v>
      </c>
      <c r="E1516" s="6">
        <f t="shared" ca="1" si="118"/>
        <v>-7.2659052363342382E-3</v>
      </c>
      <c r="F1516">
        <f t="shared" ca="1" si="116"/>
        <v>7.2120535455025021E-3</v>
      </c>
      <c r="G1516">
        <f t="shared" ca="1" si="115"/>
        <v>1.3553270168846481</v>
      </c>
      <c r="H1516">
        <f t="shared" ca="1" si="119"/>
        <v>2.774833848182753</v>
      </c>
    </row>
    <row r="1517" spans="1:8" x14ac:dyDescent="0.25">
      <c r="A1517" s="1">
        <v>42380</v>
      </c>
      <c r="B1517">
        <v>716.03002900000001</v>
      </c>
      <c r="C1517" s="6">
        <v>-2.1835179410220817E-3</v>
      </c>
      <c r="D1517" s="6">
        <f t="shared" ca="1" si="117"/>
        <v>2.9589501740846721E-3</v>
      </c>
      <c r="E1517" s="6">
        <f t="shared" ca="1" si="118"/>
        <v>5.1424681151067539E-3</v>
      </c>
      <c r="F1517">
        <f t="shared" ca="1" si="116"/>
        <v>2.2543882717314667E-2</v>
      </c>
      <c r="G1517">
        <f t="shared" ca="1" si="115"/>
        <v>-0.33183768194082708</v>
      </c>
      <c r="H1517">
        <f t="shared" ca="1" si="119"/>
        <v>2.7939017995509481</v>
      </c>
    </row>
    <row r="1518" spans="1:8" x14ac:dyDescent="0.25">
      <c r="A1518" s="5">
        <v>42381</v>
      </c>
      <c r="B1518">
        <v>726.07000700000003</v>
      </c>
      <c r="C1518" s="6">
        <v>-1.4021727571987094E-2</v>
      </c>
      <c r="D1518" s="6">
        <f t="shared" ca="1" si="117"/>
        <v>1.162464443627426E-2</v>
      </c>
      <c r="E1518" s="6">
        <f t="shared" ca="1" si="118"/>
        <v>2.5646372008261354E-2</v>
      </c>
      <c r="F1518">
        <f t="shared" ca="1" si="116"/>
        <v>1.0239667585022604E-2</v>
      </c>
      <c r="G1518">
        <f t="shared" ca="1" si="115"/>
        <v>0.41320203391153126</v>
      </c>
      <c r="H1518">
        <f t="shared" ca="1" si="119"/>
        <v>2.2298834179051528</v>
      </c>
    </row>
    <row r="1519" spans="1:8" x14ac:dyDescent="0.25">
      <c r="A1519" s="1">
        <v>42382</v>
      </c>
      <c r="B1519">
        <v>700.55999799999995</v>
      </c>
      <c r="C1519" s="6">
        <v>3.513436549376716E-2</v>
      </c>
      <c r="D1519" s="6">
        <f t="shared" ca="1" si="117"/>
        <v>-1.0316115067092948E-2</v>
      </c>
      <c r="E1519" s="6">
        <f t="shared" ca="1" si="118"/>
        <v>-4.545048056086011E-2</v>
      </c>
      <c r="F1519">
        <f t="shared" ca="1" si="116"/>
        <v>9.7179572460062511E-3</v>
      </c>
      <c r="G1519">
        <f t="shared" ca="1" si="115"/>
        <v>-0.96029276242390216</v>
      </c>
      <c r="H1519">
        <f t="shared" ca="1" si="119"/>
        <v>1.0113112620145523</v>
      </c>
    </row>
    <row r="1520" spans="1:8" x14ac:dyDescent="0.25">
      <c r="A1520" s="5">
        <v>42383</v>
      </c>
      <c r="B1520">
        <v>714.71997099999999</v>
      </c>
      <c r="C1520" s="6">
        <v>-2.0212363024472942E-2</v>
      </c>
      <c r="D1520" s="6">
        <f t="shared" ca="1" si="117"/>
        <v>1.5234308727045665E-2</v>
      </c>
      <c r="E1520" s="6">
        <f t="shared" ca="1" si="118"/>
        <v>3.544667175151861E-2</v>
      </c>
      <c r="F1520">
        <f t="shared" ca="1" si="116"/>
        <v>1.6789982045042486E-2</v>
      </c>
      <c r="G1520">
        <f t="shared" ca="1" si="115"/>
        <v>1.283581717339118</v>
      </c>
      <c r="H1520">
        <f t="shared" ca="1" si="119"/>
        <v>1.6982090797467961</v>
      </c>
    </row>
    <row r="1521" spans="1:8" x14ac:dyDescent="0.25">
      <c r="A1521" s="1">
        <v>42384</v>
      </c>
      <c r="B1521">
        <v>694.45001200000002</v>
      </c>
      <c r="C1521" s="6">
        <v>2.836070044557349E-2</v>
      </c>
      <c r="D1521" s="6">
        <f t="shared" ca="1" si="117"/>
        <v>3.2629355823555001E-2</v>
      </c>
      <c r="E1521" s="6">
        <f t="shared" ca="1" si="118"/>
        <v>4.2686553779815103E-3</v>
      </c>
      <c r="F1521">
        <f t="shared" ca="1" si="116"/>
        <v>2.1803898347819886E-2</v>
      </c>
      <c r="G1521">
        <f t="shared" ca="1" si="115"/>
        <v>0.77048875863681276</v>
      </c>
      <c r="H1521">
        <f t="shared" ca="1" si="119"/>
        <v>2.8014536067050777</v>
      </c>
    </row>
    <row r="1522" spans="1:8" x14ac:dyDescent="0.25">
      <c r="A1522" s="5">
        <v>42388</v>
      </c>
      <c r="B1522">
        <v>701.78997800000002</v>
      </c>
      <c r="C1522" s="6">
        <v>-1.0569466301629214E-2</v>
      </c>
      <c r="D1522" s="6">
        <f t="shared" ca="1" si="117"/>
        <v>-9.1907456455114465E-3</v>
      </c>
      <c r="E1522" s="6">
        <f t="shared" ca="1" si="118"/>
        <v>1.3787206561177677E-3</v>
      </c>
      <c r="F1522">
        <f t="shared" ca="1" si="116"/>
        <v>1.4960819696888615E-2</v>
      </c>
      <c r="G1522">
        <f t="shared" ca="1" si="115"/>
        <v>-5.6410468072699707E-3</v>
      </c>
      <c r="H1522">
        <f t="shared" ca="1" si="119"/>
        <v>2.8168307092525398</v>
      </c>
    </row>
    <row r="1523" spans="1:8" x14ac:dyDescent="0.25">
      <c r="A1523" s="1">
        <v>42389</v>
      </c>
      <c r="B1523">
        <v>698.45001200000002</v>
      </c>
      <c r="C1523" s="6">
        <v>4.7592101692851534E-3</v>
      </c>
      <c r="D1523" s="6">
        <f t="shared" ca="1" si="117"/>
        <v>1.2585913038237187E-2</v>
      </c>
      <c r="E1523" s="6">
        <f t="shared" ca="1" si="118"/>
        <v>7.8267028689520332E-3</v>
      </c>
      <c r="F1523">
        <f t="shared" ca="1" si="116"/>
        <v>7.6973358801698932E-3</v>
      </c>
      <c r="G1523">
        <f t="shared" ca="1" si="115"/>
        <v>-2.4946558597017672E-2</v>
      </c>
      <c r="H1523">
        <f t="shared" ca="1" si="119"/>
        <v>2.7622753864850389</v>
      </c>
    </row>
    <row r="1524" spans="1:8" x14ac:dyDescent="0.25">
      <c r="A1524" s="5">
        <v>42390</v>
      </c>
      <c r="B1524">
        <v>706.59002699999996</v>
      </c>
      <c r="C1524" s="6">
        <v>-1.1654398826182494E-2</v>
      </c>
      <c r="D1524" s="6">
        <f t="shared" ca="1" si="117"/>
        <v>-3.7939296581398453E-3</v>
      </c>
      <c r="E1524" s="6">
        <f t="shared" ca="1" si="118"/>
        <v>7.8604691680426476E-3</v>
      </c>
      <c r="F1524">
        <f t="shared" ca="1" si="116"/>
        <v>6.9969023379577097E-3</v>
      </c>
      <c r="G1524">
        <f t="shared" ca="1" si="115"/>
        <v>0.13836663435243032</v>
      </c>
      <c r="H1524">
        <f t="shared" ca="1" si="119"/>
        <v>2.7617965508213143</v>
      </c>
    </row>
    <row r="1525" spans="1:8" x14ac:dyDescent="0.25">
      <c r="A1525" s="1">
        <v>42391</v>
      </c>
      <c r="B1525">
        <v>725.25</v>
      </c>
      <c r="C1525" s="6">
        <v>-2.6408486232427447E-2</v>
      </c>
      <c r="D1525" s="6">
        <f t="shared" ca="1" si="117"/>
        <v>1.5764534470402693E-2</v>
      </c>
      <c r="E1525" s="6">
        <f t="shared" ca="1" si="118"/>
        <v>4.217302070283014E-2</v>
      </c>
      <c r="F1525">
        <f t="shared" ca="1" si="116"/>
        <v>7.2760639887154881E-3</v>
      </c>
      <c r="G1525">
        <f t="shared" ca="1" si="115"/>
        <v>1.8719505739926068</v>
      </c>
      <c r="H1525">
        <f t="shared" ca="1" si="119"/>
        <v>1.2351986635364951</v>
      </c>
    </row>
    <row r="1526" spans="1:8" x14ac:dyDescent="0.25">
      <c r="A1526" s="5">
        <v>42394</v>
      </c>
      <c r="B1526">
        <v>711.669983</v>
      </c>
      <c r="C1526" s="6">
        <v>1.872460117200965E-2</v>
      </c>
      <c r="D1526" s="6">
        <f t="shared" ca="1" si="117"/>
        <v>-3.3840136295666415E-2</v>
      </c>
      <c r="E1526" s="6">
        <f t="shared" ca="1" si="118"/>
        <v>-5.2564737467676065E-2</v>
      </c>
      <c r="F1526">
        <f t="shared" ca="1" si="116"/>
        <v>3.04253788757015E-2</v>
      </c>
      <c r="G1526">
        <f t="shared" ca="1" si="115"/>
        <v>-0.93963429411440147</v>
      </c>
      <c r="H1526">
        <f t="shared" ca="1" si="119"/>
        <v>0.3983493773820046</v>
      </c>
    </row>
    <row r="1527" spans="1:8" x14ac:dyDescent="0.25">
      <c r="A1527" s="1">
        <v>42395</v>
      </c>
      <c r="B1527">
        <v>713.03997800000002</v>
      </c>
      <c r="C1527" s="6">
        <v>-1.9250425516401429E-3</v>
      </c>
      <c r="D1527" s="6">
        <f t="shared" ca="1" si="117"/>
        <v>5.1527136755497409E-3</v>
      </c>
      <c r="E1527" s="6">
        <f t="shared" ca="1" si="118"/>
        <v>7.0777562271898842E-3</v>
      </c>
      <c r="F1527">
        <f t="shared" ca="1" si="116"/>
        <v>1.8022471883111579E-2</v>
      </c>
      <c r="G1527">
        <f t="shared" ca="1" si="115"/>
        <v>0.94609276365523332</v>
      </c>
      <c r="H1527">
        <f t="shared" ca="1" si="119"/>
        <v>2.772378784060177</v>
      </c>
    </row>
    <row r="1528" spans="1:8" x14ac:dyDescent="0.25">
      <c r="A1528" s="5">
        <v>42396</v>
      </c>
      <c r="B1528">
        <v>699.98999000000003</v>
      </c>
      <c r="C1528" s="6">
        <v>1.8301902281277115E-2</v>
      </c>
      <c r="D1528" s="6">
        <f t="shared" ca="1" si="117"/>
        <v>2.2213023824419267E-3</v>
      </c>
      <c r="E1528" s="6">
        <f t="shared" ca="1" si="118"/>
        <v>-1.6080599898835188E-2</v>
      </c>
      <c r="F1528">
        <f t="shared" ca="1" si="116"/>
        <v>1.7021751773646548E-2</v>
      </c>
      <c r="G1528">
        <f t="shared" ca="1" si="115"/>
        <v>-0.36513071831799992</v>
      </c>
      <c r="H1528">
        <f t="shared" ca="1" si="119"/>
        <v>2.5961977543595136</v>
      </c>
    </row>
    <row r="1529" spans="1:8" x14ac:dyDescent="0.25">
      <c r="A1529" s="1">
        <v>42397</v>
      </c>
      <c r="B1529">
        <v>730.96002199999998</v>
      </c>
      <c r="C1529" s="6">
        <v>-4.4243535539701E-2</v>
      </c>
      <c r="D1529" s="6">
        <f t="shared" ca="1" si="117"/>
        <v>4.6230725738184968E-3</v>
      </c>
      <c r="E1529" s="6">
        <f t="shared" ca="1" si="118"/>
        <v>4.8866608113519498E-2</v>
      </c>
      <c r="F1529">
        <f t="shared" ca="1" si="116"/>
        <v>9.8387063739319401E-3</v>
      </c>
      <c r="G1529">
        <f t="shared" ca="1" si="115"/>
        <v>0.55801147825423325</v>
      </c>
      <c r="H1529">
        <f t="shared" ca="1" si="119"/>
        <v>0.69517206400143772</v>
      </c>
    </row>
    <row r="1530" spans="1:8" x14ac:dyDescent="0.25">
      <c r="A1530" s="5">
        <v>42398</v>
      </c>
      <c r="B1530">
        <v>742.95001200000002</v>
      </c>
      <c r="C1530" s="6">
        <v>-1.6403072177865338E-2</v>
      </c>
      <c r="D1530" s="6">
        <f t="shared" ca="1" si="117"/>
        <v>2.6787640143138549E-3</v>
      </c>
      <c r="E1530" s="6">
        <f t="shared" ca="1" si="118"/>
        <v>1.9081836192179194E-2</v>
      </c>
      <c r="F1530">
        <f t="shared" ca="1" si="116"/>
        <v>1.1363912647171504E-2</v>
      </c>
      <c r="G1530">
        <f t="shared" ca="1" si="115"/>
        <v>-0.48984474692519714</v>
      </c>
      <c r="H1530">
        <f t="shared" ca="1" si="119"/>
        <v>2.4912118172264441</v>
      </c>
    </row>
    <row r="1531" spans="1:8" x14ac:dyDescent="0.25">
      <c r="A1531" s="1">
        <v>42401</v>
      </c>
      <c r="B1531">
        <v>752</v>
      </c>
      <c r="C1531" s="6">
        <v>-1.2181153312909542E-2</v>
      </c>
      <c r="D1531" s="6">
        <f t="shared" ca="1" si="117"/>
        <v>-6.5619438122321225E-3</v>
      </c>
      <c r="E1531" s="6">
        <f t="shared" ca="1" si="118"/>
        <v>5.6192095006774197E-3</v>
      </c>
      <c r="F1531">
        <f t="shared" ca="1" si="116"/>
        <v>1.0644583580536705E-2</v>
      </c>
      <c r="G1531">
        <f t="shared" ca="1" si="115"/>
        <v>1.2562782394872172</v>
      </c>
      <c r="H1531">
        <f t="shared" ca="1" si="119"/>
        <v>2.7892134267702628</v>
      </c>
    </row>
    <row r="1532" spans="1:8" x14ac:dyDescent="0.25">
      <c r="A1532" s="5">
        <v>42402</v>
      </c>
      <c r="B1532">
        <v>764.65002400000003</v>
      </c>
      <c r="C1532" s="6">
        <v>-1.6821840425531955E-2</v>
      </c>
      <c r="D1532" s="6">
        <f t="shared" ca="1" si="117"/>
        <v>-1.5295420294535522E-2</v>
      </c>
      <c r="E1532" s="6">
        <f t="shared" ca="1" si="118"/>
        <v>1.526420130996433E-3</v>
      </c>
      <c r="F1532">
        <f t="shared" ca="1" si="116"/>
        <v>2.1150727893245031E-2</v>
      </c>
      <c r="G1532">
        <f t="shared" ca="1" si="115"/>
        <v>-0.37373186997342039</v>
      </c>
      <c r="H1532">
        <f t="shared" ca="1" si="119"/>
        <v>2.8164022421518267</v>
      </c>
    </row>
    <row r="1533" spans="1:8" x14ac:dyDescent="0.25">
      <c r="A1533" s="1">
        <v>42403</v>
      </c>
      <c r="B1533">
        <v>726.95001200000002</v>
      </c>
      <c r="C1533" s="6">
        <v>4.9303617101566999E-2</v>
      </c>
      <c r="D1533" s="6">
        <f t="shared" ca="1" si="117"/>
        <v>-6.6210654899097957E-3</v>
      </c>
      <c r="E1533" s="6">
        <f t="shared" ca="1" si="118"/>
        <v>-5.5924682591476794E-2</v>
      </c>
      <c r="F1533">
        <f t="shared" ca="1" si="116"/>
        <v>1.0411032383456658E-2</v>
      </c>
      <c r="G1533">
        <f t="shared" ca="1" si="115"/>
        <v>-0.10877732858740038</v>
      </c>
      <c r="H1533">
        <f t="shared" ca="1" si="119"/>
        <v>7.7800652875459231E-2</v>
      </c>
    </row>
    <row r="1534" spans="1:8" x14ac:dyDescent="0.25">
      <c r="A1534" s="5">
        <v>42404</v>
      </c>
      <c r="B1534">
        <v>708.01000999999997</v>
      </c>
      <c r="C1534" s="6">
        <v>2.6054063810924111E-2</v>
      </c>
      <c r="D1534" s="6">
        <f t="shared" ca="1" si="117"/>
        <v>2.3031693015005293E-3</v>
      </c>
      <c r="E1534" s="6">
        <f t="shared" ca="1" si="118"/>
        <v>-2.3750894509423581E-2</v>
      </c>
      <c r="F1534">
        <f t="shared" ca="1" si="116"/>
        <v>7.4081372617578051E-3</v>
      </c>
      <c r="G1534">
        <f t="shared" ca="1" si="115"/>
        <v>1.3338778788031187</v>
      </c>
      <c r="H1534">
        <f t="shared" ca="1" si="119"/>
        <v>2.3291683170475896</v>
      </c>
    </row>
    <row r="1535" spans="1:8" x14ac:dyDescent="0.25">
      <c r="A1535" s="1">
        <v>42405</v>
      </c>
      <c r="B1535">
        <v>683.57000700000003</v>
      </c>
      <c r="C1535" s="6">
        <v>3.4519290200430833E-2</v>
      </c>
      <c r="D1535" s="6">
        <f t="shared" ca="1" si="117"/>
        <v>1.0017777125446303E-2</v>
      </c>
      <c r="E1535" s="6">
        <f t="shared" ca="1" si="118"/>
        <v>-2.4501513074984528E-2</v>
      </c>
      <c r="F1535">
        <f t="shared" ca="1" si="116"/>
        <v>2.2225381776369128E-2</v>
      </c>
      <c r="G1535">
        <f t="shared" ca="1" si="115"/>
        <v>-0.54877526710821589</v>
      </c>
      <c r="H1535">
        <f t="shared" ca="1" si="119"/>
        <v>2.2974586064729374</v>
      </c>
    </row>
    <row r="1536" spans="1:8" x14ac:dyDescent="0.25">
      <c r="A1536" s="5">
        <v>42408</v>
      </c>
      <c r="B1536">
        <v>682.73999000000003</v>
      </c>
      <c r="C1536" s="6">
        <v>1.2142384708227814E-3</v>
      </c>
      <c r="D1536" s="6">
        <f t="shared" ca="1" si="117"/>
        <v>2.3416401502897352E-2</v>
      </c>
      <c r="E1536" s="6">
        <f t="shared" ca="1" si="118"/>
        <v>2.2202163032074569E-2</v>
      </c>
      <c r="F1536">
        <f t="shared" ca="1" si="116"/>
        <v>1.2319662532412484E-2</v>
      </c>
      <c r="G1536">
        <f t="shared" ca="1" si="115"/>
        <v>0.94783373157323358</v>
      </c>
      <c r="H1536">
        <f t="shared" ca="1" si="119"/>
        <v>2.3764784541557424</v>
      </c>
    </row>
    <row r="1537" spans="1:8" x14ac:dyDescent="0.25">
      <c r="A1537" s="1">
        <v>42409</v>
      </c>
      <c r="B1537">
        <v>678.10998500000005</v>
      </c>
      <c r="C1537" s="6">
        <v>6.7815055040206197E-3</v>
      </c>
      <c r="D1537" s="6">
        <f t="shared" ca="1" si="117"/>
        <v>1.3173017584830731E-2</v>
      </c>
      <c r="E1537" s="6">
        <f t="shared" ca="1" si="118"/>
        <v>6.3915120808101114E-3</v>
      </c>
      <c r="F1537">
        <f t="shared" ca="1" si="116"/>
        <v>1.6720908820480718E-2</v>
      </c>
      <c r="G1537">
        <f t="shared" ca="1" si="115"/>
        <v>-0.14233123815714235</v>
      </c>
      <c r="H1537">
        <f t="shared" ca="1" si="119"/>
        <v>2.7807671653200807</v>
      </c>
    </row>
    <row r="1538" spans="1:8" x14ac:dyDescent="0.25">
      <c r="A1538" s="5">
        <v>42410</v>
      </c>
      <c r="B1538">
        <v>684.11999500000002</v>
      </c>
      <c r="C1538" s="6">
        <v>-8.8628837990049145E-3</v>
      </c>
      <c r="D1538" s="6">
        <f t="shared" ca="1" si="117"/>
        <v>-8.6991252547578158E-3</v>
      </c>
      <c r="E1538" s="6">
        <f t="shared" ca="1" si="118"/>
        <v>1.6375854424709874E-4</v>
      </c>
      <c r="F1538">
        <f t="shared" ca="1" si="116"/>
        <v>8.2371223287393703E-3</v>
      </c>
      <c r="G1538">
        <f t="shared" ca="1" si="115"/>
        <v>-1.1225183514004151</v>
      </c>
      <c r="H1538">
        <f t="shared" ca="1" si="119"/>
        <v>2.8188942151005421</v>
      </c>
    </row>
    <row r="1539" spans="1:8" x14ac:dyDescent="0.25">
      <c r="A1539" s="1">
        <v>42411</v>
      </c>
      <c r="B1539">
        <v>683.10998500000005</v>
      </c>
      <c r="C1539" s="6">
        <v>1.4763638066154837E-3</v>
      </c>
      <c r="D1539" s="6">
        <f t="shared" ca="1" si="117"/>
        <v>4.4166656853861418E-2</v>
      </c>
      <c r="E1539" s="6">
        <f t="shared" ca="1" si="118"/>
        <v>4.2690293047245934E-2</v>
      </c>
      <c r="F1539">
        <f t="shared" ca="1" si="116"/>
        <v>1.9099973195122705E-2</v>
      </c>
      <c r="G1539">
        <f t="shared" ref="G1539:G1602" ca="1" si="120">_xlfn.NORM.INV(RAND(),0,1)</f>
        <v>2.1524296807472223</v>
      </c>
      <c r="H1539">
        <f t="shared" ca="1" si="119"/>
        <v>1.1962854527528723</v>
      </c>
    </row>
    <row r="1540" spans="1:8" x14ac:dyDescent="0.25">
      <c r="A1540" s="5">
        <v>42412</v>
      </c>
      <c r="B1540">
        <v>682.40002400000003</v>
      </c>
      <c r="C1540" s="6">
        <v>1.0393070158387762E-3</v>
      </c>
      <c r="D1540" s="6">
        <f t="shared" ca="1" si="117"/>
        <v>8.1378844570044635E-4</v>
      </c>
      <c r="E1540" s="6">
        <f t="shared" ca="1" si="118"/>
        <v>-2.2551857013832985E-4</v>
      </c>
      <c r="F1540">
        <f t="shared" ref="F1540:F1603" ca="1" si="121">SQRT($K$6+$K$7*POWER($G1539,2)+$K$8*POWER($F1539,2))</f>
        <v>3.5043969236689308E-2</v>
      </c>
      <c r="G1540">
        <f t="shared" ca="1" si="120"/>
        <v>0.13717046834708252</v>
      </c>
      <c r="H1540">
        <f t="shared" ca="1" si="119"/>
        <v>2.8190042623587122</v>
      </c>
    </row>
    <row r="1541" spans="1:8" x14ac:dyDescent="0.25">
      <c r="A1541" s="1">
        <v>42416</v>
      </c>
      <c r="B1541">
        <v>691</v>
      </c>
      <c r="C1541" s="6">
        <v>-1.2602543519253993E-2</v>
      </c>
      <c r="D1541" s="6">
        <f t="shared" ref="D1541:D1604" ca="1" si="122">($K$10*$C1540)+($K$11*$C1539)+($F1541*$G1541)</f>
        <v>1.4120492318080121E-2</v>
      </c>
      <c r="E1541" s="6">
        <f t="shared" ca="1" si="118"/>
        <v>2.6723035837334114E-2</v>
      </c>
      <c r="F1541">
        <f t="shared" ca="1" si="121"/>
        <v>1.1298578562279945E-2</v>
      </c>
      <c r="G1541">
        <f t="shared" ca="1" si="120"/>
        <v>1.1908833593190569</v>
      </c>
      <c r="H1541">
        <f t="shared" ca="1" si="119"/>
        <v>2.1797621798122062</v>
      </c>
    </row>
    <row r="1542" spans="1:8" x14ac:dyDescent="0.25">
      <c r="A1542" s="5">
        <v>42417</v>
      </c>
      <c r="B1542">
        <v>708.40002400000003</v>
      </c>
      <c r="C1542" s="6">
        <v>-2.5180931982633908E-2</v>
      </c>
      <c r="D1542" s="6">
        <f t="shared" ca="1" si="122"/>
        <v>-2.7397931446935236E-3</v>
      </c>
      <c r="E1542" s="6">
        <f t="shared" ref="E1542:E1605" ca="1" si="123">$D1542-$C1542</f>
        <v>2.2441138837940383E-2</v>
      </c>
      <c r="F1542">
        <f t="shared" ca="1" si="121"/>
        <v>2.0203921738014111E-2</v>
      </c>
      <c r="G1542">
        <f t="shared" ca="1" si="120"/>
        <v>-0.15877371219710887</v>
      </c>
      <c r="H1542">
        <f t="shared" ref="H1542:H1605" ca="1" si="124">LN(_xlfn.NORM.DIST($E1542,AVERAGE($E$5:$E$1763),_xlfn.STDEV.S($E$5:$E$1763),FALSE))</f>
        <v>2.3669829435216507</v>
      </c>
    </row>
    <row r="1543" spans="1:8" x14ac:dyDescent="0.25">
      <c r="A1543" s="1">
        <v>42418</v>
      </c>
      <c r="B1543">
        <v>697.34997599999997</v>
      </c>
      <c r="C1543" s="6">
        <v>1.5598599132740939E-2</v>
      </c>
      <c r="D1543" s="6">
        <f t="shared" ca="1" si="122"/>
        <v>-4.6152200265283461E-3</v>
      </c>
      <c r="E1543" s="6">
        <f t="shared" ca="1" si="123"/>
        <v>-2.0213819159269286E-2</v>
      </c>
      <c r="F1543">
        <f t="shared" ca="1" si="121"/>
        <v>8.7890961935295775E-3</v>
      </c>
      <c r="G1543">
        <f t="shared" ca="1" si="120"/>
        <v>0.12098624164328099</v>
      </c>
      <c r="H1543">
        <f t="shared" ca="1" si="124"/>
        <v>2.4652076017606115</v>
      </c>
    </row>
    <row r="1544" spans="1:8" x14ac:dyDescent="0.25">
      <c r="A1544" s="5">
        <v>42419</v>
      </c>
      <c r="B1544">
        <v>700.90997300000004</v>
      </c>
      <c r="C1544" s="6">
        <v>-5.1050363841986662E-3</v>
      </c>
      <c r="D1544" s="6">
        <f t="shared" ca="1" si="122"/>
        <v>-1.9635301689277424E-2</v>
      </c>
      <c r="E1544" s="6">
        <f t="shared" ca="1" si="123"/>
        <v>-1.4530265305078758E-2</v>
      </c>
      <c r="F1544">
        <f t="shared" ca="1" si="121"/>
        <v>7.3217003249993421E-3</v>
      </c>
      <c r="G1544">
        <f t="shared" ca="1" si="120"/>
        <v>-1.1322665668349645</v>
      </c>
      <c r="H1544">
        <f t="shared" ca="1" si="124"/>
        <v>2.6375550939380972</v>
      </c>
    </row>
    <row r="1545" spans="1:8" x14ac:dyDescent="0.25">
      <c r="A1545" s="1">
        <v>42422</v>
      </c>
      <c r="B1545">
        <v>706.46002199999998</v>
      </c>
      <c r="C1545" s="6">
        <v>-7.9183478817470669E-3</v>
      </c>
      <c r="D1545" s="6">
        <f t="shared" ca="1" si="122"/>
        <v>-6.6798144864912588E-3</v>
      </c>
      <c r="E1545" s="6">
        <f t="shared" ca="1" si="123"/>
        <v>1.2385333952558081E-3</v>
      </c>
      <c r="F1545">
        <f t="shared" ca="1" si="121"/>
        <v>1.9219998759392409E-2</v>
      </c>
      <c r="G1545">
        <f t="shared" ca="1" si="120"/>
        <v>-0.71320435729067577</v>
      </c>
      <c r="H1545">
        <f t="shared" ca="1" si="124"/>
        <v>2.8172017685514055</v>
      </c>
    </row>
    <row r="1546" spans="1:8" x14ac:dyDescent="0.25">
      <c r="A1546" s="5">
        <v>42423</v>
      </c>
      <c r="B1546">
        <v>695.84997599999997</v>
      </c>
      <c r="C1546" s="6">
        <v>1.5018607804533363E-2</v>
      </c>
      <c r="D1546" s="6">
        <f t="shared" ca="1" si="122"/>
        <v>-3.6640484401446257E-4</v>
      </c>
      <c r="E1546" s="6">
        <f t="shared" ca="1" si="123"/>
        <v>-1.5385012648547827E-2</v>
      </c>
      <c r="F1546">
        <f t="shared" ca="1" si="121"/>
        <v>1.3993686180884942E-2</v>
      </c>
      <c r="G1546">
        <f t="shared" ca="1" si="120"/>
        <v>0.13819343888744953</v>
      </c>
      <c r="H1546">
        <f t="shared" ca="1" si="124"/>
        <v>2.6152781972892458</v>
      </c>
    </row>
    <row r="1547" spans="1:8" x14ac:dyDescent="0.25">
      <c r="A1547" s="1">
        <v>42424</v>
      </c>
      <c r="B1547">
        <v>699.55999799999995</v>
      </c>
      <c r="C1547" s="6">
        <v>-5.3316406236392265E-3</v>
      </c>
      <c r="D1547" s="6">
        <f t="shared" ca="1" si="122"/>
        <v>2.1204002240404186E-2</v>
      </c>
      <c r="E1547" s="6">
        <f t="shared" ca="1" si="123"/>
        <v>2.6535642864043411E-2</v>
      </c>
      <c r="F1547">
        <f t="shared" ca="1" si="121"/>
        <v>7.8896006969696036E-3</v>
      </c>
      <c r="G1547">
        <f t="shared" ca="1" si="120"/>
        <v>3.1397558912766583</v>
      </c>
      <c r="H1547">
        <f t="shared" ca="1" si="124"/>
        <v>2.1886328241125454</v>
      </c>
    </row>
    <row r="1548" spans="1:8" x14ac:dyDescent="0.25">
      <c r="A1548" s="5">
        <v>42425</v>
      </c>
      <c r="B1548">
        <v>705.75</v>
      </c>
      <c r="C1548" s="6">
        <v>-8.8484218904695718E-3</v>
      </c>
      <c r="D1548" s="6">
        <f t="shared" ca="1" si="122"/>
        <v>-5.6297685841168746E-2</v>
      </c>
      <c r="E1548" s="6">
        <f t="shared" ca="1" si="123"/>
        <v>-4.7449263950699178E-2</v>
      </c>
      <c r="F1548">
        <f t="shared" ca="1" si="121"/>
        <v>5.0170044651181987E-2</v>
      </c>
      <c r="G1548">
        <f t="shared" ca="1" si="120"/>
        <v>-1.2570117447440574</v>
      </c>
      <c r="H1548">
        <f t="shared" ca="1" si="124"/>
        <v>0.84811993838032851</v>
      </c>
    </row>
    <row r="1549" spans="1:8" x14ac:dyDescent="0.25">
      <c r="A1549" s="1">
        <v>42426</v>
      </c>
      <c r="B1549">
        <v>705.07000700000003</v>
      </c>
      <c r="C1549" s="6">
        <v>9.6350407368043589E-4</v>
      </c>
      <c r="D1549" s="6">
        <f t="shared" ca="1" si="122"/>
        <v>-1.2526648701173912E-2</v>
      </c>
      <c r="E1549" s="6">
        <f t="shared" ca="1" si="123"/>
        <v>-1.3490152774854347E-2</v>
      </c>
      <c r="F1549">
        <f t="shared" ca="1" si="121"/>
        <v>2.4500989378561915E-2</v>
      </c>
      <c r="G1549">
        <f t="shared" ca="1" si="120"/>
        <v>-0.41321983335112594</v>
      </c>
      <c r="H1549">
        <f t="shared" ca="1" si="124"/>
        <v>2.6629238215406841</v>
      </c>
    </row>
    <row r="1550" spans="1:8" x14ac:dyDescent="0.25">
      <c r="A1550" s="5">
        <v>42429</v>
      </c>
      <c r="B1550">
        <v>697.77002000000005</v>
      </c>
      <c r="C1550" s="6">
        <v>1.0353563373175775E-2</v>
      </c>
      <c r="D1550" s="6">
        <f t="shared" ca="1" si="122"/>
        <v>1.4513922952153493E-2</v>
      </c>
      <c r="E1550" s="6">
        <f t="shared" ca="1" si="123"/>
        <v>4.1603595789777188E-3</v>
      </c>
      <c r="F1550">
        <f t="shared" ca="1" si="121"/>
        <v>1.1219259153465392E-2</v>
      </c>
      <c r="G1550">
        <f t="shared" ca="1" si="120"/>
        <v>1.6490059188922808</v>
      </c>
      <c r="H1550">
        <f t="shared" ca="1" si="124"/>
        <v>2.8022956789260078</v>
      </c>
    </row>
    <row r="1551" spans="1:8" x14ac:dyDescent="0.25">
      <c r="A1551" s="1">
        <v>42430</v>
      </c>
      <c r="B1551">
        <v>718.80999799999995</v>
      </c>
      <c r="C1551" s="6">
        <v>-3.0153169951325658E-2</v>
      </c>
      <c r="D1551" s="6">
        <f t="shared" ca="1" si="122"/>
        <v>-6.4502701796230483E-3</v>
      </c>
      <c r="E1551" s="6">
        <f t="shared" ca="1" si="123"/>
        <v>2.3702899771702611E-2</v>
      </c>
      <c r="F1551">
        <f t="shared" ca="1" si="121"/>
        <v>2.7088831392495401E-2</v>
      </c>
      <c r="G1551">
        <f t="shared" ca="1" si="120"/>
        <v>-0.2541473557604651</v>
      </c>
      <c r="H1551">
        <f t="shared" ca="1" si="124"/>
        <v>2.315176846047367</v>
      </c>
    </row>
    <row r="1552" spans="1:8" x14ac:dyDescent="0.25">
      <c r="A1552" s="5">
        <v>42431</v>
      </c>
      <c r="B1552">
        <v>718.84997599999997</v>
      </c>
      <c r="C1552" s="6">
        <v>-5.561692256820719E-5</v>
      </c>
      <c r="D1552" s="6">
        <f t="shared" ca="1" si="122"/>
        <v>-1.2958836899186893E-2</v>
      </c>
      <c r="E1552" s="6">
        <f t="shared" ca="1" si="123"/>
        <v>-1.2903219976618686E-2</v>
      </c>
      <c r="F1552">
        <f t="shared" ca="1" si="121"/>
        <v>1.0380897131416926E-2</v>
      </c>
      <c r="G1552">
        <f t="shared" ca="1" si="120"/>
        <v>-1.6976574913257139</v>
      </c>
      <c r="H1552">
        <f t="shared" ca="1" si="124"/>
        <v>2.6763965862857577</v>
      </c>
    </row>
    <row r="1553" spans="1:8" x14ac:dyDescent="0.25">
      <c r="A1553" s="1">
        <v>42432</v>
      </c>
      <c r="B1553">
        <v>712.419983</v>
      </c>
      <c r="C1553" s="6">
        <v>8.9448330175641091E-3</v>
      </c>
      <c r="D1553" s="6">
        <f t="shared" ca="1" si="122"/>
        <v>-4.1769289005469577E-2</v>
      </c>
      <c r="E1553" s="6">
        <f t="shared" ca="1" si="123"/>
        <v>-5.0714122023033686E-2</v>
      </c>
      <c r="F1553">
        <f t="shared" ca="1" si="121"/>
        <v>2.7810418441063144E-2</v>
      </c>
      <c r="G1553">
        <f t="shared" ca="1" si="120"/>
        <v>-1.0134176402952144</v>
      </c>
      <c r="H1553">
        <f t="shared" ca="1" si="124"/>
        <v>0.56639401058506378</v>
      </c>
    </row>
    <row r="1554" spans="1:8" x14ac:dyDescent="0.25">
      <c r="A1554" s="5">
        <v>42433</v>
      </c>
      <c r="B1554">
        <v>710.89001499999995</v>
      </c>
      <c r="C1554" s="6">
        <v>2.1475646900826102E-3</v>
      </c>
      <c r="D1554" s="6">
        <f t="shared" ca="1" si="122"/>
        <v>1.2446299371901611E-2</v>
      </c>
      <c r="E1554" s="6">
        <f t="shared" ca="1" si="123"/>
        <v>1.0298734681819001E-2</v>
      </c>
      <c r="F1554">
        <f t="shared" ca="1" si="121"/>
        <v>1.8741033699951795E-2</v>
      </c>
      <c r="G1554">
        <f t="shared" ca="1" si="120"/>
        <v>0.66544941990373097</v>
      </c>
      <c r="H1554">
        <f t="shared" ca="1" si="124"/>
        <v>2.7219006676020348</v>
      </c>
    </row>
    <row r="1555" spans="1:8" x14ac:dyDescent="0.25">
      <c r="A1555" s="1">
        <v>42436</v>
      </c>
      <c r="B1555">
        <v>695.15997300000004</v>
      </c>
      <c r="C1555" s="6">
        <v>2.2127251287950518E-2</v>
      </c>
      <c r="D1555" s="6">
        <f t="shared" ca="1" si="122"/>
        <v>-4.547687966035479E-3</v>
      </c>
      <c r="E1555" s="6">
        <f t="shared" ca="1" si="123"/>
        <v>-2.6674939253985997E-2</v>
      </c>
      <c r="F1555">
        <f t="shared" ca="1" si="121"/>
        <v>1.3348667531912831E-2</v>
      </c>
      <c r="G1555">
        <f t="shared" ca="1" si="120"/>
        <v>-0.64260196039928352</v>
      </c>
      <c r="H1555">
        <f t="shared" ca="1" si="124"/>
        <v>2.2000343544770784</v>
      </c>
    </row>
    <row r="1556" spans="1:8" x14ac:dyDescent="0.25">
      <c r="A1556" s="5">
        <v>42437</v>
      </c>
      <c r="B1556">
        <v>693.96997099999999</v>
      </c>
      <c r="C1556" s="6">
        <v>1.7118390675811385E-3</v>
      </c>
      <c r="D1556" s="6">
        <f t="shared" ca="1" si="122"/>
        <v>1.3907136083768291E-2</v>
      </c>
      <c r="E1556" s="6">
        <f t="shared" ca="1" si="123"/>
        <v>1.2195297016187153E-2</v>
      </c>
      <c r="F1556">
        <f t="shared" ca="1" si="121"/>
        <v>1.2638347678714737E-2</v>
      </c>
      <c r="G1556">
        <f t="shared" ca="1" si="120"/>
        <v>1.0238023408078161</v>
      </c>
      <c r="H1556">
        <f t="shared" ca="1" si="124"/>
        <v>2.6836132109501891</v>
      </c>
    </row>
    <row r="1557" spans="1:8" x14ac:dyDescent="0.25">
      <c r="A1557" s="1">
        <v>42438</v>
      </c>
      <c r="B1557">
        <v>705.23999000000003</v>
      </c>
      <c r="C1557" s="6">
        <v>-1.6239923153677852E-2</v>
      </c>
      <c r="D1557" s="6">
        <f t="shared" ca="1" si="122"/>
        <v>8.2389305212012074E-3</v>
      </c>
      <c r="E1557" s="6">
        <f t="shared" ca="1" si="123"/>
        <v>2.4478853674879057E-2</v>
      </c>
      <c r="F1557">
        <f t="shared" ca="1" si="121"/>
        <v>1.782112594256861E-2</v>
      </c>
      <c r="G1557">
        <f t="shared" ca="1" si="120"/>
        <v>-9.7114180167328631E-2</v>
      </c>
      <c r="H1557">
        <f t="shared" ca="1" si="124"/>
        <v>2.2819219302478144</v>
      </c>
    </row>
    <row r="1558" spans="1:8" x14ac:dyDescent="0.25">
      <c r="A1558" s="5">
        <v>42439</v>
      </c>
      <c r="B1558">
        <v>712.82000700000003</v>
      </c>
      <c r="C1558" s="6">
        <v>-1.0748138374853073E-2</v>
      </c>
      <c r="D1558" s="6">
        <f t="shared" ca="1" si="122"/>
        <v>-3.7408352127006189E-3</v>
      </c>
      <c r="E1558" s="6">
        <f t="shared" ca="1" si="123"/>
        <v>7.0073031621524541E-3</v>
      </c>
      <c r="F1558">
        <f t="shared" ca="1" si="121"/>
        <v>8.2189036186010138E-3</v>
      </c>
      <c r="G1558">
        <f t="shared" ca="1" si="120"/>
        <v>-0.54895978075139718</v>
      </c>
      <c r="H1558">
        <f t="shared" ca="1" si="124"/>
        <v>2.77327826090248</v>
      </c>
    </row>
    <row r="1559" spans="1:8" x14ac:dyDescent="0.25">
      <c r="A1559" s="1">
        <v>42440</v>
      </c>
      <c r="B1559">
        <v>726.82000700000003</v>
      </c>
      <c r="C1559" s="6">
        <v>-1.9640301706627041E-2</v>
      </c>
      <c r="D1559" s="6">
        <f t="shared" ca="1" si="122"/>
        <v>-2.1245421761525041E-4</v>
      </c>
      <c r="E1559" s="6">
        <f t="shared" ca="1" si="123"/>
        <v>1.9427847489011791E-2</v>
      </c>
      <c r="F1559">
        <f t="shared" ca="1" si="121"/>
        <v>1.1170247803217627E-2</v>
      </c>
      <c r="G1559">
        <f t="shared" ca="1" si="120"/>
        <v>0.63604080136590657</v>
      </c>
      <c r="H1559">
        <f t="shared" ca="1" si="124"/>
        <v>2.479336234362592</v>
      </c>
    </row>
    <row r="1560" spans="1:8" x14ac:dyDescent="0.25">
      <c r="A1560" s="5">
        <v>42443</v>
      </c>
      <c r="B1560">
        <v>730.48999000000003</v>
      </c>
      <c r="C1560" s="6">
        <v>-5.0493698091059868E-3</v>
      </c>
      <c r="D1560" s="6">
        <f t="shared" ca="1" si="122"/>
        <v>-1.4205081053036958E-2</v>
      </c>
      <c r="E1560" s="6">
        <f t="shared" ca="1" si="123"/>
        <v>-9.1557112439309713E-3</v>
      </c>
      <c r="F1560">
        <f t="shared" ca="1" si="121"/>
        <v>1.2419307263152582E-2</v>
      </c>
      <c r="G1560">
        <f t="shared" ca="1" si="120"/>
        <v>-0.75383496317824172</v>
      </c>
      <c r="H1560">
        <f t="shared" ca="1" si="124"/>
        <v>2.748084375624213</v>
      </c>
    </row>
    <row r="1561" spans="1:8" x14ac:dyDescent="0.25">
      <c r="A1561" s="1">
        <v>42444</v>
      </c>
      <c r="B1561">
        <v>728.330017</v>
      </c>
      <c r="C1561" s="6">
        <v>2.9568824071087357E-3</v>
      </c>
      <c r="D1561" s="6">
        <f t="shared" ca="1" si="122"/>
        <v>-4.3193223189291231E-4</v>
      </c>
      <c r="E1561" s="6">
        <f t="shared" ca="1" si="123"/>
        <v>-3.388814639001648E-3</v>
      </c>
      <c r="F1561">
        <f t="shared" ca="1" si="121"/>
        <v>1.4039113067790264E-2</v>
      </c>
      <c r="G1561">
        <f t="shared" ca="1" si="120"/>
        <v>0.59955533808789596</v>
      </c>
      <c r="H1561">
        <f t="shared" ca="1" si="124"/>
        <v>2.8099813017363369</v>
      </c>
    </row>
    <row r="1562" spans="1:8" x14ac:dyDescent="0.25">
      <c r="A1562" s="5">
        <v>42445</v>
      </c>
      <c r="B1562">
        <v>736.09002699999996</v>
      </c>
      <c r="C1562" s="6">
        <v>-1.0654524485978952E-2</v>
      </c>
      <c r="D1562" s="6">
        <f t="shared" ca="1" si="122"/>
        <v>-1.8693891477974314E-3</v>
      </c>
      <c r="E1562" s="6">
        <f t="shared" ca="1" si="123"/>
        <v>8.7851353381815205E-3</v>
      </c>
      <c r="F1562">
        <f t="shared" ca="1" si="121"/>
        <v>1.214662943853817E-2</v>
      </c>
      <c r="G1562">
        <f t="shared" ca="1" si="120"/>
        <v>3.3391194268462335E-2</v>
      </c>
      <c r="H1562">
        <f t="shared" ca="1" si="124"/>
        <v>2.7479018917765976</v>
      </c>
    </row>
    <row r="1563" spans="1:8" x14ac:dyDescent="0.25">
      <c r="A1563" s="1">
        <v>42446</v>
      </c>
      <c r="B1563">
        <v>737.78002900000001</v>
      </c>
      <c r="C1563" s="6">
        <v>-2.2959175345545735E-3</v>
      </c>
      <c r="D1563" s="6">
        <f t="shared" ca="1" si="122"/>
        <v>2.7330534010486058E-3</v>
      </c>
      <c r="E1563" s="6">
        <f t="shared" ca="1" si="123"/>
        <v>5.0289709356031789E-3</v>
      </c>
      <c r="F1563">
        <f t="shared" ca="1" si="121"/>
        <v>7.3946520289840268E-3</v>
      </c>
      <c r="G1563">
        <f t="shared" ca="1" si="120"/>
        <v>0.18945932761554857</v>
      </c>
      <c r="H1563">
        <f t="shared" ca="1" si="124"/>
        <v>2.7949588361855735</v>
      </c>
    </row>
    <row r="1564" spans="1:8" x14ac:dyDescent="0.25">
      <c r="A1564" s="5">
        <v>42447</v>
      </c>
      <c r="B1564">
        <v>737.59997599999997</v>
      </c>
      <c r="C1564" s="6">
        <v>2.4404699628978915E-4</v>
      </c>
      <c r="D1564" s="6">
        <f t="shared" ca="1" si="122"/>
        <v>-5.8281086670500214E-3</v>
      </c>
      <c r="E1564" s="6">
        <f t="shared" ca="1" si="123"/>
        <v>-6.0721556633398103E-3</v>
      </c>
      <c r="F1564">
        <f t="shared" ca="1" si="121"/>
        <v>7.5827171969759964E-3</v>
      </c>
      <c r="G1564">
        <f t="shared" ca="1" si="120"/>
        <v>-0.13551882544413094</v>
      </c>
      <c r="H1564">
        <f t="shared" ca="1" si="124"/>
        <v>2.7884824942536515</v>
      </c>
    </row>
    <row r="1565" spans="1:8" x14ac:dyDescent="0.25">
      <c r="A1565" s="1">
        <v>42450</v>
      </c>
      <c r="B1565">
        <v>742.09002699999996</v>
      </c>
      <c r="C1565" s="6">
        <v>-6.0873795364657039E-3</v>
      </c>
      <c r="D1565" s="6">
        <f t="shared" ca="1" si="122"/>
        <v>-2.7644213380279936E-4</v>
      </c>
      <c r="E1565" s="6">
        <f t="shared" ca="1" si="123"/>
        <v>5.8109374026629043E-3</v>
      </c>
      <c r="F1565">
        <f t="shared" ca="1" si="121"/>
        <v>7.2998385025425045E-3</v>
      </c>
      <c r="G1565">
        <f t="shared" ca="1" si="120"/>
        <v>0.10383727907692916</v>
      </c>
      <c r="H1565">
        <f t="shared" ca="1" si="124"/>
        <v>2.7872148323209545</v>
      </c>
    </row>
    <row r="1566" spans="1:8" x14ac:dyDescent="0.25">
      <c r="A1566" s="5">
        <v>42451</v>
      </c>
      <c r="B1566">
        <v>740.75</v>
      </c>
      <c r="C1566" s="6">
        <v>1.8057472156272E-3</v>
      </c>
      <c r="D1566" s="6">
        <f t="shared" ca="1" si="122"/>
        <v>-8.9317396241981196E-3</v>
      </c>
      <c r="E1566" s="6">
        <f t="shared" ca="1" si="123"/>
        <v>-1.073748683982532E-2</v>
      </c>
      <c r="F1566">
        <f t="shared" ca="1" si="121"/>
        <v>7.1499701248173659E-3</v>
      </c>
      <c r="G1566">
        <f t="shared" ca="1" si="120"/>
        <v>-1.264564164324788</v>
      </c>
      <c r="H1566">
        <f t="shared" ca="1" si="124"/>
        <v>2.7208490032569612</v>
      </c>
    </row>
    <row r="1567" spans="1:8" x14ac:dyDescent="0.25">
      <c r="A1567" s="1">
        <v>42452</v>
      </c>
      <c r="B1567">
        <v>738.05999799999995</v>
      </c>
      <c r="C1567" s="6">
        <v>3.6314573067837319E-3</v>
      </c>
      <c r="D1567" s="6">
        <f t="shared" ca="1" si="122"/>
        <v>1.5471420653316529E-2</v>
      </c>
      <c r="E1567" s="6">
        <f t="shared" ca="1" si="123"/>
        <v>1.1839963346532797E-2</v>
      </c>
      <c r="F1567">
        <f t="shared" ca="1" si="121"/>
        <v>2.1181072742513671E-2</v>
      </c>
      <c r="G1567">
        <f t="shared" ca="1" si="120"/>
        <v>0.85992347956220039</v>
      </c>
      <c r="H1567">
        <f t="shared" ca="1" si="124"/>
        <v>2.6912699153439621</v>
      </c>
    </row>
    <row r="1568" spans="1:8" x14ac:dyDescent="0.25">
      <c r="A1568" s="5">
        <v>42453</v>
      </c>
      <c r="B1568">
        <v>735.29998799999998</v>
      </c>
      <c r="C1568" s="6">
        <v>3.7395469304379856E-3</v>
      </c>
      <c r="D1568" s="6">
        <f t="shared" ca="1" si="122"/>
        <v>-1.2774049794794178E-2</v>
      </c>
      <c r="E1568" s="6">
        <f t="shared" ca="1" si="123"/>
        <v>-1.6513596725232164E-2</v>
      </c>
      <c r="F1568">
        <f t="shared" ca="1" si="121"/>
        <v>1.6082096086390479E-2</v>
      </c>
      <c r="G1568">
        <f t="shared" ca="1" si="120"/>
        <v>-0.84489619376471214</v>
      </c>
      <c r="H1568">
        <f t="shared" ca="1" si="124"/>
        <v>2.5838891033943141</v>
      </c>
    </row>
    <row r="1569" spans="1:8" x14ac:dyDescent="0.25">
      <c r="A1569" s="1">
        <v>42457</v>
      </c>
      <c r="B1569">
        <v>733.53002900000001</v>
      </c>
      <c r="C1569" s="6">
        <v>2.4071250222840635E-3</v>
      </c>
      <c r="D1569" s="6">
        <f t="shared" ca="1" si="122"/>
        <v>1.1988789640419059E-2</v>
      </c>
      <c r="E1569" s="6">
        <f t="shared" ca="1" si="123"/>
        <v>9.5816646181349965E-3</v>
      </c>
      <c r="F1569">
        <f t="shared" ca="1" si="121"/>
        <v>1.5497315387620184E-2</v>
      </c>
      <c r="G1569">
        <f t="shared" ca="1" si="120"/>
        <v>0.66802212495326385</v>
      </c>
      <c r="H1569">
        <f t="shared" ca="1" si="124"/>
        <v>2.7347228342760057</v>
      </c>
    </row>
    <row r="1570" spans="1:8" x14ac:dyDescent="0.25">
      <c r="A1570" s="5">
        <v>42458</v>
      </c>
      <c r="B1570">
        <v>744.77002000000005</v>
      </c>
      <c r="C1570" s="6">
        <v>-1.5323150458234385E-2</v>
      </c>
      <c r="D1570" s="6">
        <f t="shared" ca="1" si="122"/>
        <v>1.1618026644969914E-2</v>
      </c>
      <c r="E1570" s="6">
        <f t="shared" ca="1" si="123"/>
        <v>2.6941177103204299E-2</v>
      </c>
      <c r="F1570">
        <f t="shared" ca="1" si="121"/>
        <v>1.3114899707112139E-2</v>
      </c>
      <c r="G1570">
        <f t="shared" ca="1" si="120"/>
        <v>0.75739108145951228</v>
      </c>
      <c r="H1570">
        <f t="shared" ca="1" si="124"/>
        <v>2.1693579319576077</v>
      </c>
    </row>
    <row r="1571" spans="1:8" x14ac:dyDescent="0.25">
      <c r="A1571" s="1">
        <v>42459</v>
      </c>
      <c r="B1571">
        <v>750.53002900000001</v>
      </c>
      <c r="C1571" s="6">
        <v>-7.7339431573789285E-3</v>
      </c>
      <c r="D1571" s="6">
        <f t="shared" ca="1" si="122"/>
        <v>1.7014504981824663E-2</v>
      </c>
      <c r="E1571" s="6">
        <f t="shared" ca="1" si="123"/>
        <v>2.4748448139203592E-2</v>
      </c>
      <c r="F1571">
        <f t="shared" ca="1" si="121"/>
        <v>1.4126884338690245E-2</v>
      </c>
      <c r="G1571">
        <f t="shared" ca="1" si="120"/>
        <v>1.1276521573876532</v>
      </c>
      <c r="H1571">
        <f t="shared" ca="1" si="124"/>
        <v>2.270119219846408</v>
      </c>
    </row>
    <row r="1572" spans="1:8" x14ac:dyDescent="0.25">
      <c r="A1572" s="5">
        <v>42460</v>
      </c>
      <c r="B1572">
        <v>744.95001200000002</v>
      </c>
      <c r="C1572" s="6">
        <v>7.4347684761324829E-3</v>
      </c>
      <c r="D1572" s="6">
        <f t="shared" ca="1" si="122"/>
        <v>-2.4818627980287587E-2</v>
      </c>
      <c r="E1572" s="6">
        <f t="shared" ca="1" si="123"/>
        <v>-3.2253396456420072E-2</v>
      </c>
      <c r="F1572">
        <f t="shared" ca="1" si="121"/>
        <v>1.9392185184910458E-2</v>
      </c>
      <c r="G1572">
        <f t="shared" ca="1" si="120"/>
        <v>-0.92380246836090785</v>
      </c>
      <c r="H1572">
        <f t="shared" ca="1" si="124"/>
        <v>1.9118171884017143</v>
      </c>
    </row>
    <row r="1573" spans="1:8" x14ac:dyDescent="0.25">
      <c r="A1573" s="1">
        <v>42461</v>
      </c>
      <c r="B1573">
        <v>749.90997300000004</v>
      </c>
      <c r="C1573" s="6">
        <v>-6.6581125177564548E-3</v>
      </c>
      <c r="D1573" s="6">
        <f t="shared" ca="1" si="122"/>
        <v>-2.8438175235959987E-2</v>
      </c>
      <c r="E1573" s="6">
        <f t="shared" ca="1" si="123"/>
        <v>-2.1780062718203534E-2</v>
      </c>
      <c r="F1573">
        <f t="shared" ca="1" si="121"/>
        <v>1.6809400443278208E-2</v>
      </c>
      <c r="G1573">
        <f t="shared" ca="1" si="120"/>
        <v>-1.4845096154684994</v>
      </c>
      <c r="H1573">
        <f t="shared" ca="1" si="124"/>
        <v>2.4076924371568782</v>
      </c>
    </row>
    <row r="1574" spans="1:8" x14ac:dyDescent="0.25">
      <c r="A1574" s="5">
        <v>42464</v>
      </c>
      <c r="B1574">
        <v>745.28997800000002</v>
      </c>
      <c r="C1574" s="6">
        <v>6.1607328430609053E-3</v>
      </c>
      <c r="D1574" s="6">
        <f t="shared" ca="1" si="122"/>
        <v>7.5608050115357379E-3</v>
      </c>
      <c r="E1574" s="6">
        <f t="shared" ca="1" si="123"/>
        <v>1.4000721684748326E-3</v>
      </c>
      <c r="F1574">
        <f t="shared" ca="1" si="121"/>
        <v>2.4793083345691361E-2</v>
      </c>
      <c r="G1574">
        <f t="shared" ca="1" si="120"/>
        <v>0.16985094923706881</v>
      </c>
      <c r="H1574">
        <f t="shared" ca="1" si="124"/>
        <v>2.8167711505216606</v>
      </c>
    </row>
    <row r="1575" spans="1:8" x14ac:dyDescent="0.25">
      <c r="A1575" s="1">
        <v>42465</v>
      </c>
      <c r="B1575">
        <v>737.79998799999998</v>
      </c>
      <c r="C1575" s="6">
        <v>1.0049766159608862E-2</v>
      </c>
      <c r="D1575" s="6">
        <f t="shared" ca="1" si="122"/>
        <v>-6.6282647381346047E-3</v>
      </c>
      <c r="E1575" s="6">
        <f t="shared" ca="1" si="123"/>
        <v>-1.6678030897743466E-2</v>
      </c>
      <c r="F1575">
        <f t="shared" ca="1" si="121"/>
        <v>9.552962527587739E-3</v>
      </c>
      <c r="G1575">
        <f t="shared" ca="1" si="120"/>
        <v>-0.37983064918874404</v>
      </c>
      <c r="H1575">
        <f t="shared" ca="1" si="124"/>
        <v>2.5791280965536849</v>
      </c>
    </row>
    <row r="1576" spans="1:8" x14ac:dyDescent="0.25">
      <c r="A1576" s="5">
        <v>42466</v>
      </c>
      <c r="B1576">
        <v>745.69000200000005</v>
      </c>
      <c r="C1576" s="6">
        <v>-1.0693974150620431E-2</v>
      </c>
      <c r="D1576" s="6">
        <f t="shared" ca="1" si="122"/>
        <v>-7.5800248010200622E-3</v>
      </c>
      <c r="E1576" s="6">
        <f t="shared" ca="1" si="123"/>
        <v>3.113949349600369E-3</v>
      </c>
      <c r="F1576">
        <f t="shared" ca="1" si="121"/>
        <v>9.3247450619999561E-3</v>
      </c>
      <c r="G1576">
        <f t="shared" ca="1" si="120"/>
        <v>-1.1105882032907624</v>
      </c>
      <c r="H1576">
        <f t="shared" ca="1" si="124"/>
        <v>2.8093659159652393</v>
      </c>
    </row>
    <row r="1577" spans="1:8" x14ac:dyDescent="0.25">
      <c r="A1577" s="1">
        <v>42467</v>
      </c>
      <c r="B1577">
        <v>740.28002900000001</v>
      </c>
      <c r="C1577" s="6">
        <v>7.2549893192748426E-3</v>
      </c>
      <c r="D1577" s="6">
        <f t="shared" ca="1" si="122"/>
        <v>1.2578889564005082E-2</v>
      </c>
      <c r="E1577" s="6">
        <f t="shared" ca="1" si="123"/>
        <v>5.323900244730239E-3</v>
      </c>
      <c r="F1577">
        <f t="shared" ca="1" si="121"/>
        <v>1.8956550400425227E-2</v>
      </c>
      <c r="G1577">
        <f t="shared" ca="1" si="120"/>
        <v>0.42471201629263028</v>
      </c>
      <c r="H1577">
        <f t="shared" ca="1" si="124"/>
        <v>2.7921648409333684</v>
      </c>
    </row>
    <row r="1578" spans="1:8" x14ac:dyDescent="0.25">
      <c r="A1578" s="5">
        <v>42468</v>
      </c>
      <c r="B1578">
        <v>739.15002400000003</v>
      </c>
      <c r="C1578" s="6">
        <v>1.5264561459620071E-3</v>
      </c>
      <c r="D1578" s="6">
        <f t="shared" ca="1" si="122"/>
        <v>6.1491884801238381E-3</v>
      </c>
      <c r="E1578" s="6">
        <f t="shared" ca="1" si="123"/>
        <v>4.6227323341618311E-3</v>
      </c>
      <c r="F1578">
        <f t="shared" ca="1" si="121"/>
        <v>1.0630041944832535E-2</v>
      </c>
      <c r="G1578">
        <f t="shared" ca="1" si="120"/>
        <v>1.0317280602381473</v>
      </c>
      <c r="H1578">
        <f t="shared" ca="1" si="124"/>
        <v>2.798555945388951</v>
      </c>
    </row>
    <row r="1579" spans="1:8" x14ac:dyDescent="0.25">
      <c r="A1579" s="1">
        <v>42471</v>
      </c>
      <c r="B1579">
        <v>736.09997599999997</v>
      </c>
      <c r="C1579" s="6">
        <v>4.126426166496425E-3</v>
      </c>
      <c r="D1579" s="6">
        <f t="shared" ca="1" si="122"/>
        <v>1.6271137688106941E-2</v>
      </c>
      <c r="E1579" s="6">
        <f t="shared" ca="1" si="123"/>
        <v>1.2144711521610516E-2</v>
      </c>
      <c r="F1579">
        <f t="shared" ca="1" si="121"/>
        <v>1.7852362920991655E-2</v>
      </c>
      <c r="G1579">
        <f t="shared" ca="1" si="120"/>
        <v>0.72832525513764401</v>
      </c>
      <c r="H1579">
        <f t="shared" ca="1" si="124"/>
        <v>2.6847168277818789</v>
      </c>
    </row>
    <row r="1580" spans="1:8" x14ac:dyDescent="0.25">
      <c r="A1580" s="5">
        <v>42472</v>
      </c>
      <c r="B1580">
        <v>743.09002699999996</v>
      </c>
      <c r="C1580" s="6">
        <v>-9.4960619860147838E-3</v>
      </c>
      <c r="D1580" s="6">
        <f t="shared" ca="1" si="122"/>
        <v>3.0941430683225156E-2</v>
      </c>
      <c r="E1580" s="6">
        <f t="shared" ca="1" si="123"/>
        <v>4.043749266923994E-2</v>
      </c>
      <c r="F1580">
        <f t="shared" ca="1" si="121"/>
        <v>1.4073522509625059E-2</v>
      </c>
      <c r="G1580">
        <f t="shared" ca="1" si="120"/>
        <v>2.1496826415454171</v>
      </c>
      <c r="H1580">
        <f t="shared" ca="1" si="124"/>
        <v>1.3623081187893955</v>
      </c>
    </row>
    <row r="1581" spans="1:8" x14ac:dyDescent="0.25">
      <c r="A1581" s="1">
        <v>42473</v>
      </c>
      <c r="B1581">
        <v>751.71997099999999</v>
      </c>
      <c r="C1581" s="6">
        <v>-1.161359147133329E-2</v>
      </c>
      <c r="D1581" s="6">
        <f t="shared" ca="1" si="122"/>
        <v>2.321776176634396E-2</v>
      </c>
      <c r="E1581" s="6">
        <f t="shared" ca="1" si="123"/>
        <v>3.4831353237677248E-2</v>
      </c>
      <c r="F1581">
        <f t="shared" ca="1" si="121"/>
        <v>3.4850299031489021E-2</v>
      </c>
      <c r="G1581">
        <f t="shared" ca="1" si="120"/>
        <v>0.61287075179179751</v>
      </c>
      <c r="H1581">
        <f t="shared" ca="1" si="124"/>
        <v>1.7365781406104901</v>
      </c>
    </row>
    <row r="1582" spans="1:8" x14ac:dyDescent="0.25">
      <c r="A1582" s="5">
        <v>42474</v>
      </c>
      <c r="B1582">
        <v>753.20001200000002</v>
      </c>
      <c r="C1582" s="6">
        <v>-1.9688727945210175E-3</v>
      </c>
      <c r="D1582" s="6">
        <f t="shared" ca="1" si="122"/>
        <v>-1.8493265675941863E-2</v>
      </c>
      <c r="E1582" s="6">
        <f t="shared" ca="1" si="123"/>
        <v>-1.6524392881420845E-2</v>
      </c>
      <c r="F1582">
        <f t="shared" ca="1" si="121"/>
        <v>1.4701206946748384E-2</v>
      </c>
      <c r="G1582">
        <f t="shared" ca="1" si="120"/>
        <v>-0.96689728691900501</v>
      </c>
      <c r="H1582">
        <f t="shared" ca="1" si="124"/>
        <v>2.5835779765896554</v>
      </c>
    </row>
    <row r="1583" spans="1:8" x14ac:dyDescent="0.25">
      <c r="A1583" s="1">
        <v>42475</v>
      </c>
      <c r="B1583">
        <v>759</v>
      </c>
      <c r="C1583" s="6">
        <v>-7.7004619059936824E-3</v>
      </c>
      <c r="D1583" s="6">
        <f t="shared" ca="1" si="122"/>
        <v>-2.2114723842367876E-2</v>
      </c>
      <c r="E1583" s="6">
        <f t="shared" ca="1" si="123"/>
        <v>-1.4414261936374195E-2</v>
      </c>
      <c r="F1583">
        <f t="shared" ca="1" si="121"/>
        <v>1.711167614341717E-2</v>
      </c>
      <c r="G1583">
        <f t="shared" ca="1" si="120"/>
        <v>-0.98658407875607879</v>
      </c>
      <c r="H1583">
        <f t="shared" ca="1" si="124"/>
        <v>2.6404790608882376</v>
      </c>
    </row>
    <row r="1584" spans="1:8" x14ac:dyDescent="0.25">
      <c r="A1584" s="5">
        <v>42478</v>
      </c>
      <c r="B1584">
        <v>766.60998500000005</v>
      </c>
      <c r="C1584" s="6">
        <v>-1.0026330698287287E-2</v>
      </c>
      <c r="D1584" s="6">
        <f t="shared" ca="1" si="122"/>
        <v>-1.2082972212262592E-2</v>
      </c>
      <c r="E1584" s="6">
        <f t="shared" ca="1" si="123"/>
        <v>-2.0566415139753047E-3</v>
      </c>
      <c r="F1584">
        <f t="shared" ca="1" si="121"/>
        <v>1.7530037433994932E-2</v>
      </c>
      <c r="G1584">
        <f t="shared" ca="1" si="120"/>
        <v>-0.63866124721524919</v>
      </c>
      <c r="H1584">
        <f t="shared" ca="1" si="124"/>
        <v>2.8159338889127317</v>
      </c>
    </row>
    <row r="1585" spans="1:8" x14ac:dyDescent="0.25">
      <c r="A1585" s="1">
        <v>42479</v>
      </c>
      <c r="B1585">
        <v>753.92999299999997</v>
      </c>
      <c r="C1585" s="6">
        <v>1.654034287069726E-2</v>
      </c>
      <c r="D1585" s="6">
        <f t="shared" ca="1" si="122"/>
        <v>1.1988072841400202E-2</v>
      </c>
      <c r="E1585" s="6">
        <f t="shared" ca="1" si="123"/>
        <v>-4.5522700292970585E-3</v>
      </c>
      <c r="F1585">
        <f t="shared" ca="1" si="121"/>
        <v>1.2909467767042949E-2</v>
      </c>
      <c r="G1585">
        <f t="shared" ca="1" si="120"/>
        <v>1.1973952283798315</v>
      </c>
      <c r="H1585">
        <f t="shared" ca="1" si="124"/>
        <v>2.8022202626348864</v>
      </c>
    </row>
    <row r="1586" spans="1:8" x14ac:dyDescent="0.25">
      <c r="A1586" s="5">
        <v>42480</v>
      </c>
      <c r="B1586">
        <v>752.669983</v>
      </c>
      <c r="C1586" s="6">
        <v>1.6712559676611324E-3</v>
      </c>
      <c r="D1586" s="6">
        <f t="shared" ca="1" si="122"/>
        <v>9.0081232030377791E-3</v>
      </c>
      <c r="E1586" s="6">
        <f t="shared" ca="1" si="123"/>
        <v>7.3368672353766465E-3</v>
      </c>
      <c r="F1586">
        <f t="shared" ca="1" si="121"/>
        <v>2.0360890207380317E-2</v>
      </c>
      <c r="G1586">
        <f t="shared" ca="1" si="120"/>
        <v>0.6642775523121216</v>
      </c>
      <c r="H1586">
        <f t="shared" ca="1" si="124"/>
        <v>2.7689953458556817</v>
      </c>
    </row>
    <row r="1587" spans="1:8" x14ac:dyDescent="0.25">
      <c r="A1587" s="1">
        <v>42481</v>
      </c>
      <c r="B1587">
        <v>759.14001499999995</v>
      </c>
      <c r="C1587" s="6">
        <v>-8.5961073858846129E-3</v>
      </c>
      <c r="D1587" s="6">
        <f t="shared" ca="1" si="122"/>
        <v>-6.1608926200656328E-3</v>
      </c>
      <c r="E1587" s="6">
        <f t="shared" ca="1" si="123"/>
        <v>2.4352147658189801E-3</v>
      </c>
      <c r="F1587">
        <f t="shared" ca="1" si="121"/>
        <v>1.3483872944314617E-2</v>
      </c>
      <c r="G1587">
        <f t="shared" ca="1" si="120"/>
        <v>-1.0095976356095577</v>
      </c>
      <c r="H1587">
        <f t="shared" ca="1" si="124"/>
        <v>2.812918580072715</v>
      </c>
    </row>
    <row r="1588" spans="1:8" x14ac:dyDescent="0.25">
      <c r="A1588" s="5">
        <v>42482</v>
      </c>
      <c r="B1588">
        <v>718.77002000000005</v>
      </c>
      <c r="C1588" s="6">
        <v>5.3178589196091718E-2</v>
      </c>
      <c r="D1588" s="6">
        <f t="shared" ca="1" si="122"/>
        <v>-9.2679759906289273E-3</v>
      </c>
      <c r="E1588" s="6">
        <f t="shared" ca="1" si="123"/>
        <v>-6.2446565186720648E-2</v>
      </c>
      <c r="F1588">
        <f t="shared" ca="1" si="121"/>
        <v>1.7656793501957379E-2</v>
      </c>
      <c r="G1588">
        <f t="shared" ca="1" si="120"/>
        <v>-0.56753394922964751</v>
      </c>
      <c r="H1588">
        <f t="shared" ca="1" si="124"/>
        <v>-0.60128070549018153</v>
      </c>
    </row>
    <row r="1589" spans="1:8" x14ac:dyDescent="0.25">
      <c r="A1589" s="1">
        <v>42485</v>
      </c>
      <c r="B1589">
        <v>723.15002400000003</v>
      </c>
      <c r="C1589" s="6">
        <v>-6.0937488739443877E-3</v>
      </c>
      <c r="D1589" s="6">
        <f t="shared" ca="1" si="122"/>
        <v>-1.4772896197473599E-3</v>
      </c>
      <c r="E1589" s="6">
        <f t="shared" ca="1" si="123"/>
        <v>4.6164592541970279E-3</v>
      </c>
      <c r="F1589">
        <f t="shared" ca="1" si="121"/>
        <v>1.2060607722734219E-2</v>
      </c>
      <c r="G1589">
        <f t="shared" ca="1" si="120"/>
        <v>0.19856930027399855</v>
      </c>
      <c r="H1589">
        <f t="shared" ca="1" si="124"/>
        <v>2.7986092078287546</v>
      </c>
    </row>
    <row r="1590" spans="1:8" x14ac:dyDescent="0.25">
      <c r="A1590" s="5">
        <v>42486</v>
      </c>
      <c r="B1590">
        <v>708.14001499999995</v>
      </c>
      <c r="C1590" s="6">
        <v>2.0756424672399763E-2</v>
      </c>
      <c r="D1590" s="6">
        <f t="shared" ca="1" si="122"/>
        <v>2.5809430162000449E-2</v>
      </c>
      <c r="E1590" s="6">
        <f t="shared" ca="1" si="123"/>
        <v>5.0530054896006857E-3</v>
      </c>
      <c r="F1590">
        <f t="shared" ca="1" si="121"/>
        <v>8.0088191300111862E-3</v>
      </c>
      <c r="G1590">
        <f t="shared" ca="1" si="120"/>
        <v>0.23093909906486795</v>
      </c>
      <c r="H1590">
        <f t="shared" ca="1" si="124"/>
        <v>2.7947368919756208</v>
      </c>
    </row>
    <row r="1591" spans="1:8" x14ac:dyDescent="0.25">
      <c r="A1591" s="1">
        <v>42487</v>
      </c>
      <c r="B1591">
        <v>705.84002699999996</v>
      </c>
      <c r="C1591" s="6">
        <v>3.2479283069464519E-3</v>
      </c>
      <c r="D1591" s="6">
        <f t="shared" ca="1" si="122"/>
        <v>3.9139188270736862E-3</v>
      </c>
      <c r="E1591" s="6">
        <f t="shared" ca="1" si="123"/>
        <v>6.6599052012723424E-4</v>
      </c>
      <c r="F1591">
        <f t="shared" ca="1" si="121"/>
        <v>7.9033835614896932E-3</v>
      </c>
      <c r="G1591">
        <f t="shared" ca="1" si="120"/>
        <v>0.84257029659217764</v>
      </c>
      <c r="H1591">
        <f t="shared" ca="1" si="124"/>
        <v>2.8183571087193902</v>
      </c>
    </row>
    <row r="1592" spans="1:8" x14ac:dyDescent="0.25">
      <c r="A1592" s="5">
        <v>42488</v>
      </c>
      <c r="B1592">
        <v>691.02002000000005</v>
      </c>
      <c r="C1592" s="6">
        <v>2.0996268889692648E-2</v>
      </c>
      <c r="D1592" s="6">
        <f t="shared" ca="1" si="122"/>
        <v>1.5862101051607368E-2</v>
      </c>
      <c r="E1592" s="6">
        <f t="shared" ca="1" si="123"/>
        <v>-5.1341678380852802E-3</v>
      </c>
      <c r="F1592">
        <f t="shared" ca="1" si="121"/>
        <v>1.5057882611546945E-2</v>
      </c>
      <c r="G1592">
        <f t="shared" ca="1" si="120"/>
        <v>0.43233810989243748</v>
      </c>
      <c r="H1592">
        <f t="shared" ca="1" si="124"/>
        <v>2.7974423425147319</v>
      </c>
    </row>
    <row r="1593" spans="1:8" x14ac:dyDescent="0.25">
      <c r="A1593" s="1">
        <v>42489</v>
      </c>
      <c r="B1593">
        <v>693.01000999999997</v>
      </c>
      <c r="C1593" s="6">
        <v>-2.879786319360068E-3</v>
      </c>
      <c r="D1593" s="6">
        <f t="shared" ca="1" si="122"/>
        <v>4.4793813341100072E-4</v>
      </c>
      <c r="E1593" s="6">
        <f t="shared" ca="1" si="123"/>
        <v>3.3277244527710687E-3</v>
      </c>
      <c r="F1593">
        <f t="shared" ca="1" si="121"/>
        <v>1.0306394000212988E-2</v>
      </c>
      <c r="G1593">
        <f t="shared" ca="1" si="120"/>
        <v>-9.8558792721577623E-2</v>
      </c>
      <c r="H1593">
        <f t="shared" ca="1" si="124"/>
        <v>2.8080785896824172</v>
      </c>
    </row>
    <row r="1594" spans="1:8" x14ac:dyDescent="0.25">
      <c r="A1594" s="5">
        <v>42492</v>
      </c>
      <c r="B1594">
        <v>698.21002199999998</v>
      </c>
      <c r="C1594" s="6">
        <v>-7.5035164354985513E-3</v>
      </c>
      <c r="D1594" s="6">
        <f t="shared" ca="1" si="122"/>
        <v>1.8952673276507542E-2</v>
      </c>
      <c r="E1594" s="6">
        <f t="shared" ca="1" si="123"/>
        <v>2.6456189712006094E-2</v>
      </c>
      <c r="F1594">
        <f t="shared" ca="1" si="121"/>
        <v>7.3629173769967794E-3</v>
      </c>
      <c r="G1594">
        <f t="shared" ca="1" si="120"/>
        <v>1.2892588810698602</v>
      </c>
      <c r="H1594">
        <f t="shared" ca="1" si="124"/>
        <v>2.1923751975585577</v>
      </c>
    </row>
    <row r="1595" spans="1:8" x14ac:dyDescent="0.25">
      <c r="A1595" s="1">
        <v>42493</v>
      </c>
      <c r="B1595">
        <v>692.35998500000005</v>
      </c>
      <c r="C1595" s="6">
        <v>8.3786207812409901E-3</v>
      </c>
      <c r="D1595" s="6">
        <f t="shared" ca="1" si="122"/>
        <v>-3.3742745532146172E-2</v>
      </c>
      <c r="E1595" s="6">
        <f t="shared" ca="1" si="123"/>
        <v>-4.2121366313387164E-2</v>
      </c>
      <c r="F1595">
        <f t="shared" ca="1" si="121"/>
        <v>2.1555113792321022E-2</v>
      </c>
      <c r="G1595">
        <f t="shared" ca="1" si="120"/>
        <v>-1.5052165378107742</v>
      </c>
      <c r="H1595">
        <f t="shared" ca="1" si="124"/>
        <v>1.2674651085170816</v>
      </c>
    </row>
    <row r="1596" spans="1:8" x14ac:dyDescent="0.25">
      <c r="A1596" s="5">
        <v>42494</v>
      </c>
      <c r="B1596">
        <v>695.70001200000002</v>
      </c>
      <c r="C1596" s="6">
        <v>-4.8241190599713291E-3</v>
      </c>
      <c r="D1596" s="6">
        <f t="shared" ca="1" si="122"/>
        <v>3.7447942109398336E-2</v>
      </c>
      <c r="E1596" s="6">
        <f t="shared" ca="1" si="123"/>
        <v>4.2272061169369664E-2</v>
      </c>
      <c r="F1596">
        <f t="shared" ca="1" si="121"/>
        <v>2.5332702133586387E-2</v>
      </c>
      <c r="G1596">
        <f t="shared" ca="1" si="120"/>
        <v>1.6116940299046982</v>
      </c>
      <c r="H1596">
        <f t="shared" ca="1" si="124"/>
        <v>1.2277846307823841</v>
      </c>
    </row>
    <row r="1597" spans="1:8" x14ac:dyDescent="0.25">
      <c r="A1597" s="1">
        <v>42495</v>
      </c>
      <c r="B1597">
        <v>701.42999299999997</v>
      </c>
      <c r="C1597" s="6">
        <v>-8.2362813010846293E-3</v>
      </c>
      <c r="D1597" s="6">
        <f t="shared" ca="1" si="122"/>
        <v>-1.8548412818076499E-2</v>
      </c>
      <c r="E1597" s="6">
        <f t="shared" ca="1" si="123"/>
        <v>-1.031213151699187E-2</v>
      </c>
      <c r="F1597">
        <f t="shared" ca="1" si="121"/>
        <v>2.7130623438896526E-2</v>
      </c>
      <c r="G1597">
        <f t="shared" ca="1" si="120"/>
        <v>-0.82281111840807764</v>
      </c>
      <c r="H1597">
        <f t="shared" ca="1" si="124"/>
        <v>2.7286069526197654</v>
      </c>
    </row>
    <row r="1598" spans="1:8" x14ac:dyDescent="0.25">
      <c r="A1598" s="5">
        <v>42496</v>
      </c>
      <c r="B1598">
        <v>711.11999500000002</v>
      </c>
      <c r="C1598" s="6">
        <v>-1.3814638804588514E-2</v>
      </c>
      <c r="D1598" s="6">
        <f t="shared" ca="1" si="122"/>
        <v>-1.1955437848381921E-2</v>
      </c>
      <c r="E1598" s="6">
        <f t="shared" ca="1" si="123"/>
        <v>1.8592009562065932E-3</v>
      </c>
      <c r="F1598">
        <f t="shared" ca="1" si="121"/>
        <v>1.6162692022627878E-2</v>
      </c>
      <c r="G1598">
        <f t="shared" ca="1" si="120"/>
        <v>-0.60520619713011603</v>
      </c>
      <c r="H1598">
        <f t="shared" ca="1" si="124"/>
        <v>2.8152957609947395</v>
      </c>
    </row>
    <row r="1599" spans="1:8" x14ac:dyDescent="0.25">
      <c r="A1599" s="1">
        <v>42499</v>
      </c>
      <c r="B1599">
        <v>712.90002400000003</v>
      </c>
      <c r="C1599" s="6">
        <v>-2.5031345096688121E-3</v>
      </c>
      <c r="D1599" s="6">
        <f t="shared" ca="1" si="122"/>
        <v>1.460759493040766E-3</v>
      </c>
      <c r="E1599" s="6">
        <f t="shared" ca="1" si="123"/>
        <v>3.9638940027095781E-3</v>
      </c>
      <c r="F1599">
        <f t="shared" ca="1" si="121"/>
        <v>1.2381985922816323E-2</v>
      </c>
      <c r="G1599">
        <f t="shared" ca="1" si="120"/>
        <v>0.41769564183252922</v>
      </c>
      <c r="H1599">
        <f t="shared" ca="1" si="124"/>
        <v>2.8037704912701087</v>
      </c>
    </row>
    <row r="1600" spans="1:8" x14ac:dyDescent="0.25">
      <c r="A1600" s="5">
        <v>42500</v>
      </c>
      <c r="B1600">
        <v>723.17999299999997</v>
      </c>
      <c r="C1600" s="6">
        <v>-1.4419930781205776E-2</v>
      </c>
      <c r="D1600" s="6">
        <f t="shared" ca="1" si="122"/>
        <v>-1.3074103102712089E-2</v>
      </c>
      <c r="E1600" s="6">
        <f t="shared" ca="1" si="123"/>
        <v>1.3458276784936874E-3</v>
      </c>
      <c r="F1600">
        <f t="shared" ca="1" si="121"/>
        <v>9.922084622370311E-3</v>
      </c>
      <c r="G1600">
        <f t="shared" ca="1" si="120"/>
        <v>-0.69035699807105055</v>
      </c>
      <c r="H1600">
        <f t="shared" ca="1" si="124"/>
        <v>2.8169208876080001</v>
      </c>
    </row>
    <row r="1601" spans="1:8" x14ac:dyDescent="0.25">
      <c r="A1601" s="1">
        <v>42501</v>
      </c>
      <c r="B1601">
        <v>715.28997800000002</v>
      </c>
      <c r="C1601" s="6">
        <v>1.0910167698734924E-2</v>
      </c>
      <c r="D1601" s="6">
        <f t="shared" ca="1" si="122"/>
        <v>2.8440270894576993E-3</v>
      </c>
      <c r="E1601" s="6">
        <f t="shared" ca="1" si="123"/>
        <v>-8.0661406092772253E-3</v>
      </c>
      <c r="F1601">
        <f t="shared" ca="1" si="121"/>
        <v>1.3061627456132706E-2</v>
      </c>
      <c r="G1601">
        <f t="shared" ca="1" si="120"/>
        <v>0.30410224187110252</v>
      </c>
      <c r="H1601">
        <f t="shared" ca="1" si="124"/>
        <v>2.764276275345614</v>
      </c>
    </row>
    <row r="1602" spans="1:8" x14ac:dyDescent="0.25">
      <c r="A1602" s="5">
        <v>42502</v>
      </c>
      <c r="B1602">
        <v>713.30999799999995</v>
      </c>
      <c r="C1602" s="6">
        <v>2.7680801645456141E-3</v>
      </c>
      <c r="D1602" s="6">
        <f t="shared" ca="1" si="122"/>
        <v>-1.4447275771590808E-2</v>
      </c>
      <c r="E1602" s="6">
        <f t="shared" ca="1" si="123"/>
        <v>-1.721535593613642E-2</v>
      </c>
      <c r="F1602">
        <f t="shared" ca="1" si="121"/>
        <v>8.8891814174208283E-3</v>
      </c>
      <c r="G1602">
        <f t="shared" ca="1" si="120"/>
        <v>-0.89439693382671048</v>
      </c>
      <c r="H1602">
        <f t="shared" ca="1" si="124"/>
        <v>2.5632376927100649</v>
      </c>
    </row>
    <row r="1603" spans="1:8" x14ac:dyDescent="0.25">
      <c r="A1603" s="1">
        <v>42503</v>
      </c>
      <c r="B1603">
        <v>710.830017</v>
      </c>
      <c r="C1603" s="6">
        <v>3.4767226128238743E-3</v>
      </c>
      <c r="D1603" s="6">
        <f t="shared" ca="1" si="122"/>
        <v>-1.0378026988451489E-2</v>
      </c>
      <c r="E1603" s="6">
        <f t="shared" ca="1" si="123"/>
        <v>-1.3854749601275364E-2</v>
      </c>
      <c r="F1603">
        <f t="shared" ca="1" si="121"/>
        <v>1.5821739700678374E-2</v>
      </c>
      <c r="G1603">
        <f t="shared" ref="G1603:G1666" ca="1" si="125">_xlfn.NORM.INV(RAND(),0,1)</f>
        <v>-0.96662722594854622</v>
      </c>
      <c r="H1603">
        <f t="shared" ca="1" si="124"/>
        <v>2.6542485184220999</v>
      </c>
    </row>
    <row r="1604" spans="1:8" x14ac:dyDescent="0.25">
      <c r="A1604" s="5">
        <v>42506</v>
      </c>
      <c r="B1604">
        <v>716.48999000000003</v>
      </c>
      <c r="C1604" s="6">
        <v>-7.9624845105549843E-3</v>
      </c>
      <c r="D1604" s="6">
        <f t="shared" ca="1" si="122"/>
        <v>-2.7976742694181954E-2</v>
      </c>
      <c r="E1604" s="6">
        <f t="shared" ca="1" si="123"/>
        <v>-2.0014258183626968E-2</v>
      </c>
      <c r="F1604">
        <f t="shared" ref="F1604:F1667" ca="1" si="126">SQRT($K$6+$K$7*POWER($G1603,2)+$K$8*POWER($F1603,2))</f>
        <v>1.7171149623941461E-2</v>
      </c>
      <c r="G1604">
        <f t="shared" ca="1" si="125"/>
        <v>-1.7019231980881093</v>
      </c>
      <c r="H1604">
        <f t="shared" ca="1" si="124"/>
        <v>2.4722248502722954</v>
      </c>
    </row>
    <row r="1605" spans="1:8" x14ac:dyDescent="0.25">
      <c r="A1605" s="1">
        <v>42507</v>
      </c>
      <c r="B1605">
        <v>706.22997999999995</v>
      </c>
      <c r="C1605" s="6">
        <v>1.4319823226002193E-2</v>
      </c>
      <c r="D1605" s="6">
        <f t="shared" ref="D1605:D1668" ca="1" si="127">($K$10*$C1604)+($K$11*$C1603)+($F1605*$G1605)</f>
        <v>-2.1354434467318342E-2</v>
      </c>
      <c r="E1605" s="6">
        <f t="shared" ca="1" si="123"/>
        <v>-3.5674257693320534E-2</v>
      </c>
      <c r="F1605">
        <f t="shared" ca="1" si="126"/>
        <v>2.8087683752747058E-2</v>
      </c>
      <c r="G1605">
        <f t="shared" ca="1" si="125"/>
        <v>-0.81604323095067854</v>
      </c>
      <c r="H1605">
        <f t="shared" ca="1" si="124"/>
        <v>1.7079069699604952</v>
      </c>
    </row>
    <row r="1606" spans="1:8" x14ac:dyDescent="0.25">
      <c r="A1606" s="5">
        <v>42508</v>
      </c>
      <c r="B1606">
        <v>706.63000499999998</v>
      </c>
      <c r="C1606" s="6">
        <v>-5.6642313598755448E-4</v>
      </c>
      <c r="D1606" s="6">
        <f t="shared" ca="1" si="127"/>
        <v>-2.0003051696515489E-3</v>
      </c>
      <c r="E1606" s="6">
        <f t="shared" ref="E1606:E1669" ca="1" si="128">$D1606-$C1606</f>
        <v>-1.4338820336639944E-3</v>
      </c>
      <c r="F1606">
        <f t="shared" ca="1" si="126"/>
        <v>1.6180487896993744E-2</v>
      </c>
      <c r="G1606">
        <f t="shared" ca="1" si="125"/>
        <v>9.8081744535795767E-2</v>
      </c>
      <c r="H1606">
        <f t="shared" ref="H1606:H1669" ca="1" si="129">LN(_xlfn.NORM.DIST($E1606,AVERAGE($E$5:$E$1763),_xlfn.STDEV.S($E$5:$E$1763),FALSE))</f>
        <v>2.8176422003972132</v>
      </c>
    </row>
    <row r="1607" spans="1:8" x14ac:dyDescent="0.25">
      <c r="A1607" s="1">
        <v>42509</v>
      </c>
      <c r="B1607">
        <v>700.32000700000003</v>
      </c>
      <c r="C1607" s="6">
        <v>8.9297057234357761E-3</v>
      </c>
      <c r="D1607" s="6">
        <f t="shared" ca="1" si="127"/>
        <v>-1.3030464316392525E-4</v>
      </c>
      <c r="E1607" s="6">
        <f t="shared" ca="1" si="128"/>
        <v>-9.0600103665997023E-3</v>
      </c>
      <c r="F1607">
        <f t="shared" ca="1" si="126"/>
        <v>8.0036806896026449E-3</v>
      </c>
      <c r="G1607">
        <f t="shared" ca="1" si="125"/>
        <v>-0.8223954716511549</v>
      </c>
      <c r="H1607">
        <f t="shared" ca="1" si="129"/>
        <v>2.749590504716664</v>
      </c>
    </row>
    <row r="1608" spans="1:8" x14ac:dyDescent="0.25">
      <c r="A1608" s="5">
        <v>42510</v>
      </c>
      <c r="B1608">
        <v>709.73999000000003</v>
      </c>
      <c r="C1608" s="6">
        <v>-1.3450969422325817E-2</v>
      </c>
      <c r="D1608" s="6">
        <f t="shared" ca="1" si="127"/>
        <v>-1.2312473239169222E-2</v>
      </c>
      <c r="E1608" s="6">
        <f t="shared" ca="1" si="128"/>
        <v>1.1384961831565951E-3</v>
      </c>
      <c r="F1608">
        <f t="shared" ca="1" si="126"/>
        <v>1.4779425753316987E-2</v>
      </c>
      <c r="G1608">
        <f t="shared" ca="1" si="125"/>
        <v>-0.81582432786074655</v>
      </c>
      <c r="H1608">
        <f t="shared" ca="1" si="129"/>
        <v>2.8174453480517294</v>
      </c>
    </row>
    <row r="1609" spans="1:8" x14ac:dyDescent="0.25">
      <c r="A1609" s="1">
        <v>42513</v>
      </c>
      <c r="B1609">
        <v>704.23999000000003</v>
      </c>
      <c r="C1609" s="6">
        <v>7.7493167603533229E-3</v>
      </c>
      <c r="D1609" s="6">
        <f t="shared" ca="1" si="127"/>
        <v>-1.5802626877153548E-2</v>
      </c>
      <c r="E1609" s="6">
        <f t="shared" ca="1" si="128"/>
        <v>-2.3551943637506872E-2</v>
      </c>
      <c r="F1609">
        <f t="shared" ca="1" si="126"/>
        <v>1.5017628395909581E-2</v>
      </c>
      <c r="G1609">
        <f t="shared" ca="1" si="125"/>
        <v>-1.320164848220295</v>
      </c>
      <c r="H1609">
        <f t="shared" ca="1" si="129"/>
        <v>2.3374062345867781</v>
      </c>
    </row>
    <row r="1610" spans="1:8" x14ac:dyDescent="0.25">
      <c r="A1610" s="5">
        <v>42514</v>
      </c>
      <c r="B1610">
        <v>720.09002699999996</v>
      </c>
      <c r="C1610" s="6">
        <v>-2.250658472263117E-2</v>
      </c>
      <c r="D1610" s="6">
        <f t="shared" ca="1" si="127"/>
        <v>-7.2216838135316722E-3</v>
      </c>
      <c r="E1610" s="6">
        <f t="shared" ca="1" si="128"/>
        <v>1.5284900909099498E-2</v>
      </c>
      <c r="F1610">
        <f t="shared" ca="1" si="126"/>
        <v>2.2263898296253332E-2</v>
      </c>
      <c r="G1610">
        <f t="shared" ca="1" si="125"/>
        <v>-5.2164476961071481E-2</v>
      </c>
      <c r="H1610">
        <f t="shared" ca="1" si="129"/>
        <v>2.6076459377387553</v>
      </c>
    </row>
    <row r="1611" spans="1:8" x14ac:dyDescent="0.25">
      <c r="A1611" s="1">
        <v>42515</v>
      </c>
      <c r="B1611">
        <v>725.27002000000005</v>
      </c>
      <c r="C1611" s="6">
        <v>-7.1935352605571939E-3</v>
      </c>
      <c r="D1611" s="6">
        <f t="shared" ca="1" si="127"/>
        <v>1.8423740159105991E-3</v>
      </c>
      <c r="E1611" s="6">
        <f t="shared" ca="1" si="128"/>
        <v>9.0359092764677931E-3</v>
      </c>
      <c r="F1611">
        <f t="shared" ca="1" si="126"/>
        <v>8.7845184728525243E-3</v>
      </c>
      <c r="G1611">
        <f t="shared" ca="1" si="125"/>
        <v>-0.18768951488098035</v>
      </c>
      <c r="H1611">
        <f t="shared" ca="1" si="129"/>
        <v>2.743873463485615</v>
      </c>
    </row>
    <row r="1612" spans="1:8" x14ac:dyDescent="0.25">
      <c r="A1612" s="5">
        <v>42516</v>
      </c>
      <c r="B1612">
        <v>724.11999500000002</v>
      </c>
      <c r="C1612" s="6">
        <v>1.5856508173328712E-3</v>
      </c>
      <c r="D1612" s="6">
        <f t="shared" ca="1" si="127"/>
        <v>-2.2024004931001342E-2</v>
      </c>
      <c r="E1612" s="6">
        <f t="shared" ca="1" si="128"/>
        <v>-2.3609655748334214E-2</v>
      </c>
      <c r="F1612">
        <f t="shared" ca="1" si="126"/>
        <v>7.6653099723589411E-3</v>
      </c>
      <c r="G1612">
        <f t="shared" ca="1" si="125"/>
        <v>-1.5502815201125162</v>
      </c>
      <c r="H1612">
        <f t="shared" ca="1" si="129"/>
        <v>2.3350237544603281</v>
      </c>
    </row>
    <row r="1613" spans="1:8" x14ac:dyDescent="0.25">
      <c r="A1613" s="1">
        <v>42517</v>
      </c>
      <c r="B1613">
        <v>732.65997300000004</v>
      </c>
      <c r="C1613" s="6">
        <v>-1.1793595065690762E-2</v>
      </c>
      <c r="D1613" s="6">
        <f t="shared" ca="1" si="127"/>
        <v>-1.6576890933618339E-2</v>
      </c>
      <c r="E1613" s="6">
        <f t="shared" ca="1" si="128"/>
        <v>-4.7832958679275769E-3</v>
      </c>
      <c r="F1613">
        <f t="shared" ca="1" si="126"/>
        <v>2.5504359907502671E-2</v>
      </c>
      <c r="G1613">
        <f t="shared" ca="1" si="125"/>
        <v>-0.52288393444650327</v>
      </c>
      <c r="H1613">
        <f t="shared" ca="1" si="129"/>
        <v>2.8003948610372436</v>
      </c>
    </row>
    <row r="1614" spans="1:8" x14ac:dyDescent="0.25">
      <c r="A1614" s="5">
        <v>42521</v>
      </c>
      <c r="B1614">
        <v>735.71997099999999</v>
      </c>
      <c r="C1614" s="6">
        <v>-4.176559540260227E-3</v>
      </c>
      <c r="D1614" s="6">
        <f t="shared" ca="1" si="127"/>
        <v>-1.9828037530588465E-2</v>
      </c>
      <c r="E1614" s="6">
        <f t="shared" ca="1" si="128"/>
        <v>-1.565147799032824E-2</v>
      </c>
      <c r="F1614">
        <f t="shared" ca="1" si="126"/>
        <v>1.2440079762967904E-2</v>
      </c>
      <c r="G1614">
        <f t="shared" ca="1" si="125"/>
        <v>-1.6512971616940715</v>
      </c>
      <c r="H1614">
        <f t="shared" ca="1" si="129"/>
        <v>2.6080697759055895</v>
      </c>
    </row>
    <row r="1615" spans="1:8" x14ac:dyDescent="0.25">
      <c r="A1615" s="1">
        <v>42522</v>
      </c>
      <c r="B1615">
        <v>734.15002400000003</v>
      </c>
      <c r="C1615" s="6">
        <v>2.1338920538830344E-3</v>
      </c>
      <c r="D1615" s="6">
        <f t="shared" ca="1" si="127"/>
        <v>3.1664731917769286E-2</v>
      </c>
      <c r="E1615" s="6">
        <f t="shared" ca="1" si="128"/>
        <v>2.953083986388625E-2</v>
      </c>
      <c r="F1615">
        <f t="shared" ca="1" si="126"/>
        <v>2.7157507679583449E-2</v>
      </c>
      <c r="G1615">
        <f t="shared" ca="1" si="125"/>
        <v>1.361630357820357</v>
      </c>
      <c r="H1615">
        <f t="shared" ca="1" si="129"/>
        <v>2.0394271899442247</v>
      </c>
    </row>
    <row r="1616" spans="1:8" x14ac:dyDescent="0.25">
      <c r="A1616" s="5">
        <v>42523</v>
      </c>
      <c r="B1616">
        <v>730.40002400000003</v>
      </c>
      <c r="C1616" s="6">
        <v>5.1079478000534669E-3</v>
      </c>
      <c r="D1616" s="6">
        <f t="shared" ca="1" si="127"/>
        <v>1.7859567197931223E-2</v>
      </c>
      <c r="E1616" s="6">
        <f t="shared" ca="1" si="128"/>
        <v>1.2751619397877757E-2</v>
      </c>
      <c r="F1616">
        <f t="shared" ca="1" si="126"/>
        <v>2.3579671863267974E-2</v>
      </c>
      <c r="G1616">
        <f t="shared" ca="1" si="125"/>
        <v>0.83721732126297299</v>
      </c>
      <c r="H1616">
        <f t="shared" ca="1" si="129"/>
        <v>2.6711780427642133</v>
      </c>
    </row>
    <row r="1617" spans="1:8" x14ac:dyDescent="0.25">
      <c r="A1617" s="1">
        <v>42524</v>
      </c>
      <c r="B1617">
        <v>722.34002699999996</v>
      </c>
      <c r="C1617" s="6">
        <v>1.1035044818125672E-2</v>
      </c>
      <c r="D1617" s="6">
        <f t="shared" ca="1" si="127"/>
        <v>5.0523524886447128E-3</v>
      </c>
      <c r="E1617" s="6">
        <f t="shared" ca="1" si="128"/>
        <v>-5.9826923294809594E-3</v>
      </c>
      <c r="F1617">
        <f t="shared" ca="1" si="126"/>
        <v>1.5993650905514637E-2</v>
      </c>
      <c r="G1617">
        <f t="shared" ca="1" si="125"/>
        <v>0.25577825758896883</v>
      </c>
      <c r="H1617">
        <f t="shared" ca="1" si="129"/>
        <v>2.7894040569677356</v>
      </c>
    </row>
    <row r="1618" spans="1:8" x14ac:dyDescent="0.25">
      <c r="A1618" s="5">
        <v>42527</v>
      </c>
      <c r="B1618">
        <v>716.54998799999998</v>
      </c>
      <c r="C1618" s="6">
        <v>8.0156696065244899E-3</v>
      </c>
      <c r="D1618" s="6">
        <f t="shared" ca="1" si="127"/>
        <v>-1.3659489633749201E-2</v>
      </c>
      <c r="E1618" s="6">
        <f t="shared" ca="1" si="128"/>
        <v>-2.1675159240273689E-2</v>
      </c>
      <c r="F1618">
        <f t="shared" ca="1" si="126"/>
        <v>8.8118186452048244E-3</v>
      </c>
      <c r="G1618">
        <f t="shared" ca="1" si="125"/>
        <v>-1.8113279504051683</v>
      </c>
      <c r="H1618">
        <f t="shared" ca="1" si="129"/>
        <v>2.4116799582554247</v>
      </c>
    </row>
    <row r="1619" spans="1:8" x14ac:dyDescent="0.25">
      <c r="A1619" s="1">
        <v>42528</v>
      </c>
      <c r="B1619">
        <v>716.65002400000003</v>
      </c>
      <c r="C1619" s="6">
        <v>-1.396078454753188E-4</v>
      </c>
      <c r="D1619" s="6">
        <f t="shared" ca="1" si="127"/>
        <v>-7.8537092725997973E-3</v>
      </c>
      <c r="E1619" s="6">
        <f t="shared" ca="1" si="128"/>
        <v>-7.7141014271244783E-3</v>
      </c>
      <c r="F1619">
        <f t="shared" ca="1" si="126"/>
        <v>2.9518953987314148E-2</v>
      </c>
      <c r="G1619">
        <f t="shared" ca="1" si="125"/>
        <v>-0.43449228240518512</v>
      </c>
      <c r="H1619">
        <f t="shared" ca="1" si="129"/>
        <v>2.7690599986145639</v>
      </c>
    </row>
    <row r="1620" spans="1:8" x14ac:dyDescent="0.25">
      <c r="A1620" s="5">
        <v>42529</v>
      </c>
      <c r="B1620">
        <v>728.28002900000001</v>
      </c>
      <c r="C1620" s="6">
        <v>-1.6228290812141218E-2</v>
      </c>
      <c r="D1620" s="6">
        <f t="shared" ca="1" si="127"/>
        <v>1.0367008492483966E-2</v>
      </c>
      <c r="E1620" s="6">
        <f t="shared" ca="1" si="128"/>
        <v>2.6595299304625182E-2</v>
      </c>
      <c r="F1620">
        <f t="shared" ca="1" si="126"/>
        <v>1.2148339773682175E-2</v>
      </c>
      <c r="G1620">
        <f t="shared" ca="1" si="125"/>
        <v>0.55608383522796201</v>
      </c>
      <c r="H1620">
        <f t="shared" ca="1" si="129"/>
        <v>2.1858155846211935</v>
      </c>
    </row>
    <row r="1621" spans="1:8" x14ac:dyDescent="0.25">
      <c r="A1621" s="1">
        <v>42530</v>
      </c>
      <c r="B1621">
        <v>728.580017</v>
      </c>
      <c r="C1621" s="6">
        <v>-4.1191298409198147E-4</v>
      </c>
      <c r="D1621" s="6">
        <f t="shared" ca="1" si="127"/>
        <v>-1.5988976956821733E-3</v>
      </c>
      <c r="E1621" s="6">
        <f t="shared" ca="1" si="128"/>
        <v>-1.1869847115901918E-3</v>
      </c>
      <c r="F1621">
        <f t="shared" ca="1" si="126"/>
        <v>1.1481388180947549E-2</v>
      </c>
      <c r="G1621">
        <f t="shared" ca="1" si="125"/>
        <v>-0.13375804010570577</v>
      </c>
      <c r="H1621">
        <f t="shared" ca="1" si="129"/>
        <v>2.8181299890031735</v>
      </c>
    </row>
    <row r="1622" spans="1:8" x14ac:dyDescent="0.25">
      <c r="A1622" s="5">
        <v>42531</v>
      </c>
      <c r="B1622">
        <v>719.40997300000004</v>
      </c>
      <c r="C1622" s="6">
        <v>1.2586186535500275E-2</v>
      </c>
      <c r="D1622" s="6">
        <f t="shared" ca="1" si="127"/>
        <v>-6.8606226765650213E-3</v>
      </c>
      <c r="E1622" s="6">
        <f t="shared" ca="1" si="128"/>
        <v>-1.9446809212065298E-2</v>
      </c>
      <c r="F1622">
        <f t="shared" ca="1" si="126"/>
        <v>7.6081420235317131E-3</v>
      </c>
      <c r="G1622">
        <f t="shared" ca="1" si="125"/>
        <v>5.9298695972688692E-2</v>
      </c>
      <c r="H1622">
        <f t="shared" ca="1" si="129"/>
        <v>2.4917942113856575</v>
      </c>
    </row>
    <row r="1623" spans="1:8" x14ac:dyDescent="0.25">
      <c r="A1623" s="1">
        <v>42534</v>
      </c>
      <c r="B1623">
        <v>718.35998500000005</v>
      </c>
      <c r="C1623" s="6">
        <v>1.4595127109809816E-3</v>
      </c>
      <c r="D1623" s="6">
        <f t="shared" ca="1" si="127"/>
        <v>-2.5197288937788597E-3</v>
      </c>
      <c r="E1623" s="6">
        <f t="shared" ca="1" si="128"/>
        <v>-3.9792416047598408E-3</v>
      </c>
      <c r="F1623">
        <f t="shared" ca="1" si="126"/>
        <v>7.0423418010467512E-3</v>
      </c>
      <c r="G1623">
        <f t="shared" ca="1" si="125"/>
        <v>-0.33147309554663817</v>
      </c>
      <c r="H1623">
        <f t="shared" ca="1" si="129"/>
        <v>2.8063413241635353</v>
      </c>
    </row>
    <row r="1624" spans="1:8" x14ac:dyDescent="0.25">
      <c r="A1624" s="5">
        <v>42535</v>
      </c>
      <c r="B1624">
        <v>718.27002000000005</v>
      </c>
      <c r="C1624" s="6">
        <v>1.2523665276262082E-4</v>
      </c>
      <c r="D1624" s="6">
        <f t="shared" ca="1" si="127"/>
        <v>-8.6470650930071911E-3</v>
      </c>
      <c r="E1624" s="6">
        <f t="shared" ca="1" si="128"/>
        <v>-8.7723017457698119E-3</v>
      </c>
      <c r="F1624">
        <f t="shared" ca="1" si="126"/>
        <v>8.7003618334997E-3</v>
      </c>
      <c r="G1624">
        <f t="shared" ca="1" si="125"/>
        <v>-1.6456652009324135</v>
      </c>
      <c r="H1624">
        <f t="shared" ca="1" si="129"/>
        <v>2.7540210819870059</v>
      </c>
    </row>
    <row r="1625" spans="1:8" x14ac:dyDescent="0.25">
      <c r="A1625" s="1">
        <v>42536</v>
      </c>
      <c r="B1625">
        <v>718.919983</v>
      </c>
      <c r="C1625" s="6">
        <v>-9.0490063889894356E-4</v>
      </c>
      <c r="D1625" s="6">
        <f t="shared" ca="1" si="127"/>
        <v>-6.2873473931637034E-3</v>
      </c>
      <c r="E1625" s="6">
        <f t="shared" ca="1" si="128"/>
        <v>-5.38244675426476E-3</v>
      </c>
      <c r="F1625">
        <f t="shared" ca="1" si="126"/>
        <v>2.6978996608516135E-2</v>
      </c>
      <c r="G1625">
        <f t="shared" ca="1" si="125"/>
        <v>-0.25742036002037089</v>
      </c>
      <c r="H1625">
        <f t="shared" ca="1" si="129"/>
        <v>2.7952218490949461</v>
      </c>
    </row>
    <row r="1626" spans="1:8" x14ac:dyDescent="0.25">
      <c r="A1626" s="5">
        <v>42537</v>
      </c>
      <c r="B1626">
        <v>710.35998500000005</v>
      </c>
      <c r="C1626" s="6">
        <v>1.1906746512010574E-2</v>
      </c>
      <c r="D1626" s="6">
        <f t="shared" ca="1" si="127"/>
        <v>1.7504390341142866E-3</v>
      </c>
      <c r="E1626" s="6">
        <f t="shared" ca="1" si="128"/>
        <v>-1.0156307477896287E-2</v>
      </c>
      <c r="F1626">
        <f t="shared" ca="1" si="126"/>
        <v>1.0382942562948505E-2</v>
      </c>
      <c r="G1626">
        <f t="shared" ca="1" si="125"/>
        <v>0.16315488129242969</v>
      </c>
      <c r="H1626">
        <f t="shared" ca="1" si="129"/>
        <v>2.7313690690482924</v>
      </c>
    </row>
    <row r="1627" spans="1:8" x14ac:dyDescent="0.25">
      <c r="A1627" s="1">
        <v>42538</v>
      </c>
      <c r="B1627">
        <v>691.71997099999999</v>
      </c>
      <c r="C1627" s="6">
        <v>2.6240236490798482E-2</v>
      </c>
      <c r="D1627" s="6">
        <f t="shared" ca="1" si="127"/>
        <v>8.0869150638336589E-3</v>
      </c>
      <c r="E1627" s="6">
        <f t="shared" ca="1" si="128"/>
        <v>-1.8153321426964825E-2</v>
      </c>
      <c r="F1627">
        <f t="shared" ca="1" si="126"/>
        <v>7.6515021442596191E-3</v>
      </c>
      <c r="G1627">
        <f t="shared" ca="1" si="125"/>
        <v>1.1101646709332025</v>
      </c>
      <c r="H1627">
        <f t="shared" ca="1" si="129"/>
        <v>2.5342779251833916</v>
      </c>
    </row>
    <row r="1628" spans="1:8" x14ac:dyDescent="0.25">
      <c r="A1628" s="5">
        <v>42541</v>
      </c>
      <c r="B1628">
        <v>693.71002199999998</v>
      </c>
      <c r="C1628" s="6">
        <v>-2.8769604513847326E-3</v>
      </c>
      <c r="D1628" s="6">
        <f t="shared" ca="1" si="127"/>
        <v>-2.4098422080092649E-3</v>
      </c>
      <c r="E1628" s="6">
        <f t="shared" ca="1" si="128"/>
        <v>4.6711824337546766E-4</v>
      </c>
      <c r="F1628">
        <f t="shared" ca="1" si="126"/>
        <v>1.8902735043853574E-2</v>
      </c>
      <c r="G1628">
        <f t="shared" ca="1" si="125"/>
        <v>-0.41131314046708484</v>
      </c>
      <c r="H1628">
        <f t="shared" ca="1" si="129"/>
        <v>2.8186230305613589</v>
      </c>
    </row>
    <row r="1629" spans="1:8" x14ac:dyDescent="0.25">
      <c r="A1629" s="1">
        <v>42542</v>
      </c>
      <c r="B1629">
        <v>695.94000200000005</v>
      </c>
      <c r="C1629" s="6">
        <v>-3.2145708282704738E-3</v>
      </c>
      <c r="D1629" s="6">
        <f t="shared" ca="1" si="127"/>
        <v>1.6076171966325842E-2</v>
      </c>
      <c r="E1629" s="6">
        <f t="shared" ca="1" si="128"/>
        <v>1.9290742794596315E-2</v>
      </c>
      <c r="F1629">
        <f t="shared" ca="1" si="126"/>
        <v>1.0491143419182881E-2</v>
      </c>
      <c r="G1629">
        <f t="shared" ca="1" si="125"/>
        <v>0.40543715671142283</v>
      </c>
      <c r="H1629">
        <f t="shared" ca="1" si="129"/>
        <v>2.4840671319224641</v>
      </c>
    </row>
    <row r="1630" spans="1:8" x14ac:dyDescent="0.25">
      <c r="A1630" s="5">
        <v>42543</v>
      </c>
      <c r="B1630">
        <v>697.46002199999998</v>
      </c>
      <c r="C1630" s="6">
        <v>-2.1841250619761489E-3</v>
      </c>
      <c r="D1630" s="6">
        <f t="shared" ca="1" si="127"/>
        <v>1.3239482456411223E-2</v>
      </c>
      <c r="E1630" s="6">
        <f t="shared" ca="1" si="128"/>
        <v>1.5423607518387372E-2</v>
      </c>
      <c r="F1630">
        <f t="shared" ca="1" si="126"/>
        <v>9.6528738779452349E-3</v>
      </c>
      <c r="G1630">
        <f t="shared" ca="1" si="125"/>
        <v>1.5058489585093344</v>
      </c>
      <c r="H1630">
        <f t="shared" ca="1" si="129"/>
        <v>2.6038402497793682</v>
      </c>
    </row>
    <row r="1631" spans="1:8" x14ac:dyDescent="0.25">
      <c r="A1631" s="1">
        <v>42544</v>
      </c>
      <c r="B1631">
        <v>701.86999500000002</v>
      </c>
      <c r="C1631" s="6">
        <v>-6.3229043398849265E-3</v>
      </c>
      <c r="D1631" s="6">
        <f t="shared" ca="1" si="127"/>
        <v>-2.9274110555172827E-2</v>
      </c>
      <c r="E1631" s="6">
        <f t="shared" ca="1" si="128"/>
        <v>-2.29512062152879E-2</v>
      </c>
      <c r="F1631">
        <f t="shared" ca="1" si="126"/>
        <v>2.4872865250730035E-2</v>
      </c>
      <c r="G1631">
        <f t="shared" ca="1" si="125"/>
        <v>-1.1187182098921797</v>
      </c>
      <c r="H1631">
        <f t="shared" ca="1" si="129"/>
        <v>2.361856896962486</v>
      </c>
    </row>
    <row r="1632" spans="1:8" x14ac:dyDescent="0.25">
      <c r="A1632" s="5">
        <v>42545</v>
      </c>
      <c r="B1632">
        <v>675.21997099999999</v>
      </c>
      <c r="C1632" s="6">
        <v>3.7970028908273862E-2</v>
      </c>
      <c r="D1632" s="6">
        <f t="shared" ca="1" si="127"/>
        <v>-2.3381706989663423E-2</v>
      </c>
      <c r="E1632" s="6">
        <f t="shared" ca="1" si="128"/>
        <v>-6.1351735897937285E-2</v>
      </c>
      <c r="F1632">
        <f t="shared" ca="1" si="126"/>
        <v>1.9940361377133644E-2</v>
      </c>
      <c r="G1632">
        <f t="shared" ca="1" si="125"/>
        <v>-1.1232258689935766</v>
      </c>
      <c r="H1632">
        <f t="shared" ca="1" si="129"/>
        <v>-0.482039776907424</v>
      </c>
    </row>
    <row r="1633" spans="1:8" x14ac:dyDescent="0.25">
      <c r="A1633" s="1">
        <v>42548</v>
      </c>
      <c r="B1633">
        <v>668.26000999999997</v>
      </c>
      <c r="C1633" s="6">
        <v>1.0307694231395921E-2</v>
      </c>
      <c r="D1633" s="6">
        <f t="shared" ca="1" si="127"/>
        <v>1.5125245526948834E-2</v>
      </c>
      <c r="E1633" s="6">
        <f t="shared" ca="1" si="128"/>
        <v>4.8175512955529135E-3</v>
      </c>
      <c r="F1633">
        <f t="shared" ca="1" si="126"/>
        <v>1.9650090135845771E-2</v>
      </c>
      <c r="G1633">
        <f t="shared" ca="1" si="125"/>
        <v>0.9146749789296803</v>
      </c>
      <c r="H1633">
        <f t="shared" ca="1" si="129"/>
        <v>2.7968672357970461</v>
      </c>
    </row>
    <row r="1634" spans="1:8" x14ac:dyDescent="0.25">
      <c r="A1634" s="5">
        <v>42549</v>
      </c>
      <c r="B1634">
        <v>680.03997800000002</v>
      </c>
      <c r="C1634" s="6">
        <v>-1.7627821242812442E-2</v>
      </c>
      <c r="D1634" s="6">
        <f t="shared" ca="1" si="127"/>
        <v>-1.0346502520035685E-2</v>
      </c>
      <c r="E1634" s="6">
        <f t="shared" ca="1" si="128"/>
        <v>7.281318722776757E-3</v>
      </c>
      <c r="F1634">
        <f t="shared" ca="1" si="126"/>
        <v>1.6703099236101016E-2</v>
      </c>
      <c r="G1634">
        <f t="shared" ca="1" si="125"/>
        <v>-1.6436669626515445</v>
      </c>
      <c r="H1634">
        <f t="shared" ca="1" si="129"/>
        <v>2.7697306699548019</v>
      </c>
    </row>
    <row r="1635" spans="1:8" x14ac:dyDescent="0.25">
      <c r="A1635" s="1">
        <v>42550</v>
      </c>
      <c r="B1635">
        <v>684.10998500000005</v>
      </c>
      <c r="C1635" s="6">
        <v>-5.9849525493632554E-3</v>
      </c>
      <c r="D1635" s="6">
        <f t="shared" ca="1" si="127"/>
        <v>-1.0903155633662042E-2</v>
      </c>
      <c r="E1635" s="6">
        <f t="shared" ca="1" si="128"/>
        <v>-4.918203084298787E-3</v>
      </c>
      <c r="F1635">
        <f t="shared" ca="1" si="126"/>
        <v>2.7186708645574219E-2</v>
      </c>
      <c r="G1635">
        <f t="shared" ca="1" si="125"/>
        <v>-0.57186278937351553</v>
      </c>
      <c r="H1635">
        <f t="shared" ca="1" si="129"/>
        <v>2.7992853547295562</v>
      </c>
    </row>
    <row r="1636" spans="1:8" x14ac:dyDescent="0.25">
      <c r="A1636" s="5">
        <v>42551</v>
      </c>
      <c r="B1636">
        <v>692.09997599999997</v>
      </c>
      <c r="C1636" s="6">
        <v>-1.167939538260053E-2</v>
      </c>
      <c r="D1636" s="6">
        <f t="shared" ca="1" si="127"/>
        <v>-2.3879835852936265E-2</v>
      </c>
      <c r="E1636" s="6">
        <f t="shared" ca="1" si="128"/>
        <v>-1.2200440470335736E-2</v>
      </c>
      <c r="F1636">
        <f t="shared" ca="1" si="126"/>
        <v>1.318343362848913E-2</v>
      </c>
      <c r="G1636">
        <f t="shared" ca="1" si="125"/>
        <v>-1.2088959839231221</v>
      </c>
      <c r="H1636">
        <f t="shared" ca="1" si="129"/>
        <v>2.6917286887077796</v>
      </c>
    </row>
    <row r="1637" spans="1:8" x14ac:dyDescent="0.25">
      <c r="A1637" s="1">
        <v>42552</v>
      </c>
      <c r="B1637">
        <v>699.21002199999998</v>
      </c>
      <c r="C1637" s="6">
        <v>-1.0273148745203846E-2</v>
      </c>
      <c r="D1637" s="6">
        <f t="shared" ca="1" si="127"/>
        <v>-2.0143173418436775E-2</v>
      </c>
      <c r="E1637" s="6">
        <f t="shared" ca="1" si="128"/>
        <v>-9.8700246732329293E-3</v>
      </c>
      <c r="F1637">
        <f t="shared" ca="1" si="126"/>
        <v>2.0541367242537443E-2</v>
      </c>
      <c r="G1637">
        <f t="shared" ca="1" si="125"/>
        <v>-0.84933092433442336</v>
      </c>
      <c r="H1637">
        <f t="shared" ca="1" si="129"/>
        <v>2.7363319865481825</v>
      </c>
    </row>
    <row r="1638" spans="1:8" x14ac:dyDescent="0.25">
      <c r="A1638" s="5">
        <v>42556</v>
      </c>
      <c r="B1638">
        <v>694.95001200000002</v>
      </c>
      <c r="C1638" s="6">
        <v>6.0926043191068075E-3</v>
      </c>
      <c r="D1638" s="6">
        <f t="shared" ca="1" si="127"/>
        <v>3.6458532555080489E-3</v>
      </c>
      <c r="E1638" s="6">
        <f t="shared" ca="1" si="128"/>
        <v>-2.4467510635987587E-3</v>
      </c>
      <c r="F1638">
        <f t="shared" ca="1" si="126"/>
        <v>1.5887349529184153E-2</v>
      </c>
      <c r="G1638">
        <f t="shared" ca="1" si="125"/>
        <v>0.56071376834437769</v>
      </c>
      <c r="H1638">
        <f t="shared" ca="1" si="129"/>
        <v>2.814515071162178</v>
      </c>
    </row>
    <row r="1639" spans="1:8" x14ac:dyDescent="0.25">
      <c r="A1639" s="1">
        <v>42557</v>
      </c>
      <c r="B1639">
        <v>697.77002000000005</v>
      </c>
      <c r="C1639" s="6">
        <v>-4.0578573297442144E-3</v>
      </c>
      <c r="D1639" s="6">
        <f t="shared" ca="1" si="127"/>
        <v>-3.6992285289086479E-3</v>
      </c>
      <c r="E1639" s="6">
        <f t="shared" ca="1" si="128"/>
        <v>3.5862880083556642E-4</v>
      </c>
      <c r="F1639">
        <f t="shared" ca="1" si="126"/>
        <v>1.1822290840063924E-2</v>
      </c>
      <c r="G1639">
        <f t="shared" ca="1" si="125"/>
        <v>7.8606505890292278E-2</v>
      </c>
      <c r="H1639">
        <f t="shared" ca="1" si="129"/>
        <v>2.8187386702306818</v>
      </c>
    </row>
    <row r="1640" spans="1:8" x14ac:dyDescent="0.25">
      <c r="A1640" s="5">
        <v>42558</v>
      </c>
      <c r="B1640">
        <v>695.35998500000005</v>
      </c>
      <c r="C1640" s="6">
        <v>3.4539102152884031E-3</v>
      </c>
      <c r="D1640" s="6">
        <f t="shared" ca="1" si="127"/>
        <v>2.4866047383111101E-3</v>
      </c>
      <c r="E1640" s="6">
        <f t="shared" ca="1" si="128"/>
        <v>-9.6730547697729307E-4</v>
      </c>
      <c r="F1640">
        <f t="shared" ca="1" si="126"/>
        <v>7.4468473363321578E-3</v>
      </c>
      <c r="G1640">
        <f t="shared" ca="1" si="125"/>
        <v>-3.4698333391710919E-2</v>
      </c>
      <c r="H1640">
        <f t="shared" ca="1" si="129"/>
        <v>2.8184735514344412</v>
      </c>
    </row>
    <row r="1641" spans="1:8" x14ac:dyDescent="0.25">
      <c r="A1641" s="1">
        <v>42559</v>
      </c>
      <c r="B1641">
        <v>705.63000499999998</v>
      </c>
      <c r="C1641" s="6">
        <v>-1.4769357198487529E-2</v>
      </c>
      <c r="D1641" s="6">
        <f t="shared" ca="1" si="127"/>
        <v>8.1924102748246299E-4</v>
      </c>
      <c r="E1641" s="6">
        <f t="shared" ca="1" si="128"/>
        <v>1.5588598225969991E-2</v>
      </c>
      <c r="F1641">
        <f t="shared" ca="1" si="126"/>
        <v>6.9901086482450792E-3</v>
      </c>
      <c r="G1641">
        <f t="shared" ca="1" si="125"/>
        <v>0.37874656020468067</v>
      </c>
      <c r="H1641">
        <f t="shared" ca="1" si="129"/>
        <v>2.5992691871888556</v>
      </c>
    </row>
    <row r="1642" spans="1:8" x14ac:dyDescent="0.25">
      <c r="A1642" s="5">
        <v>42562</v>
      </c>
      <c r="B1642">
        <v>715.09002699999996</v>
      </c>
      <c r="C1642" s="6">
        <v>-1.3406490558745416E-2</v>
      </c>
      <c r="D1642" s="6">
        <f t="shared" ca="1" si="127"/>
        <v>2.136384385174523E-2</v>
      </c>
      <c r="E1642" s="6">
        <f t="shared" ca="1" si="128"/>
        <v>3.4770334410490648E-2</v>
      </c>
      <c r="F1642">
        <f t="shared" ca="1" si="126"/>
        <v>9.1681755781122878E-3</v>
      </c>
      <c r="G1642">
        <f t="shared" ca="1" si="125"/>
        <v>2.1605067254161692</v>
      </c>
      <c r="H1642">
        <f t="shared" ca="1" si="129"/>
        <v>1.7403466368420994</v>
      </c>
    </row>
    <row r="1643" spans="1:8" x14ac:dyDescent="0.25">
      <c r="A1643" s="1">
        <v>42563</v>
      </c>
      <c r="B1643">
        <v>720.64001499999995</v>
      </c>
      <c r="C1643" s="6">
        <v>-7.7612437461667821E-3</v>
      </c>
      <c r="D1643" s="6">
        <f t="shared" ca="1" si="127"/>
        <v>-1.1402039091900341E-2</v>
      </c>
      <c r="E1643" s="6">
        <f t="shared" ca="1" si="128"/>
        <v>-3.6407953457335586E-3</v>
      </c>
      <c r="F1643">
        <f t="shared" ca="1" si="126"/>
        <v>3.4914054479369579E-2</v>
      </c>
      <c r="G1643">
        <f t="shared" ca="1" si="125"/>
        <v>-0.13597335742686098</v>
      </c>
      <c r="H1643">
        <f t="shared" ca="1" si="129"/>
        <v>2.8085031025980349</v>
      </c>
    </row>
    <row r="1644" spans="1:8" x14ac:dyDescent="0.25">
      <c r="A1644" s="5">
        <v>42564</v>
      </c>
      <c r="B1644">
        <v>716.97997999999995</v>
      </c>
      <c r="C1644" s="6">
        <v>5.078867289932538E-3</v>
      </c>
      <c r="D1644" s="6">
        <f t="shared" ca="1" si="127"/>
        <v>-2.3448645539261006E-3</v>
      </c>
      <c r="E1644" s="6">
        <f t="shared" ca="1" si="128"/>
        <v>-7.4237318438586386E-3</v>
      </c>
      <c r="F1644">
        <f t="shared" ca="1" si="126"/>
        <v>1.1269404077701467E-2</v>
      </c>
      <c r="G1644">
        <f t="shared" ca="1" si="125"/>
        <v>0.32793667936321413</v>
      </c>
      <c r="H1644">
        <f t="shared" ca="1" si="129"/>
        <v>2.7728411027545881</v>
      </c>
    </row>
    <row r="1645" spans="1:8" x14ac:dyDescent="0.25">
      <c r="A1645" s="1">
        <v>42565</v>
      </c>
      <c r="B1645">
        <v>720.95001200000002</v>
      </c>
      <c r="C1645" s="6">
        <v>-5.5371587920768168E-3</v>
      </c>
      <c r="D1645" s="6">
        <f t="shared" ca="1" si="127"/>
        <v>-5.2721150459230613E-3</v>
      </c>
      <c r="E1645" s="6">
        <f t="shared" ca="1" si="128"/>
        <v>2.650437461537555E-4</v>
      </c>
      <c r="F1645">
        <f t="shared" ca="1" si="126"/>
        <v>8.9455441431372084E-3</v>
      </c>
      <c r="G1645">
        <f t="shared" ca="1" si="125"/>
        <v>-0.19845824149020952</v>
      </c>
      <c r="H1645">
        <f t="shared" ca="1" si="129"/>
        <v>2.818821734419545</v>
      </c>
    </row>
    <row r="1646" spans="1:8" x14ac:dyDescent="0.25">
      <c r="A1646" s="5">
        <v>42566</v>
      </c>
      <c r="B1646">
        <v>719.84997599999997</v>
      </c>
      <c r="C1646" s="6">
        <v>1.5258145248495335E-3</v>
      </c>
      <c r="D1646" s="6">
        <f t="shared" ca="1" si="127"/>
        <v>4.8633485492830322E-3</v>
      </c>
      <c r="E1646" s="6">
        <f t="shared" ca="1" si="128"/>
        <v>3.3375340244334987E-3</v>
      </c>
      <c r="F1646">
        <f t="shared" ca="1" si="126"/>
        <v>7.7446210100836571E-3</v>
      </c>
      <c r="G1646">
        <f t="shared" ca="1" si="125"/>
        <v>0.33250449844638374</v>
      </c>
      <c r="H1646">
        <f t="shared" ca="1" si="129"/>
        <v>2.8080175821733566</v>
      </c>
    </row>
    <row r="1647" spans="1:8" x14ac:dyDescent="0.25">
      <c r="A1647" s="1">
        <v>42569</v>
      </c>
      <c r="B1647">
        <v>733.78002900000001</v>
      </c>
      <c r="C1647" s="6">
        <v>-1.9351328005045378E-2</v>
      </c>
      <c r="D1647" s="6">
        <f t="shared" ca="1" si="127"/>
        <v>-5.0858678963747895E-3</v>
      </c>
      <c r="E1647" s="6">
        <f t="shared" ca="1" si="128"/>
        <v>1.4265460108670589E-2</v>
      </c>
      <c r="F1647">
        <f t="shared" ca="1" si="126"/>
        <v>8.7479430637237721E-3</v>
      </c>
      <c r="G1647">
        <f t="shared" ca="1" si="125"/>
        <v>-0.29619396148828092</v>
      </c>
      <c r="H1647">
        <f t="shared" ca="1" si="129"/>
        <v>2.6345743803721269</v>
      </c>
    </row>
    <row r="1648" spans="1:8" x14ac:dyDescent="0.25">
      <c r="A1648" s="5">
        <v>42570</v>
      </c>
      <c r="B1648">
        <v>736.96002199999998</v>
      </c>
      <c r="C1648" s="6">
        <v>-4.3337142935515457E-3</v>
      </c>
      <c r="D1648" s="6">
        <f t="shared" ca="1" si="127"/>
        <v>8.105898116082616E-3</v>
      </c>
      <c r="E1648" s="6">
        <f t="shared" ca="1" si="128"/>
        <v>1.2439612409634163E-2</v>
      </c>
      <c r="F1648">
        <f t="shared" ca="1" si="126"/>
        <v>8.4770839737163713E-3</v>
      </c>
      <c r="G1648">
        <f t="shared" ca="1" si="125"/>
        <v>0.87515375980783838</v>
      </c>
      <c r="H1648">
        <f t="shared" ca="1" si="129"/>
        <v>2.6782194334265004</v>
      </c>
    </row>
    <row r="1649" spans="1:8" x14ac:dyDescent="0.25">
      <c r="A1649" s="1">
        <v>42571</v>
      </c>
      <c r="B1649">
        <v>741.19000200000005</v>
      </c>
      <c r="C1649" s="6">
        <v>-5.7397686085067842E-3</v>
      </c>
      <c r="D1649" s="6">
        <f t="shared" ca="1" si="127"/>
        <v>7.811946323012681E-3</v>
      </c>
      <c r="E1649" s="6">
        <f t="shared" ca="1" si="128"/>
        <v>1.3551714931519465E-2</v>
      </c>
      <c r="F1649">
        <f t="shared" ca="1" si="126"/>
        <v>1.5535389840785488E-2</v>
      </c>
      <c r="G1649">
        <f t="shared" ca="1" si="125"/>
        <v>1.0640796894558442</v>
      </c>
      <c r="H1649">
        <f t="shared" ca="1" si="129"/>
        <v>2.6523362195061768</v>
      </c>
    </row>
    <row r="1650" spans="1:8" x14ac:dyDescent="0.25">
      <c r="A1650" s="5">
        <v>42572</v>
      </c>
      <c r="B1650">
        <v>738.63000499999998</v>
      </c>
      <c r="C1650" s="6">
        <v>3.4539011496273076E-3</v>
      </c>
      <c r="D1650" s="6">
        <f t="shared" ca="1" si="127"/>
        <v>-1.7680474245001389E-2</v>
      </c>
      <c r="E1650" s="6">
        <f t="shared" ca="1" si="128"/>
        <v>-2.1134375394628695E-2</v>
      </c>
      <c r="F1650">
        <f t="shared" ca="1" si="126"/>
        <v>1.8542489096766049E-2</v>
      </c>
      <c r="G1650">
        <f t="shared" ca="1" si="125"/>
        <v>-0.84820297028498493</v>
      </c>
      <c r="H1650">
        <f t="shared" ca="1" si="129"/>
        <v>2.431927730123101</v>
      </c>
    </row>
    <row r="1651" spans="1:8" x14ac:dyDescent="0.25">
      <c r="A1651" s="1">
        <v>42573</v>
      </c>
      <c r="B1651">
        <v>742.73999000000003</v>
      </c>
      <c r="C1651" s="6">
        <v>-5.5643352858378015E-3</v>
      </c>
      <c r="D1651" s="6">
        <f t="shared" ca="1" si="127"/>
        <v>-1.9303738605806427E-2</v>
      </c>
      <c r="E1651" s="6">
        <f t="shared" ca="1" si="128"/>
        <v>-1.3739403319968625E-2</v>
      </c>
      <c r="F1651">
        <f t="shared" ca="1" si="126"/>
        <v>1.5715362265781178E-2</v>
      </c>
      <c r="G1651">
        <f t="shared" ca="1" si="125"/>
        <v>-1.0637809663529736</v>
      </c>
      <c r="H1651">
        <f t="shared" ca="1" si="129"/>
        <v>2.657018466640189</v>
      </c>
    </row>
    <row r="1652" spans="1:8" x14ac:dyDescent="0.25">
      <c r="A1652" s="5">
        <v>42576</v>
      </c>
      <c r="B1652">
        <v>739.77002000000005</v>
      </c>
      <c r="C1652" s="6">
        <v>3.9986671513405235E-3</v>
      </c>
      <c r="D1652" s="6">
        <f t="shared" ca="1" si="127"/>
        <v>6.7486398980505461E-3</v>
      </c>
      <c r="E1652" s="6">
        <f t="shared" ca="1" si="128"/>
        <v>2.7499727467100226E-3</v>
      </c>
      <c r="F1652">
        <f t="shared" ca="1" si="126"/>
        <v>1.8547817870566814E-2</v>
      </c>
      <c r="G1652">
        <f t="shared" ca="1" si="125"/>
        <v>0.27995491988861043</v>
      </c>
      <c r="H1652">
        <f t="shared" ca="1" si="129"/>
        <v>2.8113721605773065</v>
      </c>
    </row>
    <row r="1653" spans="1:8" x14ac:dyDescent="0.25">
      <c r="A1653" s="1">
        <v>42577</v>
      </c>
      <c r="B1653">
        <v>738.419983</v>
      </c>
      <c r="C1653" s="6">
        <v>1.8249414865447546E-3</v>
      </c>
      <c r="D1653" s="6">
        <f t="shared" ca="1" si="127"/>
        <v>-1.0713214845185098E-2</v>
      </c>
      <c r="E1653" s="6">
        <f t="shared" ca="1" si="128"/>
        <v>-1.2538156331729852E-2</v>
      </c>
      <c r="F1653">
        <f t="shared" ca="1" si="126"/>
        <v>9.2998652149979179E-3</v>
      </c>
      <c r="G1653">
        <f t="shared" ca="1" si="125"/>
        <v>-0.88240324094113931</v>
      </c>
      <c r="H1653">
        <f t="shared" ca="1" si="129"/>
        <v>2.6844697517493481</v>
      </c>
    </row>
    <row r="1654" spans="1:8" x14ac:dyDescent="0.25">
      <c r="A1654" s="5">
        <v>42578</v>
      </c>
      <c r="B1654">
        <v>741.77002000000005</v>
      </c>
      <c r="C1654" s="6">
        <v>-4.5367637349002284E-3</v>
      </c>
      <c r="D1654" s="6">
        <f t="shared" ca="1" si="127"/>
        <v>2.8646736268399722E-2</v>
      </c>
      <c r="E1654" s="6">
        <f t="shared" ca="1" si="128"/>
        <v>3.3183500003299948E-2</v>
      </c>
      <c r="F1654">
        <f t="shared" ca="1" si="126"/>
        <v>1.5667357562689055E-2</v>
      </c>
      <c r="G1654">
        <f t="shared" ca="1" si="125"/>
        <v>1.713440113249165</v>
      </c>
      <c r="H1654">
        <f t="shared" ca="1" si="129"/>
        <v>1.836041258984537</v>
      </c>
    </row>
    <row r="1655" spans="1:8" x14ac:dyDescent="0.25">
      <c r="A1655" s="1">
        <v>42579</v>
      </c>
      <c r="B1655">
        <v>745.90997300000004</v>
      </c>
      <c r="C1655" s="6">
        <v>-5.5811813478252887E-3</v>
      </c>
      <c r="D1655" s="6">
        <f t="shared" ca="1" si="127"/>
        <v>1.774573270055757E-2</v>
      </c>
      <c r="E1655" s="6">
        <f t="shared" ca="1" si="128"/>
        <v>2.3326914048382857E-2</v>
      </c>
      <c r="F1655">
        <f t="shared" ca="1" si="126"/>
        <v>2.8206967684359617E-2</v>
      </c>
      <c r="G1655">
        <f t="shared" ca="1" si="125"/>
        <v>0.59997827179694441</v>
      </c>
      <c r="H1655">
        <f t="shared" ca="1" si="129"/>
        <v>2.3309081829445732</v>
      </c>
    </row>
    <row r="1656" spans="1:8" x14ac:dyDescent="0.25">
      <c r="A1656" s="5">
        <v>42580</v>
      </c>
      <c r="B1656">
        <v>768.78997800000002</v>
      </c>
      <c r="C1656" s="6">
        <v>-3.0673949710014109E-2</v>
      </c>
      <c r="D1656" s="6">
        <f t="shared" ca="1" si="127"/>
        <v>4.2349808545822784E-3</v>
      </c>
      <c r="E1656" s="6">
        <f t="shared" ca="1" si="128"/>
        <v>3.4908930564596388E-2</v>
      </c>
      <c r="F1656">
        <f t="shared" ca="1" si="126"/>
        <v>1.3624851846132912E-2</v>
      </c>
      <c r="G1656">
        <f t="shared" ca="1" si="125"/>
        <v>0.46085957853482473</v>
      </c>
      <c r="H1656">
        <f t="shared" ca="1" si="129"/>
        <v>1.7317775102410498</v>
      </c>
    </row>
    <row r="1657" spans="1:8" x14ac:dyDescent="0.25">
      <c r="A1657" s="1">
        <v>42583</v>
      </c>
      <c r="B1657">
        <v>772.88000499999998</v>
      </c>
      <c r="C1657" s="6">
        <v>-5.3200836600915775E-3</v>
      </c>
      <c r="D1657" s="6">
        <f t="shared" ca="1" si="127"/>
        <v>1.3904606761929247E-2</v>
      </c>
      <c r="E1657" s="6">
        <f t="shared" ca="1" si="128"/>
        <v>1.9224690422020824E-2</v>
      </c>
      <c r="F1657">
        <f t="shared" ca="1" si="126"/>
        <v>1.0487719277813244E-2</v>
      </c>
      <c r="G1657">
        <f t="shared" ca="1" si="125"/>
        <v>1.5656172327886639</v>
      </c>
      <c r="H1657">
        <f t="shared" ca="1" si="129"/>
        <v>2.4863344751963163</v>
      </c>
    </row>
    <row r="1658" spans="1:8" x14ac:dyDescent="0.25">
      <c r="A1658" s="5">
        <v>42584</v>
      </c>
      <c r="B1658">
        <v>771.07000700000003</v>
      </c>
      <c r="C1658" s="6">
        <v>2.3418874706170596E-3</v>
      </c>
      <c r="D1658" s="6">
        <f t="shared" ca="1" si="127"/>
        <v>-5.021013965895476E-2</v>
      </c>
      <c r="E1658" s="6">
        <f t="shared" ca="1" si="128"/>
        <v>-5.255202712957182E-2</v>
      </c>
      <c r="F1658">
        <f t="shared" ca="1" si="126"/>
        <v>2.5800887115124672E-2</v>
      </c>
      <c r="G1658">
        <f t="shared" ca="1" si="125"/>
        <v>-1.4104046546119453</v>
      </c>
      <c r="H1658">
        <f t="shared" ca="1" si="129"/>
        <v>0.39952415135602015</v>
      </c>
    </row>
    <row r="1659" spans="1:8" x14ac:dyDescent="0.25">
      <c r="A1659" s="1">
        <v>42585</v>
      </c>
      <c r="B1659">
        <v>773.17999299999997</v>
      </c>
      <c r="C1659" s="6">
        <v>-2.7364389495698996E-3</v>
      </c>
      <c r="D1659" s="6">
        <f t="shared" ca="1" si="127"/>
        <v>-1.4048148327365735E-2</v>
      </c>
      <c r="E1659" s="6">
        <f t="shared" ca="1" si="128"/>
        <v>-1.1311709377795836E-2</v>
      </c>
      <c r="F1659">
        <f t="shared" ca="1" si="126"/>
        <v>2.4192824226345704E-2</v>
      </c>
      <c r="G1659">
        <f t="shared" ca="1" si="125"/>
        <v>-0.48159679229821961</v>
      </c>
      <c r="H1659">
        <f t="shared" ca="1" si="129"/>
        <v>2.7098693737751152</v>
      </c>
    </row>
    <row r="1660" spans="1:8" x14ac:dyDescent="0.25">
      <c r="A1660" s="5">
        <v>42586</v>
      </c>
      <c r="B1660">
        <v>771.60998500000005</v>
      </c>
      <c r="C1660" s="6">
        <v>2.0305853930701959E-3</v>
      </c>
      <c r="D1660" s="6">
        <f t="shared" ca="1" si="127"/>
        <v>-1.2093829754367659E-2</v>
      </c>
      <c r="E1660" s="6">
        <f t="shared" ca="1" si="128"/>
        <v>-1.4124415147437855E-2</v>
      </c>
      <c r="F1660">
        <f t="shared" ca="1" si="126"/>
        <v>1.1842210893653763E-2</v>
      </c>
      <c r="G1660">
        <f t="shared" ca="1" si="125"/>
        <v>-1.1103448688828119</v>
      </c>
      <c r="H1660">
        <f t="shared" ca="1" si="129"/>
        <v>2.6476810937367761</v>
      </c>
    </row>
    <row r="1661" spans="1:8" x14ac:dyDescent="0.25">
      <c r="A1661" s="1">
        <v>42587</v>
      </c>
      <c r="B1661">
        <v>782.21997099999999</v>
      </c>
      <c r="C1661" s="6">
        <v>-1.3750451920344103E-2</v>
      </c>
      <c r="D1661" s="6">
        <f t="shared" ca="1" si="127"/>
        <v>2.1857860599586915E-2</v>
      </c>
      <c r="E1661" s="6">
        <f t="shared" ca="1" si="128"/>
        <v>3.5608312519931018E-2</v>
      </c>
      <c r="F1661">
        <f t="shared" ca="1" si="126"/>
        <v>1.9041949522339442E-2</v>
      </c>
      <c r="G1661">
        <f t="shared" ca="1" si="125"/>
        <v>1.2126252354463991</v>
      </c>
      <c r="H1661">
        <f t="shared" ca="1" si="129"/>
        <v>1.6880189101477969</v>
      </c>
    </row>
    <row r="1662" spans="1:8" x14ac:dyDescent="0.25">
      <c r="A1662" s="5">
        <v>42590</v>
      </c>
      <c r="B1662">
        <v>781.76000999999997</v>
      </c>
      <c r="C1662" s="6">
        <v>5.8802001617524688E-4</v>
      </c>
      <c r="D1662" s="6">
        <f t="shared" ca="1" si="127"/>
        <v>3.1372731949867005E-2</v>
      </c>
      <c r="E1662" s="6">
        <f t="shared" ca="1" si="128"/>
        <v>3.0784711933691759E-2</v>
      </c>
      <c r="F1662">
        <f t="shared" ca="1" si="126"/>
        <v>2.0885041292006048E-2</v>
      </c>
      <c r="G1662">
        <f t="shared" ca="1" si="125"/>
        <v>1.4583674825544752</v>
      </c>
      <c r="H1662">
        <f t="shared" ca="1" si="129"/>
        <v>1.9722639086188738</v>
      </c>
    </row>
    <row r="1663" spans="1:8" x14ac:dyDescent="0.25">
      <c r="A1663" s="1">
        <v>42591</v>
      </c>
      <c r="B1663">
        <v>784.26000999999997</v>
      </c>
      <c r="C1663" s="6">
        <v>-3.1979123618768885E-3</v>
      </c>
      <c r="D1663" s="6">
        <f t="shared" ca="1" si="127"/>
        <v>2.523691103485344E-2</v>
      </c>
      <c r="E1663" s="6">
        <f t="shared" ca="1" si="128"/>
        <v>2.8434823396730327E-2</v>
      </c>
      <c r="F1663">
        <f t="shared" ca="1" si="126"/>
        <v>2.4600444341361407E-2</v>
      </c>
      <c r="G1663">
        <f t="shared" ca="1" si="125"/>
        <v>1.2777111734565878</v>
      </c>
      <c r="H1663">
        <f t="shared" ca="1" si="129"/>
        <v>2.0958621314732131</v>
      </c>
    </row>
    <row r="1664" spans="1:8" x14ac:dyDescent="0.25">
      <c r="A1664" s="5">
        <v>42592</v>
      </c>
      <c r="B1664">
        <v>784.67999299999997</v>
      </c>
      <c r="C1664" s="6">
        <v>-5.3551500094975132E-4</v>
      </c>
      <c r="D1664" s="6">
        <f t="shared" ca="1" si="127"/>
        <v>1.5132251735000808E-2</v>
      </c>
      <c r="E1664" s="6">
        <f t="shared" ca="1" si="128"/>
        <v>1.5667766735950561E-2</v>
      </c>
      <c r="F1664">
        <f t="shared" ca="1" si="126"/>
        <v>2.2184525332012383E-2</v>
      </c>
      <c r="G1664">
        <f t="shared" ca="1" si="125"/>
        <v>0.67016841337298139</v>
      </c>
      <c r="H1664">
        <f t="shared" ca="1" si="129"/>
        <v>2.5970587678339703</v>
      </c>
    </row>
    <row r="1665" spans="1:8" x14ac:dyDescent="0.25">
      <c r="A1665" s="1">
        <v>42593</v>
      </c>
      <c r="B1665">
        <v>784.84997599999997</v>
      </c>
      <c r="C1665" s="6">
        <v>-2.1662716204872321E-4</v>
      </c>
      <c r="D1665" s="6">
        <f t="shared" ca="1" si="127"/>
        <v>-1.192943377429923E-2</v>
      </c>
      <c r="E1665" s="6">
        <f t="shared" ca="1" si="128"/>
        <v>-1.1712806612250506E-2</v>
      </c>
      <c r="F1665">
        <f t="shared" ca="1" si="126"/>
        <v>1.3736985008353388E-2</v>
      </c>
      <c r="G1665">
        <f t="shared" ca="1" si="125"/>
        <v>-0.76352877710071132</v>
      </c>
      <c r="H1665">
        <f t="shared" ca="1" si="129"/>
        <v>2.7018548232229809</v>
      </c>
    </row>
    <row r="1666" spans="1:8" x14ac:dyDescent="0.25">
      <c r="A1666" s="5">
        <v>42594</v>
      </c>
      <c r="B1666">
        <v>783.21997099999999</v>
      </c>
      <c r="C1666" s="6">
        <v>2.0768364016615359E-3</v>
      </c>
      <c r="D1666" s="6">
        <f t="shared" ca="1" si="127"/>
        <v>1.0952986234902519E-2</v>
      </c>
      <c r="E1666" s="6">
        <f t="shared" ca="1" si="128"/>
        <v>8.876149833240983E-3</v>
      </c>
      <c r="F1666">
        <f t="shared" ca="1" si="126"/>
        <v>1.4246599133006207E-2</v>
      </c>
      <c r="G1666">
        <f t="shared" ca="1" si="125"/>
        <v>0.78575031868033229</v>
      </c>
      <c r="H1666">
        <f t="shared" ca="1" si="129"/>
        <v>2.7464526681622861</v>
      </c>
    </row>
    <row r="1667" spans="1:8" x14ac:dyDescent="0.25">
      <c r="A1667" s="1">
        <v>42597</v>
      </c>
      <c r="B1667">
        <v>782.44000200000005</v>
      </c>
      <c r="C1667" s="6">
        <v>9.958492235637047E-4</v>
      </c>
      <c r="D1667" s="6">
        <f t="shared" ca="1" si="127"/>
        <v>1.9900060820310039E-2</v>
      </c>
      <c r="E1667" s="6">
        <f t="shared" ca="1" si="128"/>
        <v>1.8904211596746334E-2</v>
      </c>
      <c r="F1667">
        <f t="shared" ca="1" si="126"/>
        <v>1.4577016060601931E-2</v>
      </c>
      <c r="G1667">
        <f t="shared" ref="G1667:G1730" ca="1" si="130">_xlfn.NORM.INV(RAND(),0,1)</f>
        <v>1.3718602800093309</v>
      </c>
      <c r="H1667">
        <f t="shared" ca="1" si="129"/>
        <v>2.4972260568970315</v>
      </c>
    </row>
    <row r="1668" spans="1:8" x14ac:dyDescent="0.25">
      <c r="A1668" s="5">
        <v>42598</v>
      </c>
      <c r="B1668">
        <v>777.14001499999995</v>
      </c>
      <c r="C1668" s="6">
        <v>6.77366569507281E-3</v>
      </c>
      <c r="D1668" s="6">
        <f t="shared" ca="1" si="127"/>
        <v>-7.0182894199372825E-3</v>
      </c>
      <c r="E1668" s="6">
        <f t="shared" ca="1" si="128"/>
        <v>-1.3791955115010093E-2</v>
      </c>
      <c r="F1668">
        <f t="shared" ref="F1668:F1731" ca="1" si="131">SQRT($K$6+$K$7*POWER($G1667,2)+$K$8*POWER($F1667,2))</f>
        <v>2.3015105777627314E-2</v>
      </c>
      <c r="G1668">
        <f t="shared" ca="1" si="130"/>
        <v>-0.34560079743498623</v>
      </c>
      <c r="H1668">
        <f t="shared" ca="1" si="129"/>
        <v>2.6557593896930207</v>
      </c>
    </row>
    <row r="1669" spans="1:8" x14ac:dyDescent="0.25">
      <c r="A1669" s="1">
        <v>42599</v>
      </c>
      <c r="B1669">
        <v>779.90997300000004</v>
      </c>
      <c r="C1669" s="6">
        <v>-3.5642972264143262E-3</v>
      </c>
      <c r="D1669" s="6">
        <f t="shared" ref="D1669:D1732" ca="1" si="132">($K$10*$C1668)+($K$11*$C1667)+($F1669*$G1669)</f>
        <v>1.0411937258558912E-3</v>
      </c>
      <c r="E1669" s="6">
        <f t="shared" ca="1" si="128"/>
        <v>4.6054909522702178E-3</v>
      </c>
      <c r="F1669">
        <f t="shared" ca="1" si="131"/>
        <v>1.0418585459294012E-2</v>
      </c>
      <c r="G1669">
        <f t="shared" ca="1" si="130"/>
        <v>5.6859438643914545E-2</v>
      </c>
      <c r="H1669">
        <f t="shared" ca="1" si="129"/>
        <v>2.7987021688047315</v>
      </c>
    </row>
    <row r="1670" spans="1:8" x14ac:dyDescent="0.25">
      <c r="A1670" s="5">
        <v>42600</v>
      </c>
      <c r="B1670">
        <v>777.5</v>
      </c>
      <c r="C1670" s="6">
        <v>3.0900656273567567E-3</v>
      </c>
      <c r="D1670" s="6">
        <f t="shared" ca="1" si="132"/>
        <v>1.9736832202128752E-3</v>
      </c>
      <c r="E1670" s="6">
        <f t="shared" ref="E1670:E1733" ca="1" si="133">$D1670-$C1670</f>
        <v>-1.1163824071438815E-3</v>
      </c>
      <c r="F1670">
        <f t="shared" ca="1" si="131"/>
        <v>7.2620606279949458E-3</v>
      </c>
      <c r="G1670">
        <f t="shared" ca="1" si="130"/>
        <v>-0.14846747313959732</v>
      </c>
      <c r="H1670">
        <f t="shared" ref="H1670:H1733" ca="1" si="134">LN(_xlfn.NORM.DIST($E1670,AVERAGE($E$5:$E$1763),_xlfn.STDEV.S($E$5:$E$1763),FALSE))</f>
        <v>2.8182496941968989</v>
      </c>
    </row>
    <row r="1671" spans="1:8" x14ac:dyDescent="0.25">
      <c r="A1671" s="1">
        <v>42601</v>
      </c>
      <c r="B1671">
        <v>775.419983</v>
      </c>
      <c r="C1671" s="6">
        <v>2.675263022508036E-3</v>
      </c>
      <c r="D1671" s="6">
        <f t="shared" ca="1" si="132"/>
        <v>1.7099979538158579E-3</v>
      </c>
      <c r="E1671" s="6">
        <f t="shared" ca="1" si="133"/>
        <v>-9.6526506869217812E-4</v>
      </c>
      <c r="F1671">
        <f t="shared" ca="1" si="131"/>
        <v>7.3420913266664424E-3</v>
      </c>
      <c r="G1671">
        <f t="shared" ca="1" si="130"/>
        <v>0.4516241329620983</v>
      </c>
      <c r="H1671">
        <f t="shared" ca="1" si="134"/>
        <v>2.818476343250933</v>
      </c>
    </row>
    <row r="1672" spans="1:8" x14ac:dyDescent="0.25">
      <c r="A1672" s="5">
        <v>42604</v>
      </c>
      <c r="B1672">
        <v>772.15002400000003</v>
      </c>
      <c r="C1672" s="6">
        <v>4.2170166770127866E-3</v>
      </c>
      <c r="D1672" s="6">
        <f t="shared" ca="1" si="132"/>
        <v>-3.3938750100095199E-3</v>
      </c>
      <c r="E1672" s="6">
        <f t="shared" ca="1" si="133"/>
        <v>-7.6108916870223069E-3</v>
      </c>
      <c r="F1672">
        <f t="shared" ca="1" si="131"/>
        <v>9.9762694961491542E-3</v>
      </c>
      <c r="G1672">
        <f t="shared" ca="1" si="130"/>
        <v>-0.47975545595067703</v>
      </c>
      <c r="H1672">
        <f t="shared" ca="1" si="134"/>
        <v>2.7704210110601313</v>
      </c>
    </row>
    <row r="1673" spans="1:8" x14ac:dyDescent="0.25">
      <c r="A1673" s="1">
        <v>42605</v>
      </c>
      <c r="B1673">
        <v>772.080017</v>
      </c>
      <c r="C1673" s="6">
        <v>9.0665023407462004E-5</v>
      </c>
      <c r="D1673" s="6">
        <f t="shared" ca="1" si="132"/>
        <v>8.9103906305365681E-3</v>
      </c>
      <c r="E1673" s="6">
        <f t="shared" ca="1" si="133"/>
        <v>8.8197256071291062E-3</v>
      </c>
      <c r="F1673">
        <f t="shared" ca="1" si="131"/>
        <v>1.0439324848143429E-2</v>
      </c>
      <c r="G1673">
        <f t="shared" ca="1" si="130"/>
        <v>0.73807096862656574</v>
      </c>
      <c r="H1673">
        <f t="shared" ca="1" si="134"/>
        <v>2.7473528333660457</v>
      </c>
    </row>
    <row r="1674" spans="1:8" x14ac:dyDescent="0.25">
      <c r="A1674" s="5">
        <v>42606</v>
      </c>
      <c r="B1674">
        <v>769.64001499999995</v>
      </c>
      <c r="C1674" s="6">
        <v>3.1602967908442182E-3</v>
      </c>
      <c r="D1674" s="6">
        <f t="shared" ca="1" si="132"/>
        <v>-1.0314756867808091E-2</v>
      </c>
      <c r="E1674" s="6">
        <f t="shared" ca="1" si="133"/>
        <v>-1.3475053658652309E-2</v>
      </c>
      <c r="F1674">
        <f t="shared" ca="1" si="131"/>
        <v>1.3723613777565162E-2</v>
      </c>
      <c r="G1674">
        <f t="shared" ca="1" si="130"/>
        <v>-0.8900545163333643</v>
      </c>
      <c r="H1674">
        <f t="shared" ca="1" si="134"/>
        <v>2.6632780341381141</v>
      </c>
    </row>
    <row r="1675" spans="1:8" x14ac:dyDescent="0.25">
      <c r="A1675" s="1">
        <v>42607</v>
      </c>
      <c r="B1675">
        <v>769.40997300000004</v>
      </c>
      <c r="C1675" s="6">
        <v>2.9889558172194587E-4</v>
      </c>
      <c r="D1675" s="6">
        <f t="shared" ca="1" si="132"/>
        <v>-4.5028031648032202E-3</v>
      </c>
      <c r="E1675" s="6">
        <f t="shared" ca="1" si="133"/>
        <v>-4.8016987465251664E-3</v>
      </c>
      <c r="F1675">
        <f t="shared" ca="1" si="131"/>
        <v>1.5978808865103059E-2</v>
      </c>
      <c r="G1675">
        <f t="shared" ca="1" si="130"/>
        <v>-0.28435819164291048</v>
      </c>
      <c r="H1675">
        <f t="shared" ca="1" si="134"/>
        <v>2.800245403817395</v>
      </c>
    </row>
    <row r="1676" spans="1:8" x14ac:dyDescent="0.25">
      <c r="A1676" s="5">
        <v>42608</v>
      </c>
      <c r="B1676">
        <v>769.53997800000002</v>
      </c>
      <c r="C1676" s="6">
        <v>-1.6896713658789918E-4</v>
      </c>
      <c r="D1676" s="6">
        <f t="shared" ca="1" si="132"/>
        <v>-3.6675256366983512E-4</v>
      </c>
      <c r="E1676" s="6">
        <f t="shared" ca="1" si="133"/>
        <v>-1.9778542708193594E-4</v>
      </c>
      <c r="F1676">
        <f t="shared" ca="1" si="131"/>
        <v>9.0267841422329541E-3</v>
      </c>
      <c r="G1676">
        <f t="shared" ca="1" si="130"/>
        <v>-0.19837087886591503</v>
      </c>
      <c r="H1676">
        <f t="shared" ca="1" si="134"/>
        <v>2.8190052707433422</v>
      </c>
    </row>
    <row r="1677" spans="1:8" x14ac:dyDescent="0.25">
      <c r="A1677" s="1">
        <v>42611</v>
      </c>
      <c r="B1677">
        <v>772.15002400000003</v>
      </c>
      <c r="C1677" s="6">
        <v>-3.3916964350356482E-3</v>
      </c>
      <c r="D1677" s="6">
        <f t="shared" ca="1" si="132"/>
        <v>-9.2934488193199675E-4</v>
      </c>
      <c r="E1677" s="6">
        <f t="shared" ca="1" si="133"/>
        <v>2.4623515531036512E-3</v>
      </c>
      <c r="F1677">
        <f t="shared" ca="1" si="131"/>
        <v>7.750038505596633E-3</v>
      </c>
      <c r="G1677">
        <f t="shared" ca="1" si="130"/>
        <v>-0.13729113212487876</v>
      </c>
      <c r="H1677">
        <f t="shared" ca="1" si="134"/>
        <v>2.8127921437580414</v>
      </c>
    </row>
    <row r="1678" spans="1:8" x14ac:dyDescent="0.25">
      <c r="A1678" s="5">
        <v>42612</v>
      </c>
      <c r="B1678">
        <v>769.09002699999996</v>
      </c>
      <c r="C1678" s="6">
        <v>3.9629565562249681E-3</v>
      </c>
      <c r="D1678" s="6">
        <f t="shared" ca="1" si="132"/>
        <v>-2.7324526660180556E-3</v>
      </c>
      <c r="E1678" s="6">
        <f t="shared" ca="1" si="133"/>
        <v>-6.6954092222430237E-3</v>
      </c>
      <c r="F1678">
        <f t="shared" ca="1" si="131"/>
        <v>7.3192510955374631E-3</v>
      </c>
      <c r="G1678">
        <f t="shared" ca="1" si="130"/>
        <v>-0.36291516931536394</v>
      </c>
      <c r="H1678">
        <f t="shared" ca="1" si="134"/>
        <v>2.7816703507087985</v>
      </c>
    </row>
    <row r="1679" spans="1:8" x14ac:dyDescent="0.25">
      <c r="A1679" s="1">
        <v>42613</v>
      </c>
      <c r="B1679">
        <v>767.04998799999998</v>
      </c>
      <c r="C1679" s="6">
        <v>2.6525360209877992E-3</v>
      </c>
      <c r="D1679" s="6">
        <f t="shared" ca="1" si="132"/>
        <v>9.8826284504174577E-3</v>
      </c>
      <c r="E1679" s="6">
        <f t="shared" ca="1" si="133"/>
        <v>7.230092429429659E-3</v>
      </c>
      <c r="F1679">
        <f t="shared" ca="1" si="131"/>
        <v>9.0230058003988624E-3</v>
      </c>
      <c r="G1679">
        <f t="shared" ca="1" si="130"/>
        <v>1.2646246116449271</v>
      </c>
      <c r="H1679">
        <f t="shared" ca="1" si="134"/>
        <v>2.770403951722753</v>
      </c>
    </row>
    <row r="1680" spans="1:8" x14ac:dyDescent="0.25">
      <c r="A1680" s="5">
        <v>42614</v>
      </c>
      <c r="B1680">
        <v>768.78002900000001</v>
      </c>
      <c r="C1680" s="6">
        <v>-2.2554475289295337E-3</v>
      </c>
      <c r="D1680" s="6">
        <f t="shared" ca="1" si="132"/>
        <v>1.4721163457975065E-2</v>
      </c>
      <c r="E1680" s="6">
        <f t="shared" ca="1" si="133"/>
        <v>1.6976610986904599E-2</v>
      </c>
      <c r="F1680">
        <f t="shared" ca="1" si="131"/>
        <v>2.1227288282050644E-2</v>
      </c>
      <c r="G1680">
        <f t="shared" ca="1" si="130"/>
        <v>0.6093845761521024</v>
      </c>
      <c r="H1680">
        <f t="shared" ca="1" si="134"/>
        <v>2.5589120632085445</v>
      </c>
    </row>
    <row r="1681" spans="1:8" x14ac:dyDescent="0.25">
      <c r="A1681" s="1">
        <v>42615</v>
      </c>
      <c r="B1681">
        <v>771.46002199999998</v>
      </c>
      <c r="C1681" s="6">
        <v>-3.4860335842568663E-3</v>
      </c>
      <c r="D1681" s="6">
        <f t="shared" ca="1" si="132"/>
        <v>1.1134448982128543E-2</v>
      </c>
      <c r="E1681" s="6">
        <f t="shared" ca="1" si="133"/>
        <v>1.462048256638541E-2</v>
      </c>
      <c r="F1681">
        <f t="shared" ca="1" si="131"/>
        <v>1.2907237604103573E-2</v>
      </c>
      <c r="G1681">
        <f t="shared" ca="1" si="130"/>
        <v>0.77006158315525375</v>
      </c>
      <c r="H1681">
        <f t="shared" ca="1" si="134"/>
        <v>2.6254046554636177</v>
      </c>
    </row>
    <row r="1682" spans="1:8" x14ac:dyDescent="0.25">
      <c r="A1682" s="5">
        <v>42619</v>
      </c>
      <c r="B1682">
        <v>780.080017</v>
      </c>
      <c r="C1682" s="6">
        <v>-1.1173612052705976E-2</v>
      </c>
      <c r="D1682" s="6">
        <f t="shared" ca="1" si="132"/>
        <v>1.6035646772325569E-2</v>
      </c>
      <c r="E1682" s="6">
        <f t="shared" ca="1" si="133"/>
        <v>2.7209258825031543E-2</v>
      </c>
      <c r="F1682">
        <f t="shared" ca="1" si="131"/>
        <v>1.4285355526641589E-2</v>
      </c>
      <c r="G1682">
        <f t="shared" ca="1" si="130"/>
        <v>1.1936638119064069</v>
      </c>
      <c r="H1682">
        <f t="shared" ca="1" si="134"/>
        <v>2.1564567444531137</v>
      </c>
    </row>
    <row r="1683" spans="1:8" x14ac:dyDescent="0.25">
      <c r="A1683" s="1">
        <v>42620</v>
      </c>
      <c r="B1683">
        <v>780.34997599999997</v>
      </c>
      <c r="C1683" s="6">
        <v>-3.4606578058257276E-4</v>
      </c>
      <c r="D1683" s="6">
        <f t="shared" ca="1" si="132"/>
        <v>7.7214104252471315E-3</v>
      </c>
      <c r="E1683" s="6">
        <f t="shared" ca="1" si="133"/>
        <v>8.0674762058297045E-3</v>
      </c>
      <c r="F1683">
        <f t="shared" ca="1" si="131"/>
        <v>2.0364325421317931E-2</v>
      </c>
      <c r="G1683">
        <f t="shared" ca="1" si="130"/>
        <v>0.45630049706178205</v>
      </c>
      <c r="H1683">
        <f t="shared" ca="1" si="134"/>
        <v>2.7588170253495199</v>
      </c>
    </row>
    <row r="1684" spans="1:8" x14ac:dyDescent="0.25">
      <c r="A1684" s="5">
        <v>42621</v>
      </c>
      <c r="B1684">
        <v>775.32000700000003</v>
      </c>
      <c r="C1684" s="6">
        <v>6.445786063559689E-3</v>
      </c>
      <c r="D1684" s="6">
        <f t="shared" ca="1" si="132"/>
        <v>-2.3245453456163063E-3</v>
      </c>
      <c r="E1684" s="6">
        <f t="shared" ca="1" si="133"/>
        <v>-8.7703314091759944E-3</v>
      </c>
      <c r="F1684">
        <f t="shared" ca="1" si="131"/>
        <v>1.1112008063478923E-2</v>
      </c>
      <c r="G1684">
        <f t="shared" ca="1" si="130"/>
        <v>0.2438630913127256</v>
      </c>
      <c r="H1684">
        <f t="shared" ca="1" si="134"/>
        <v>2.754050920551713</v>
      </c>
    </row>
    <row r="1685" spans="1:8" x14ac:dyDescent="0.25">
      <c r="A1685" s="1">
        <v>42622</v>
      </c>
      <c r="B1685">
        <v>759.65997300000004</v>
      </c>
      <c r="C1685" s="6">
        <v>2.0198155417908616E-2</v>
      </c>
      <c r="D1685" s="6">
        <f t="shared" ca="1" si="132"/>
        <v>9.3770900659932137E-3</v>
      </c>
      <c r="E1685" s="6">
        <f t="shared" ca="1" si="133"/>
        <v>-1.0821065351915403E-2</v>
      </c>
      <c r="F1685">
        <f t="shared" ca="1" si="131"/>
        <v>8.231875983373358E-3</v>
      </c>
      <c r="G1685">
        <f t="shared" ca="1" si="130"/>
        <v>1.1580477886117289</v>
      </c>
      <c r="H1685">
        <f t="shared" ca="1" si="134"/>
        <v>2.7192870984014279</v>
      </c>
    </row>
    <row r="1686" spans="1:8" x14ac:dyDescent="0.25">
      <c r="A1686" s="5">
        <v>42625</v>
      </c>
      <c r="B1686">
        <v>769.02002000000005</v>
      </c>
      <c r="C1686" s="6">
        <v>-1.232136394265439E-2</v>
      </c>
      <c r="D1686" s="6">
        <f t="shared" ca="1" si="132"/>
        <v>2.7517008170233427E-2</v>
      </c>
      <c r="E1686" s="6">
        <f t="shared" ca="1" si="133"/>
        <v>3.9838372112887821E-2</v>
      </c>
      <c r="F1686">
        <f t="shared" ca="1" si="131"/>
        <v>1.9623691847834891E-2</v>
      </c>
      <c r="G1686">
        <f t="shared" ca="1" si="130"/>
        <v>1.2542227390407759</v>
      </c>
      <c r="H1686">
        <f t="shared" ca="1" si="134"/>
        <v>1.4049531331018956</v>
      </c>
    </row>
    <row r="1687" spans="1:8" x14ac:dyDescent="0.25">
      <c r="A1687" s="1">
        <v>42626</v>
      </c>
      <c r="B1687">
        <v>759.69000200000005</v>
      </c>
      <c r="C1687" s="6">
        <v>1.213234734773224E-2</v>
      </c>
      <c r="D1687" s="6">
        <f t="shared" ca="1" si="132"/>
        <v>-1.4487531439700066E-3</v>
      </c>
      <c r="E1687" s="6">
        <f t="shared" ca="1" si="133"/>
        <v>-1.3581100491702247E-2</v>
      </c>
      <c r="F1687">
        <f t="shared" ca="1" si="131"/>
        <v>2.1524456570985014E-2</v>
      </c>
      <c r="G1687">
        <f t="shared" ca="1" si="130"/>
        <v>-0.49009219086278399</v>
      </c>
      <c r="H1687">
        <f t="shared" ca="1" si="134"/>
        <v>2.6607817531041889</v>
      </c>
    </row>
    <row r="1688" spans="1:8" x14ac:dyDescent="0.25">
      <c r="A1688" s="5">
        <v>42627</v>
      </c>
      <c r="B1688">
        <v>762.48999000000003</v>
      </c>
      <c r="C1688" s="6">
        <v>-3.6856981040010906E-3</v>
      </c>
      <c r="D1688" s="6">
        <f t="shared" ca="1" si="132"/>
        <v>-2.5644104238011609E-3</v>
      </c>
      <c r="E1688" s="6">
        <f t="shared" ca="1" si="133"/>
        <v>1.1212876801999297E-3</v>
      </c>
      <c r="F1688">
        <f t="shared" ca="1" si="131"/>
        <v>1.1600258521609331E-2</v>
      </c>
      <c r="G1688">
        <f t="shared" ca="1" si="130"/>
        <v>0.25748259884669711</v>
      </c>
      <c r="H1688">
        <f t="shared" ca="1" si="134"/>
        <v>2.8174854683251263</v>
      </c>
    </row>
    <row r="1689" spans="1:8" x14ac:dyDescent="0.25">
      <c r="A1689" s="1">
        <v>42628</v>
      </c>
      <c r="B1689">
        <v>771.76000999999997</v>
      </c>
      <c r="C1689" s="6">
        <v>-1.2157562881579509E-2</v>
      </c>
      <c r="D1689" s="6">
        <f t="shared" ca="1" si="132"/>
        <v>1.1071255658527093E-2</v>
      </c>
      <c r="E1689" s="6">
        <f t="shared" ca="1" si="133"/>
        <v>2.3228818540106604E-2</v>
      </c>
      <c r="F1689">
        <f t="shared" ca="1" si="131"/>
        <v>8.3771539223547672E-3</v>
      </c>
      <c r="G1689">
        <f t="shared" ca="1" si="130"/>
        <v>0.66908207652563279</v>
      </c>
      <c r="H1689">
        <f t="shared" ca="1" si="134"/>
        <v>2.3349714834731112</v>
      </c>
    </row>
    <row r="1690" spans="1:8" x14ac:dyDescent="0.25">
      <c r="A1690" s="5">
        <v>42629</v>
      </c>
      <c r="B1690">
        <v>768.88000499999998</v>
      </c>
      <c r="C1690" s="6">
        <v>3.7317365018692573E-3</v>
      </c>
      <c r="D1690" s="6">
        <f t="shared" ca="1" si="132"/>
        <v>-2.2980514698148581E-2</v>
      </c>
      <c r="E1690" s="6">
        <f t="shared" ca="1" si="133"/>
        <v>-2.6712251200017838E-2</v>
      </c>
      <c r="F1690">
        <f t="shared" ca="1" si="131"/>
        <v>1.2711092209721882E-2</v>
      </c>
      <c r="G1690">
        <f t="shared" ca="1" si="130"/>
        <v>-1.6772513685224388</v>
      </c>
      <c r="H1690">
        <f t="shared" ca="1" si="134"/>
        <v>2.19828904583026</v>
      </c>
    </row>
    <row r="1691" spans="1:8" x14ac:dyDescent="0.25">
      <c r="A1691" s="1">
        <v>42632</v>
      </c>
      <c r="B1691">
        <v>765.70001200000002</v>
      </c>
      <c r="C1691" s="6">
        <v>4.1358768329525846E-3</v>
      </c>
      <c r="D1691" s="6">
        <f t="shared" ca="1" si="132"/>
        <v>-1.7492070772982871E-2</v>
      </c>
      <c r="E1691" s="6">
        <f t="shared" ca="1" si="133"/>
        <v>-2.1627947605935456E-2</v>
      </c>
      <c r="F1691">
        <f t="shared" ca="1" si="131"/>
        <v>2.7560678137999547E-2</v>
      </c>
      <c r="G1691">
        <f t="shared" ca="1" si="130"/>
        <v>-0.43592753139966428</v>
      </c>
      <c r="H1691">
        <f t="shared" ca="1" si="134"/>
        <v>2.4134681977906403</v>
      </c>
    </row>
    <row r="1692" spans="1:8" x14ac:dyDescent="0.25">
      <c r="A1692" s="5">
        <v>42633</v>
      </c>
      <c r="B1692">
        <v>771.40997300000004</v>
      </c>
      <c r="C1692" s="6">
        <v>-7.4571776289850981E-3</v>
      </c>
      <c r="D1692" s="6">
        <f t="shared" ca="1" si="132"/>
        <v>7.7677374500737736E-3</v>
      </c>
      <c r="E1692" s="6">
        <f t="shared" ca="1" si="133"/>
        <v>1.5224915079058873E-2</v>
      </c>
      <c r="F1692">
        <f t="shared" ca="1" si="131"/>
        <v>1.186609264348884E-2</v>
      </c>
      <c r="G1692">
        <f t="shared" ca="1" si="130"/>
        <v>0.51291604638329436</v>
      </c>
      <c r="H1692">
        <f t="shared" ca="1" si="134"/>
        <v>2.6092812485865875</v>
      </c>
    </row>
    <row r="1693" spans="1:8" x14ac:dyDescent="0.25">
      <c r="A1693" s="1">
        <v>42634</v>
      </c>
      <c r="B1693">
        <v>776.21997099999999</v>
      </c>
      <c r="C1693" s="6">
        <v>-6.2353329206957893E-3</v>
      </c>
      <c r="D1693" s="6">
        <f t="shared" ca="1" si="132"/>
        <v>3.0057629738490521E-3</v>
      </c>
      <c r="E1693" s="6">
        <f t="shared" ca="1" si="133"/>
        <v>9.2410958945448422E-3</v>
      </c>
      <c r="F1693">
        <f t="shared" ca="1" si="131"/>
        <v>1.0947109589298072E-2</v>
      </c>
      <c r="G1693">
        <f t="shared" ca="1" si="130"/>
        <v>0.10435982002461826</v>
      </c>
      <c r="H1693">
        <f t="shared" ca="1" si="134"/>
        <v>2.7404947865860887</v>
      </c>
    </row>
    <row r="1694" spans="1:8" x14ac:dyDescent="0.25">
      <c r="A1694" s="5">
        <v>42635</v>
      </c>
      <c r="B1694">
        <v>787.21002199999998</v>
      </c>
      <c r="C1694" s="6">
        <v>-1.4158423398771318E-2</v>
      </c>
      <c r="D1694" s="6">
        <f t="shared" ca="1" si="132"/>
        <v>2.2898890796297696E-3</v>
      </c>
      <c r="E1694" s="6">
        <f t="shared" ca="1" si="133"/>
        <v>1.6448312478401089E-2</v>
      </c>
      <c r="F1694">
        <f t="shared" ca="1" si="131"/>
        <v>7.4411759144533737E-3</v>
      </c>
      <c r="G1694">
        <f t="shared" ca="1" si="130"/>
        <v>0.75927182558159168</v>
      </c>
      <c r="H1694">
        <f t="shared" ca="1" si="134"/>
        <v>2.5746734024715416</v>
      </c>
    </row>
    <row r="1695" spans="1:8" x14ac:dyDescent="0.25">
      <c r="A1695" s="1">
        <v>42636</v>
      </c>
      <c r="B1695">
        <v>786.90002400000003</v>
      </c>
      <c r="C1695" s="6">
        <v>3.9379325889724319E-4</v>
      </c>
      <c r="D1695" s="6">
        <f t="shared" ca="1" si="132"/>
        <v>8.2152021053797479E-3</v>
      </c>
      <c r="E1695" s="6">
        <f t="shared" ca="1" si="133"/>
        <v>7.8214088464825041E-3</v>
      </c>
      <c r="F1695">
        <f t="shared" ca="1" si="131"/>
        <v>1.3888284408175045E-2</v>
      </c>
      <c r="G1695">
        <f t="shared" ca="1" si="130"/>
        <v>0.79382077641652449</v>
      </c>
      <c r="H1695">
        <f t="shared" ca="1" si="134"/>
        <v>2.7623502778699702</v>
      </c>
    </row>
    <row r="1696" spans="1:8" x14ac:dyDescent="0.25">
      <c r="A1696" s="5">
        <v>42639</v>
      </c>
      <c r="B1696">
        <v>774.21002199999998</v>
      </c>
      <c r="C1696" s="6">
        <v>1.6126574676531016E-2</v>
      </c>
      <c r="D1696" s="6">
        <f t="shared" ca="1" si="132"/>
        <v>6.7793302917509846E-3</v>
      </c>
      <c r="E1696" s="6">
        <f t="shared" ca="1" si="133"/>
        <v>-9.3472443847800318E-3</v>
      </c>
      <c r="F1696">
        <f t="shared" ca="1" si="131"/>
        <v>1.4664290326952946E-2</v>
      </c>
      <c r="G1696">
        <f t="shared" ca="1" si="130"/>
        <v>0.89731580301092817</v>
      </c>
      <c r="H1696">
        <f t="shared" ca="1" si="134"/>
        <v>2.7450214999959024</v>
      </c>
    </row>
    <row r="1697" spans="1:8" x14ac:dyDescent="0.25">
      <c r="A1697" s="1">
        <v>42640</v>
      </c>
      <c r="B1697">
        <v>783.01000999999997</v>
      </c>
      <c r="C1697" s="6">
        <v>-1.1366409307473398E-2</v>
      </c>
      <c r="D1697" s="6">
        <f t="shared" ca="1" si="132"/>
        <v>-2.6259364246960348E-2</v>
      </c>
      <c r="E1697" s="6">
        <f t="shared" ca="1" si="133"/>
        <v>-1.489295493948695E-2</v>
      </c>
      <c r="F1697">
        <f t="shared" ca="1" si="131"/>
        <v>1.6132749945007498E-2</v>
      </c>
      <c r="G1697">
        <f t="shared" ca="1" si="130"/>
        <v>-1.6387198318372882</v>
      </c>
      <c r="H1697">
        <f t="shared" ca="1" si="134"/>
        <v>2.6282599684712857</v>
      </c>
    </row>
    <row r="1698" spans="1:8" x14ac:dyDescent="0.25">
      <c r="A1698" s="5">
        <v>42641</v>
      </c>
      <c r="B1698">
        <v>781.55999799999995</v>
      </c>
      <c r="C1698" s="6">
        <v>1.8518435032522959E-3</v>
      </c>
      <c r="D1698" s="6">
        <f t="shared" ca="1" si="132"/>
        <v>1.0572850462781792E-2</v>
      </c>
      <c r="E1698" s="6">
        <f t="shared" ca="1" si="133"/>
        <v>8.7210069595294957E-3</v>
      </c>
      <c r="F1698">
        <f t="shared" ca="1" si="131"/>
        <v>2.708991860654783E-2</v>
      </c>
      <c r="G1698">
        <f t="shared" ca="1" si="130"/>
        <v>0.12207857354056119</v>
      </c>
      <c r="H1698">
        <f t="shared" ca="1" si="134"/>
        <v>2.7489142279298555</v>
      </c>
    </row>
    <row r="1699" spans="1:8" x14ac:dyDescent="0.25">
      <c r="A1699" s="1">
        <v>42642</v>
      </c>
      <c r="B1699">
        <v>775.01000999999997</v>
      </c>
      <c r="C1699" s="6">
        <v>8.3806592158776078E-3</v>
      </c>
      <c r="D1699" s="6">
        <f t="shared" ca="1" si="132"/>
        <v>-5.7260403523159194E-3</v>
      </c>
      <c r="E1699" s="6">
        <f t="shared" ca="1" si="133"/>
        <v>-1.4106699568193527E-2</v>
      </c>
      <c r="F1699">
        <f t="shared" ca="1" si="131"/>
        <v>9.7635580782911829E-3</v>
      </c>
      <c r="G1699">
        <f t="shared" ca="1" si="130"/>
        <v>-6.1950426563054266E-2</v>
      </c>
      <c r="H1699">
        <f t="shared" ca="1" si="134"/>
        <v>2.6481164772084851</v>
      </c>
    </row>
    <row r="1700" spans="1:8" x14ac:dyDescent="0.25">
      <c r="A1700" s="5">
        <v>42643</v>
      </c>
      <c r="B1700">
        <v>777.28997800000002</v>
      </c>
      <c r="C1700" s="6">
        <v>-2.9418561961542323E-3</v>
      </c>
      <c r="D1700" s="6">
        <f t="shared" ca="1" si="132"/>
        <v>3.6604205539288873E-3</v>
      </c>
      <c r="E1700" s="6">
        <f t="shared" ca="1" si="133"/>
        <v>6.6022767500831196E-3</v>
      </c>
      <c r="F1700">
        <f t="shared" ca="1" si="131"/>
        <v>7.2145918901173499E-3</v>
      </c>
      <c r="G1700">
        <f t="shared" ca="1" si="130"/>
        <v>0.39169520079943138</v>
      </c>
      <c r="H1700">
        <f t="shared" ca="1" si="134"/>
        <v>2.7782792975436492</v>
      </c>
    </row>
    <row r="1701" spans="1:8" x14ac:dyDescent="0.25">
      <c r="A1701" s="1">
        <v>42646</v>
      </c>
      <c r="B1701">
        <v>772.55999799999995</v>
      </c>
      <c r="C1701" s="6">
        <v>6.0852193311053708E-3</v>
      </c>
      <c r="D1701" s="6">
        <f t="shared" ca="1" si="132"/>
        <v>1.6717231629410183E-2</v>
      </c>
      <c r="E1701" s="6">
        <f t="shared" ca="1" si="133"/>
        <v>1.0632012298304811E-2</v>
      </c>
      <c r="F1701">
        <f t="shared" ca="1" si="131"/>
        <v>9.3142544165907577E-3</v>
      </c>
      <c r="G1701">
        <f t="shared" ca="1" si="130"/>
        <v>1.3894097893699724</v>
      </c>
      <c r="H1701">
        <f t="shared" ca="1" si="134"/>
        <v>2.7156323004695078</v>
      </c>
    </row>
    <row r="1702" spans="1:8" x14ac:dyDescent="0.25">
      <c r="A1702" s="5">
        <v>42647</v>
      </c>
      <c r="B1702">
        <v>776.42999299999997</v>
      </c>
      <c r="C1702" s="6">
        <v>-5.0093132054709584E-3</v>
      </c>
      <c r="D1702" s="6">
        <f t="shared" ca="1" si="132"/>
        <v>3.032741522530314E-3</v>
      </c>
      <c r="E1702" s="6">
        <f t="shared" ca="1" si="133"/>
        <v>8.042054728001272E-3</v>
      </c>
      <c r="F1702">
        <f t="shared" ca="1" si="131"/>
        <v>2.3105216876461557E-2</v>
      </c>
      <c r="G1702">
        <f t="shared" ca="1" si="130"/>
        <v>0.18862036930744694</v>
      </c>
      <c r="H1702">
        <f t="shared" ca="1" si="134"/>
        <v>2.7591869993648408</v>
      </c>
    </row>
    <row r="1703" spans="1:8" x14ac:dyDescent="0.25">
      <c r="A1703" s="1">
        <v>42648</v>
      </c>
      <c r="B1703">
        <v>776.46997099999999</v>
      </c>
      <c r="C1703" s="6">
        <v>-5.1489510143149723E-5</v>
      </c>
      <c r="D1703" s="6">
        <f t="shared" ca="1" si="132"/>
        <v>-1.0647743037147349E-5</v>
      </c>
      <c r="E1703" s="6">
        <f t="shared" ca="1" si="133"/>
        <v>4.0841767106002374E-5</v>
      </c>
      <c r="F1703">
        <f t="shared" ca="1" si="131"/>
        <v>9.3709658986250964E-3</v>
      </c>
      <c r="G1703">
        <f t="shared" ca="1" si="130"/>
        <v>-0.29370532420324408</v>
      </c>
      <c r="H1703">
        <f t="shared" ca="1" si="134"/>
        <v>2.818957855894932</v>
      </c>
    </row>
    <row r="1704" spans="1:8" x14ac:dyDescent="0.25">
      <c r="A1704" s="5">
        <v>42649</v>
      </c>
      <c r="B1704">
        <v>776.85998500000005</v>
      </c>
      <c r="C1704" s="6">
        <v>-5.022911568592582E-4</v>
      </c>
      <c r="D1704" s="6">
        <f t="shared" ca="1" si="132"/>
        <v>-3.6943136662878585E-3</v>
      </c>
      <c r="E1704" s="6">
        <f t="shared" ca="1" si="133"/>
        <v>-3.1920225094286001E-3</v>
      </c>
      <c r="F1704">
        <f t="shared" ca="1" si="131"/>
        <v>8.4976183336602056E-3</v>
      </c>
      <c r="G1704">
        <f t="shared" ca="1" si="130"/>
        <v>-0.16914528483768584</v>
      </c>
      <c r="H1704">
        <f t="shared" ca="1" si="134"/>
        <v>2.8110578105617376</v>
      </c>
    </row>
    <row r="1705" spans="1:8" x14ac:dyDescent="0.25">
      <c r="A1705" s="1">
        <v>42650</v>
      </c>
      <c r="B1705">
        <v>775.080017</v>
      </c>
      <c r="C1705" s="6">
        <v>2.2912339860059255E-3</v>
      </c>
      <c r="D1705" s="6">
        <f t="shared" ca="1" si="132"/>
        <v>-2.6167633196093605E-3</v>
      </c>
      <c r="E1705" s="6">
        <f t="shared" ca="1" si="133"/>
        <v>-4.9079973056152856E-3</v>
      </c>
      <c r="F1705">
        <f t="shared" ca="1" si="131"/>
        <v>7.5356333853770011E-3</v>
      </c>
      <c r="G1705">
        <f t="shared" ca="1" si="130"/>
        <v>-0.34417227103578701</v>
      </c>
      <c r="H1705">
        <f t="shared" ca="1" si="134"/>
        <v>2.7993704123899601</v>
      </c>
    </row>
    <row r="1706" spans="1:8" x14ac:dyDescent="0.25">
      <c r="A1706" s="5">
        <v>42653</v>
      </c>
      <c r="B1706">
        <v>785.94000200000005</v>
      </c>
      <c r="C1706" s="6">
        <v>-1.4011437221713396E-2</v>
      </c>
      <c r="D1706" s="6">
        <f t="shared" ca="1" si="132"/>
        <v>1.1967944040924031E-2</v>
      </c>
      <c r="E1706" s="6">
        <f t="shared" ca="1" si="133"/>
        <v>2.5979381262637428E-2</v>
      </c>
      <c r="F1706">
        <f t="shared" ca="1" si="131"/>
        <v>8.848761638819232E-3</v>
      </c>
      <c r="G1706">
        <f t="shared" ca="1" si="130"/>
        <v>1.3780704461155999</v>
      </c>
      <c r="H1706">
        <f t="shared" ca="1" si="134"/>
        <v>2.2145995941802497</v>
      </c>
    </row>
    <row r="1707" spans="1:8" x14ac:dyDescent="0.25">
      <c r="A1707" s="1">
        <v>42654</v>
      </c>
      <c r="B1707">
        <v>783.07000700000003</v>
      </c>
      <c r="C1707" s="6">
        <v>3.6516718740574002E-3</v>
      </c>
      <c r="D1707" s="6">
        <f t="shared" ca="1" si="132"/>
        <v>-3.471915189071164E-2</v>
      </c>
      <c r="E1707" s="6">
        <f t="shared" ca="1" si="133"/>
        <v>-3.8370823764769038E-2</v>
      </c>
      <c r="F1707">
        <f t="shared" ca="1" si="131"/>
        <v>2.2922873569683064E-2</v>
      </c>
      <c r="G1707">
        <f t="shared" ca="1" si="130"/>
        <v>-1.5596321879411488</v>
      </c>
      <c r="H1707">
        <f t="shared" ca="1" si="134"/>
        <v>1.5326129412230851</v>
      </c>
    </row>
    <row r="1708" spans="1:8" x14ac:dyDescent="0.25">
      <c r="A1708" s="5">
        <v>42655</v>
      </c>
      <c r="B1708">
        <v>786.14001499999995</v>
      </c>
      <c r="C1708" s="6">
        <v>-3.9204770615099242E-3</v>
      </c>
      <c r="D1708" s="6">
        <f t="shared" ca="1" si="132"/>
        <v>-3.192450301200752E-2</v>
      </c>
      <c r="E1708" s="6">
        <f t="shared" ca="1" si="133"/>
        <v>-2.8004025950497596E-2</v>
      </c>
      <c r="F1708">
        <f t="shared" ca="1" si="131"/>
        <v>2.6217523560896173E-2</v>
      </c>
      <c r="G1708">
        <f t="shared" ca="1" si="130"/>
        <v>-0.97688911473289108</v>
      </c>
      <c r="H1708">
        <f t="shared" ca="1" si="134"/>
        <v>2.1363496954841303</v>
      </c>
    </row>
    <row r="1709" spans="1:8" x14ac:dyDescent="0.25">
      <c r="A1709" s="1">
        <v>42656</v>
      </c>
      <c r="B1709">
        <v>778.19000200000005</v>
      </c>
      <c r="C1709" s="6">
        <v>1.011271891559915E-2</v>
      </c>
      <c r="D1709" s="6">
        <f t="shared" ca="1" si="132"/>
        <v>-3.9069276304172429E-3</v>
      </c>
      <c r="E1709" s="6">
        <f t="shared" ca="1" si="133"/>
        <v>-1.4019646546016392E-2</v>
      </c>
      <c r="F1709">
        <f t="shared" ca="1" si="131"/>
        <v>1.8098762755715793E-2</v>
      </c>
      <c r="G1709">
        <f t="shared" ca="1" si="130"/>
        <v>-0.30676952328156787</v>
      </c>
      <c r="H1709">
        <f t="shared" ca="1" si="134"/>
        <v>2.6502478701715377</v>
      </c>
    </row>
    <row r="1710" spans="1:8" x14ac:dyDescent="0.25">
      <c r="A1710" s="5">
        <v>42657</v>
      </c>
      <c r="B1710">
        <v>778.53002900000001</v>
      </c>
      <c r="C1710" s="6">
        <v>-4.3694598893081592E-4</v>
      </c>
      <c r="D1710" s="6">
        <f t="shared" ca="1" si="132"/>
        <v>-1.1039634691230125E-2</v>
      </c>
      <c r="E1710" s="6">
        <f t="shared" ca="1" si="133"/>
        <v>-1.0602688702299308E-2</v>
      </c>
      <c r="F1710">
        <f t="shared" ca="1" si="131"/>
        <v>9.4542258022174541E-3</v>
      </c>
      <c r="G1710">
        <f t="shared" ca="1" si="130"/>
        <v>-0.98087395854243475</v>
      </c>
      <c r="H1710">
        <f t="shared" ca="1" si="134"/>
        <v>2.7233421166416427</v>
      </c>
    </row>
    <row r="1711" spans="1:8" x14ac:dyDescent="0.25">
      <c r="A1711" s="1">
        <v>42660</v>
      </c>
      <c r="B1711">
        <v>779.96002199999998</v>
      </c>
      <c r="C1711" s="6">
        <v>-1.836785925697373E-3</v>
      </c>
      <c r="D1711" s="6">
        <f t="shared" ca="1" si="132"/>
        <v>7.2718070732010667E-3</v>
      </c>
      <c r="E1711" s="6">
        <f t="shared" ca="1" si="133"/>
        <v>9.1085929988984401E-3</v>
      </c>
      <c r="F1711">
        <f t="shared" ca="1" si="131"/>
        <v>1.7075857663668488E-2</v>
      </c>
      <c r="G1711">
        <f t="shared" ca="1" si="130"/>
        <v>0.15902327383614995</v>
      </c>
      <c r="H1711">
        <f t="shared" ca="1" si="134"/>
        <v>2.7426851261113727</v>
      </c>
    </row>
    <row r="1712" spans="1:8" x14ac:dyDescent="0.25">
      <c r="A1712" s="5">
        <v>42661</v>
      </c>
      <c r="B1712">
        <v>795.26000999999997</v>
      </c>
      <c r="C1712" s="6">
        <v>-1.9616374645417385E-2</v>
      </c>
      <c r="D1712" s="6">
        <f t="shared" ca="1" si="132"/>
        <v>-5.5317145362591439E-3</v>
      </c>
      <c r="E1712" s="6">
        <f t="shared" ca="1" si="133"/>
        <v>1.408466010915824E-2</v>
      </c>
      <c r="F1712">
        <f t="shared" ca="1" si="131"/>
        <v>8.3588592997386035E-3</v>
      </c>
      <c r="G1712">
        <f t="shared" ca="1" si="130"/>
        <v>-0.6382228630112976</v>
      </c>
      <c r="H1712">
        <f t="shared" ca="1" si="134"/>
        <v>2.6391586949678651</v>
      </c>
    </row>
    <row r="1713" spans="1:8" x14ac:dyDescent="0.25">
      <c r="A1713" s="1">
        <v>42662</v>
      </c>
      <c r="B1713">
        <v>801.5</v>
      </c>
      <c r="C1713" s="6">
        <v>-7.8464777827820555E-3</v>
      </c>
      <c r="D1713" s="6">
        <f t="shared" ca="1" si="132"/>
        <v>-2.5891475565537211E-3</v>
      </c>
      <c r="E1713" s="6">
        <f t="shared" ca="1" si="133"/>
        <v>5.257330226228334E-3</v>
      </c>
      <c r="F1713">
        <f t="shared" ca="1" si="131"/>
        <v>1.2306600404819543E-2</v>
      </c>
      <c r="G1713">
        <f t="shared" ca="1" si="130"/>
        <v>-0.14311397205847104</v>
      </c>
      <c r="H1713">
        <f t="shared" ca="1" si="134"/>
        <v>2.7928089034563701</v>
      </c>
    </row>
    <row r="1714" spans="1:8" x14ac:dyDescent="0.25">
      <c r="A1714" s="5">
        <v>42663</v>
      </c>
      <c r="B1714">
        <v>796.96997099999999</v>
      </c>
      <c r="C1714" s="6">
        <v>5.6519388646288377E-3</v>
      </c>
      <c r="D1714" s="6">
        <f t="shared" ca="1" si="132"/>
        <v>-1.8053862080939398E-2</v>
      </c>
      <c r="E1714" s="6">
        <f t="shared" ca="1" si="133"/>
        <v>-2.3705800945568234E-2</v>
      </c>
      <c r="F1714">
        <f t="shared" ca="1" si="131"/>
        <v>7.7315984806950837E-3</v>
      </c>
      <c r="G1714">
        <f t="shared" ca="1" si="130"/>
        <v>-1.1919189707113436</v>
      </c>
      <c r="H1714">
        <f t="shared" ca="1" si="134"/>
        <v>2.3310416195550832</v>
      </c>
    </row>
    <row r="1715" spans="1:8" x14ac:dyDescent="0.25">
      <c r="A1715" s="1">
        <v>42664</v>
      </c>
      <c r="B1715">
        <v>799.36999500000002</v>
      </c>
      <c r="C1715" s="6">
        <v>-3.0114359227218996E-3</v>
      </c>
      <c r="D1715" s="6">
        <f t="shared" ca="1" si="132"/>
        <v>2.3610711288856487E-2</v>
      </c>
      <c r="E1715" s="6">
        <f t="shared" ca="1" si="133"/>
        <v>2.6622147211578386E-2</v>
      </c>
      <c r="F1715">
        <f t="shared" ca="1" si="131"/>
        <v>2.0112438275050566E-2</v>
      </c>
      <c r="G1715">
        <f t="shared" ca="1" si="130"/>
        <v>1.3497071965969378</v>
      </c>
      <c r="H1715">
        <f t="shared" ca="1" si="134"/>
        <v>2.1845456588445682</v>
      </c>
    </row>
    <row r="1716" spans="1:8" x14ac:dyDescent="0.25">
      <c r="A1716" s="5">
        <v>42667</v>
      </c>
      <c r="B1716">
        <v>813.10998500000005</v>
      </c>
      <c r="C1716" s="6">
        <v>-1.7188523569739485E-2</v>
      </c>
      <c r="D1716" s="6">
        <f t="shared" ca="1" si="132"/>
        <v>8.4511109907506408E-3</v>
      </c>
      <c r="E1716" s="6">
        <f t="shared" ca="1" si="133"/>
        <v>2.5639634560490128E-2</v>
      </c>
      <c r="F1716">
        <f t="shared" ca="1" si="131"/>
        <v>2.2951728766669271E-2</v>
      </c>
      <c r="G1716">
        <f t="shared" ca="1" si="130"/>
        <v>0.25726343679324309</v>
      </c>
      <c r="H1716">
        <f t="shared" ca="1" si="134"/>
        <v>2.2301906204067548</v>
      </c>
    </row>
    <row r="1717" spans="1:8" x14ac:dyDescent="0.25">
      <c r="A1717" s="1">
        <v>42668</v>
      </c>
      <c r="B1717">
        <v>807.669983</v>
      </c>
      <c r="C1717" s="6">
        <v>6.6903642807928983E-3</v>
      </c>
      <c r="D1717" s="6">
        <f t="shared" ca="1" si="132"/>
        <v>-1.054694473295947E-2</v>
      </c>
      <c r="E1717" s="6">
        <f t="shared" ca="1" si="133"/>
        <v>-1.7237309013752367E-2</v>
      </c>
      <c r="F1717">
        <f t="shared" ca="1" si="131"/>
        <v>9.7482927896094061E-3</v>
      </c>
      <c r="G1717">
        <f t="shared" ca="1" si="130"/>
        <v>-0.94271246391490537</v>
      </c>
      <c r="H1717">
        <f t="shared" ca="1" si="134"/>
        <v>2.5625776356215333</v>
      </c>
    </row>
    <row r="1718" spans="1:8" x14ac:dyDescent="0.25">
      <c r="A1718" s="5">
        <v>42669</v>
      </c>
      <c r="B1718">
        <v>799.07000700000003</v>
      </c>
      <c r="C1718" s="6">
        <v>1.0647883641851241E-2</v>
      </c>
      <c r="D1718" s="6">
        <f t="shared" ca="1" si="132"/>
        <v>-2.8847546840668307E-2</v>
      </c>
      <c r="E1718" s="6">
        <f t="shared" ca="1" si="133"/>
        <v>-3.949543048251955E-2</v>
      </c>
      <c r="F1718">
        <f t="shared" ca="1" si="131"/>
        <v>1.6539804786734991E-2</v>
      </c>
      <c r="G1718">
        <f t="shared" ca="1" si="130"/>
        <v>-1.2759067896418019</v>
      </c>
      <c r="H1718">
        <f t="shared" ca="1" si="134"/>
        <v>1.4557140045064074</v>
      </c>
    </row>
    <row r="1719" spans="1:8" x14ac:dyDescent="0.25">
      <c r="A1719" s="1">
        <v>42670</v>
      </c>
      <c r="B1719">
        <v>795.34997599999997</v>
      </c>
      <c r="C1719" s="6">
        <v>4.6554506706695383E-3</v>
      </c>
      <c r="D1719" s="6">
        <f t="shared" ca="1" si="132"/>
        <v>-9.2257900496860046E-3</v>
      </c>
      <c r="E1719" s="6">
        <f t="shared" ca="1" si="133"/>
        <v>-1.3881240720355542E-2</v>
      </c>
      <c r="F1719">
        <f t="shared" ca="1" si="131"/>
        <v>2.1678630732589584E-2</v>
      </c>
      <c r="G1719">
        <f t="shared" ca="1" si="130"/>
        <v>-0.56462773264160704</v>
      </c>
      <c r="H1719">
        <f t="shared" ca="1" si="134"/>
        <v>2.6536090396210943</v>
      </c>
    </row>
    <row r="1720" spans="1:8" x14ac:dyDescent="0.25">
      <c r="A1720" s="5">
        <v>42671</v>
      </c>
      <c r="B1720">
        <v>795.36999500000002</v>
      </c>
      <c r="C1720" s="6">
        <v>-2.5170051680554182E-5</v>
      </c>
      <c r="D1720" s="6">
        <f t="shared" ca="1" si="132"/>
        <v>9.7853266075079576E-3</v>
      </c>
      <c r="E1720" s="6">
        <f t="shared" ca="1" si="133"/>
        <v>9.8104966591885112E-3</v>
      </c>
      <c r="F1720">
        <f t="shared" ca="1" si="131"/>
        <v>1.2436646683715684E-2</v>
      </c>
      <c r="G1720">
        <f t="shared" ca="1" si="130"/>
        <v>0.40105440353365568</v>
      </c>
      <c r="H1720">
        <f t="shared" ca="1" si="134"/>
        <v>2.7307296080329144</v>
      </c>
    </row>
    <row r="1721" spans="1:8" x14ac:dyDescent="0.25">
      <c r="A1721" s="1">
        <v>42674</v>
      </c>
      <c r="B1721">
        <v>784.53997800000002</v>
      </c>
      <c r="C1721" s="6">
        <v>1.3616325820789855E-2</v>
      </c>
      <c r="D1721" s="6">
        <f t="shared" ca="1" si="132"/>
        <v>1.8360867927847248E-3</v>
      </c>
      <c r="E1721" s="6">
        <f t="shared" ca="1" si="133"/>
        <v>-1.1780239028005131E-2</v>
      </c>
      <c r="F1721">
        <f t="shared" ca="1" si="131"/>
        <v>9.7530864251422628E-3</v>
      </c>
      <c r="G1721">
        <f t="shared" ca="1" si="130"/>
        <v>-2.6807751511415501E-2</v>
      </c>
      <c r="H1721">
        <f t="shared" ca="1" si="134"/>
        <v>2.7004795367379204</v>
      </c>
    </row>
    <row r="1722" spans="1:8" x14ac:dyDescent="0.25">
      <c r="A1722" s="5">
        <v>42675</v>
      </c>
      <c r="B1722">
        <v>783.60998500000005</v>
      </c>
      <c r="C1722" s="6">
        <v>1.1853991206041098E-3</v>
      </c>
      <c r="D1722" s="6">
        <f t="shared" ca="1" si="132"/>
        <v>8.6105936148668811E-3</v>
      </c>
      <c r="E1722" s="6">
        <f t="shared" ca="1" si="133"/>
        <v>7.4251944942627709E-3</v>
      </c>
      <c r="F1722">
        <f t="shared" ca="1" si="131"/>
        <v>7.1593614268619342E-3</v>
      </c>
      <c r="G1722">
        <f t="shared" ca="1" si="130"/>
        <v>1.2042566945417688</v>
      </c>
      <c r="H1722">
        <f t="shared" ca="1" si="134"/>
        <v>2.7678148979714519</v>
      </c>
    </row>
    <row r="1723" spans="1:8" x14ac:dyDescent="0.25">
      <c r="A1723" s="1">
        <v>42676</v>
      </c>
      <c r="B1723">
        <v>768.70001200000002</v>
      </c>
      <c r="C1723" s="6">
        <v>1.9027288173210345E-2</v>
      </c>
      <c r="D1723" s="6">
        <f t="shared" ca="1" si="132"/>
        <v>3.8661836871141955E-2</v>
      </c>
      <c r="E1723" s="6">
        <f t="shared" ca="1" si="133"/>
        <v>1.963454869793161E-2</v>
      </c>
      <c r="F1723">
        <f t="shared" ca="1" si="131"/>
        <v>2.0282283736163101E-2</v>
      </c>
      <c r="G1723">
        <f t="shared" ca="1" si="130"/>
        <v>1.6037093174757706</v>
      </c>
      <c r="H1723">
        <f t="shared" ca="1" si="134"/>
        <v>2.4721411444674466</v>
      </c>
    </row>
    <row r="1724" spans="1:8" x14ac:dyDescent="0.25">
      <c r="A1724" s="5">
        <v>42677</v>
      </c>
      <c r="B1724">
        <v>762.13000499999998</v>
      </c>
      <c r="C1724" s="6">
        <v>8.5469063320374097E-3</v>
      </c>
      <c r="D1724" s="6">
        <f t="shared" ca="1" si="132"/>
        <v>-3.5056211362423866E-2</v>
      </c>
      <c r="E1724" s="6">
        <f t="shared" ca="1" si="133"/>
        <v>-4.3603117694461277E-2</v>
      </c>
      <c r="F1724">
        <f t="shared" ca="1" si="131"/>
        <v>2.6740024135024586E-2</v>
      </c>
      <c r="G1724">
        <f t="shared" ca="1" si="130"/>
        <v>-1.330986677292163</v>
      </c>
      <c r="H1724">
        <f t="shared" ca="1" si="134"/>
        <v>1.1558695586060908</v>
      </c>
    </row>
    <row r="1725" spans="1:8" x14ac:dyDescent="0.25">
      <c r="A1725" s="1">
        <v>42678</v>
      </c>
      <c r="B1725">
        <v>762.02002000000005</v>
      </c>
      <c r="C1725" s="6">
        <v>1.4431264912596878E-4</v>
      </c>
      <c r="D1725" s="6">
        <f t="shared" ca="1" si="132"/>
        <v>2.8067048914385932E-2</v>
      </c>
      <c r="E1725" s="6">
        <f t="shared" ca="1" si="133"/>
        <v>2.7922736265259963E-2</v>
      </c>
      <c r="F1725">
        <f t="shared" ca="1" si="131"/>
        <v>2.3106624345213815E-2</v>
      </c>
      <c r="G1725">
        <f t="shared" ca="1" si="130"/>
        <v>0.84365551832009744</v>
      </c>
      <c r="H1725">
        <f t="shared" ca="1" si="134"/>
        <v>2.1215032742608697</v>
      </c>
    </row>
    <row r="1726" spans="1:8" x14ac:dyDescent="0.25">
      <c r="A1726" s="5">
        <v>42681</v>
      </c>
      <c r="B1726">
        <v>782.52002000000005</v>
      </c>
      <c r="C1726" s="6">
        <v>-2.6902180339041484E-2</v>
      </c>
      <c r="D1726" s="6">
        <f t="shared" ca="1" si="132"/>
        <v>1.3954831287471837E-2</v>
      </c>
      <c r="E1726" s="6">
        <f t="shared" ca="1" si="133"/>
        <v>4.0857011626513319E-2</v>
      </c>
      <c r="F1726">
        <f t="shared" ca="1" si="131"/>
        <v>1.6034500476387138E-2</v>
      </c>
      <c r="G1726">
        <f t="shared" ca="1" si="130"/>
        <v>0.63013881239451508</v>
      </c>
      <c r="H1726">
        <f t="shared" ca="1" si="134"/>
        <v>1.3320699109112994</v>
      </c>
    </row>
    <row r="1727" spans="1:8" x14ac:dyDescent="0.25">
      <c r="A1727" s="1">
        <v>42682</v>
      </c>
      <c r="B1727">
        <v>790.51000999999997</v>
      </c>
      <c r="C1727" s="6">
        <v>-1.0210588605771287E-2</v>
      </c>
      <c r="D1727" s="6">
        <f t="shared" ca="1" si="132"/>
        <v>3.828158917150948E-3</v>
      </c>
      <c r="E1727" s="6">
        <f t="shared" ca="1" si="133"/>
        <v>1.4038747522922234E-2</v>
      </c>
      <c r="F1727">
        <f t="shared" ca="1" si="131"/>
        <v>1.2679229418688315E-2</v>
      </c>
      <c r="G1727">
        <f t="shared" ca="1" si="130"/>
        <v>0.29683056606631303</v>
      </c>
      <c r="H1727">
        <f t="shared" ca="1" si="134"/>
        <v>2.6403136560183902</v>
      </c>
    </row>
    <row r="1728" spans="1:8" x14ac:dyDescent="0.25">
      <c r="A1728" s="5">
        <v>42683</v>
      </c>
      <c r="B1728">
        <v>785.30999799999995</v>
      </c>
      <c r="C1728" s="6">
        <v>6.5780470003156764E-3</v>
      </c>
      <c r="D1728" s="6">
        <f t="shared" ca="1" si="132"/>
        <v>-2.2014091439350129E-2</v>
      </c>
      <c r="E1728" s="6">
        <f t="shared" ca="1" si="133"/>
        <v>-2.8592138439665807E-2</v>
      </c>
      <c r="F1728">
        <f t="shared" ca="1" si="131"/>
        <v>8.7919915895361498E-3</v>
      </c>
      <c r="G1728">
        <f t="shared" ca="1" si="130"/>
        <v>-1.1252238887342332</v>
      </c>
      <c r="H1728">
        <f t="shared" ca="1" si="134"/>
        <v>2.1071746091686623</v>
      </c>
    </row>
    <row r="1729" spans="1:8" x14ac:dyDescent="0.25">
      <c r="A1729" s="1">
        <v>42684</v>
      </c>
      <c r="B1729">
        <v>762.55999799999995</v>
      </c>
      <c r="C1729" s="6">
        <v>2.8969451627941709E-2</v>
      </c>
      <c r="D1729" s="6">
        <f t="shared" ca="1" si="132"/>
        <v>-1.2304907783985415E-2</v>
      </c>
      <c r="E1729" s="6">
        <f t="shared" ca="1" si="133"/>
        <v>-4.1274359411927128E-2</v>
      </c>
      <c r="F1729">
        <f t="shared" ca="1" si="131"/>
        <v>1.9155440337712402E-2</v>
      </c>
      <c r="G1729">
        <f t="shared" ca="1" si="130"/>
        <v>-0.40221290026898571</v>
      </c>
      <c r="H1729">
        <f t="shared" ca="1" si="134"/>
        <v>1.329515295814458</v>
      </c>
    </row>
    <row r="1730" spans="1:8" x14ac:dyDescent="0.25">
      <c r="A1730" s="5">
        <v>42685</v>
      </c>
      <c r="B1730">
        <v>754.02002000000005</v>
      </c>
      <c r="C1730" s="6">
        <v>1.1199089937051623E-2</v>
      </c>
      <c r="D1730" s="6">
        <f t="shared" ca="1" si="132"/>
        <v>2.7103384736555467E-3</v>
      </c>
      <c r="E1730" s="6">
        <f t="shared" ca="1" si="133"/>
        <v>-8.488751463396076E-3</v>
      </c>
      <c r="F1730">
        <f t="shared" ca="1" si="131"/>
        <v>1.0431717083076197E-2</v>
      </c>
      <c r="G1730">
        <f t="shared" ca="1" si="130"/>
        <v>-2.4341661352243915E-2</v>
      </c>
      <c r="H1730">
        <f t="shared" ca="1" si="134"/>
        <v>2.7582446775166014</v>
      </c>
    </row>
    <row r="1731" spans="1:8" x14ac:dyDescent="0.25">
      <c r="A1731" s="1">
        <v>42688</v>
      </c>
      <c r="B1731">
        <v>736.080017</v>
      </c>
      <c r="C1731" s="6">
        <v>2.3792475695804529E-2</v>
      </c>
      <c r="D1731" s="6">
        <f t="shared" ca="1" si="132"/>
        <v>1.4003102664568693E-2</v>
      </c>
      <c r="E1731" s="6">
        <f t="shared" ca="1" si="133"/>
        <v>-9.7893730312358356E-3</v>
      </c>
      <c r="F1731">
        <f t="shared" ca="1" si="131"/>
        <v>7.2176055007294468E-3</v>
      </c>
      <c r="G1731">
        <f t="shared" ref="G1731:G1763" ca="1" si="135">_xlfn.NORM.INV(RAND(),0,1)</f>
        <v>0.13169609376238789</v>
      </c>
      <c r="H1731">
        <f t="shared" ca="1" si="134"/>
        <v>2.737704024428699</v>
      </c>
    </row>
    <row r="1732" spans="1:8" x14ac:dyDescent="0.25">
      <c r="A1732" s="5">
        <v>42689</v>
      </c>
      <c r="B1732">
        <v>758.48999000000003</v>
      </c>
      <c r="C1732" s="6">
        <v>-3.0445022935597553E-2</v>
      </c>
      <c r="D1732" s="6">
        <f t="shared" ca="1" si="132"/>
        <v>1.5479184818020172E-3</v>
      </c>
      <c r="E1732" s="6">
        <f t="shared" ca="1" si="133"/>
        <v>3.199294141739957E-2</v>
      </c>
      <c r="F1732">
        <f t="shared" ref="F1732:F1763" ca="1" si="136">SQRT($K$6+$K$7*POWER($G1731,2)+$K$8*POWER($F1731,2))</f>
        <v>7.2587263701558878E-3</v>
      </c>
      <c r="G1732">
        <f t="shared" ca="1" si="135"/>
        <v>-0.48194440580022208</v>
      </c>
      <c r="H1732">
        <f t="shared" ca="1" si="134"/>
        <v>1.9049202601149464</v>
      </c>
    </row>
    <row r="1733" spans="1:8" x14ac:dyDescent="0.25">
      <c r="A1733" s="1">
        <v>42690</v>
      </c>
      <c r="B1733">
        <v>764.47997999999995</v>
      </c>
      <c r="C1733" s="6">
        <v>-7.8972564951053873E-3</v>
      </c>
      <c r="D1733" s="6">
        <f t="shared" ref="D1733:D1764" ca="1" si="137">($K$10*$C1732)+($K$11*$C1731)+($F1733*$G1733)</f>
        <v>1.0127541922974197E-2</v>
      </c>
      <c r="E1733" s="6">
        <f t="shared" ca="1" si="133"/>
        <v>1.8024798418079586E-2</v>
      </c>
      <c r="F1733">
        <f t="shared" ca="1" si="136"/>
        <v>1.0321597512459819E-2</v>
      </c>
      <c r="G1733">
        <f t="shared" ca="1" si="135"/>
        <v>-5.7337937042911513E-2</v>
      </c>
      <c r="H1733">
        <f t="shared" ca="1" si="134"/>
        <v>2.5261820146743488</v>
      </c>
    </row>
    <row r="1734" spans="1:8" x14ac:dyDescent="0.25">
      <c r="A1734" s="5">
        <v>42691</v>
      </c>
      <c r="B1734">
        <v>771.22997999999995</v>
      </c>
      <c r="C1734" s="6">
        <v>-8.8295314155905046E-3</v>
      </c>
      <c r="D1734" s="6">
        <f t="shared" ca="1" si="137"/>
        <v>-1.6527348096284977E-2</v>
      </c>
      <c r="E1734" s="6">
        <f t="shared" ref="E1734:E1763" ca="1" si="138">$D1734-$C1734</f>
        <v>-7.6978166806944727E-3</v>
      </c>
      <c r="F1734">
        <f t="shared" ca="1" si="136"/>
        <v>7.2542125448249598E-3</v>
      </c>
      <c r="G1734">
        <f t="shared" ca="1" si="135"/>
        <v>-0.38736135920005516</v>
      </c>
      <c r="H1734">
        <f t="shared" ref="H1734:H1763" ca="1" si="139">LN(_xlfn.NORM.DIST($E1734,AVERAGE($E$5:$E$1763),_xlfn.STDEV.S($E$5:$E$1763),FALSE))</f>
        <v>2.7692759924954529</v>
      </c>
    </row>
    <row r="1735" spans="1:8" x14ac:dyDescent="0.25">
      <c r="A1735" s="1">
        <v>42692</v>
      </c>
      <c r="B1735">
        <v>760.53997800000002</v>
      </c>
      <c r="C1735" s="6">
        <v>1.3860978277841243E-2</v>
      </c>
      <c r="D1735" s="6">
        <f t="shared" ca="1" si="137"/>
        <v>-1.7700942958251323E-2</v>
      </c>
      <c r="E1735" s="6">
        <f t="shared" ca="1" si="138"/>
        <v>-3.1561921236092569E-2</v>
      </c>
      <c r="F1735">
        <f t="shared" ca="1" si="136"/>
        <v>9.2707290243975605E-3</v>
      </c>
      <c r="G1735">
        <f t="shared" ca="1" si="135"/>
        <v>-1.5255146913702022</v>
      </c>
      <c r="H1735">
        <f t="shared" ca="1" si="139"/>
        <v>1.9505251343028689</v>
      </c>
    </row>
    <row r="1736" spans="1:8" x14ac:dyDescent="0.25">
      <c r="A1736" s="5">
        <v>42695</v>
      </c>
      <c r="B1736">
        <v>769.20001200000002</v>
      </c>
      <c r="C1736" s="6">
        <v>-1.1386691364697723E-2</v>
      </c>
      <c r="D1736" s="6">
        <f t="shared" ca="1" si="137"/>
        <v>-2.3026665728986657E-2</v>
      </c>
      <c r="E1736" s="6">
        <f t="shared" ca="1" si="138"/>
        <v>-1.1639974364288935E-2</v>
      </c>
      <c r="F1736">
        <f t="shared" ca="1" si="136"/>
        <v>2.5161985206750486E-2</v>
      </c>
      <c r="G1736">
        <f t="shared" ca="1" si="135"/>
        <v>-0.75704235367546491</v>
      </c>
      <c r="H1736">
        <f t="shared" ca="1" si="139"/>
        <v>2.7033312242048062</v>
      </c>
    </row>
    <row r="1737" spans="1:8" x14ac:dyDescent="0.25">
      <c r="A1737" s="1">
        <v>42696</v>
      </c>
      <c r="B1737">
        <v>768.27002000000005</v>
      </c>
      <c r="C1737" s="6">
        <v>1.2090379426566756E-3</v>
      </c>
      <c r="D1737" s="6">
        <f t="shared" ca="1" si="137"/>
        <v>-3.122954632191632E-2</v>
      </c>
      <c r="E1737" s="6">
        <f t="shared" ca="1" si="138"/>
        <v>-3.2438584264572995E-2</v>
      </c>
      <c r="F1737">
        <f t="shared" ca="1" si="136"/>
        <v>1.5122457756563344E-2</v>
      </c>
      <c r="G1737">
        <f t="shared" ca="1" si="135"/>
        <v>-2.4780705815742725</v>
      </c>
      <c r="H1737">
        <f t="shared" ca="1" si="139"/>
        <v>1.9013073301676724</v>
      </c>
    </row>
    <row r="1738" spans="1:8" x14ac:dyDescent="0.25">
      <c r="A1738" s="5">
        <v>42697</v>
      </c>
      <c r="B1738">
        <v>760.98999000000003</v>
      </c>
      <c r="C1738" s="6">
        <v>9.4758741204036701E-3</v>
      </c>
      <c r="D1738" s="6">
        <f t="shared" ca="1" si="137"/>
        <v>7.4074829806039896E-2</v>
      </c>
      <c r="E1738" s="6">
        <f t="shared" ca="1" si="138"/>
        <v>6.4598955685636228E-2</v>
      </c>
      <c r="F1738">
        <f t="shared" ca="1" si="136"/>
        <v>3.9961908846795693E-2</v>
      </c>
      <c r="G1738">
        <f t="shared" ca="1" si="135"/>
        <v>1.9820164929627544</v>
      </c>
      <c r="H1738">
        <f t="shared" ca="1" si="139"/>
        <v>-0.88543688762303674</v>
      </c>
    </row>
    <row r="1739" spans="1:8" x14ac:dyDescent="0.25">
      <c r="A1739" s="1">
        <v>42699</v>
      </c>
      <c r="B1739">
        <v>761.67999299999997</v>
      </c>
      <c r="C1739" s="6">
        <v>-9.0671757719169637E-4</v>
      </c>
      <c r="D1739" s="6">
        <f t="shared" ca="1" si="137"/>
        <v>-4.3437666661419717E-2</v>
      </c>
      <c r="E1739" s="6">
        <f t="shared" ca="1" si="138"/>
        <v>-4.2530949084228019E-2</v>
      </c>
      <c r="F1739">
        <f t="shared" ca="1" si="136"/>
        <v>3.3613235045296064E-2</v>
      </c>
      <c r="G1739">
        <f t="shared" ca="1" si="135"/>
        <v>-1.3084894613081974</v>
      </c>
      <c r="H1739">
        <f t="shared" ca="1" si="139"/>
        <v>1.2370056240223173</v>
      </c>
    </row>
    <row r="1740" spans="1:8" x14ac:dyDescent="0.25">
      <c r="A1740" s="5">
        <v>42702</v>
      </c>
      <c r="B1740">
        <v>768.23999000000003</v>
      </c>
      <c r="C1740" s="6">
        <v>-8.6125368399955684E-3</v>
      </c>
      <c r="D1740" s="6">
        <f t="shared" ca="1" si="137"/>
        <v>-4.6859888915534555E-3</v>
      </c>
      <c r="E1740" s="6">
        <f t="shared" ca="1" si="138"/>
        <v>3.9265479484421129E-3</v>
      </c>
      <c r="F1740">
        <f t="shared" ca="1" si="136"/>
        <v>2.3353037300011877E-2</v>
      </c>
      <c r="G1740">
        <f t="shared" ca="1" si="135"/>
        <v>-0.38347879374209387</v>
      </c>
      <c r="H1740">
        <f t="shared" ca="1" si="139"/>
        <v>2.8040431318967718</v>
      </c>
    </row>
    <row r="1741" spans="1:8" x14ac:dyDescent="0.25">
      <c r="A1741" s="1">
        <v>42703</v>
      </c>
      <c r="B1741">
        <v>770.84002699999996</v>
      </c>
      <c r="C1741" s="6">
        <v>-3.384407260548789E-3</v>
      </c>
      <c r="D1741" s="6">
        <f t="shared" ca="1" si="137"/>
        <v>-2.2330977966307765E-2</v>
      </c>
      <c r="E1741" s="6">
        <f t="shared" ca="1" si="138"/>
        <v>-1.8946570705758975E-2</v>
      </c>
      <c r="F1741">
        <f t="shared" ca="1" si="136"/>
        <v>1.0791423395631002E-2</v>
      </c>
      <c r="G1741">
        <f t="shared" ca="1" si="135"/>
        <v>-2.0314565392123751</v>
      </c>
      <c r="H1741">
        <f t="shared" ca="1" si="139"/>
        <v>2.5085743817686916</v>
      </c>
    </row>
    <row r="1742" spans="1:8" x14ac:dyDescent="0.25">
      <c r="A1742" s="5">
        <v>42704</v>
      </c>
      <c r="B1742">
        <v>758.03997800000002</v>
      </c>
      <c r="C1742" s="6">
        <v>1.6605324777718044E-2</v>
      </c>
      <c r="D1742" s="6">
        <f t="shared" ca="1" si="137"/>
        <v>-9.3895206307684498E-3</v>
      </c>
      <c r="E1742" s="6">
        <f t="shared" ca="1" si="138"/>
        <v>-2.5994845408486494E-2</v>
      </c>
      <c r="F1742">
        <f t="shared" ca="1" si="136"/>
        <v>3.2948590458728659E-2</v>
      </c>
      <c r="G1742">
        <f t="shared" ca="1" si="135"/>
        <v>-0.16720067474002237</v>
      </c>
      <c r="H1742">
        <f t="shared" ca="1" si="139"/>
        <v>2.2314159496513972</v>
      </c>
    </row>
    <row r="1743" spans="1:8" x14ac:dyDescent="0.25">
      <c r="A1743" s="1">
        <v>42705</v>
      </c>
      <c r="B1743">
        <v>747.919983</v>
      </c>
      <c r="C1743" s="6">
        <v>1.3350212777300271E-2</v>
      </c>
      <c r="D1743" s="6">
        <f t="shared" ca="1" si="137"/>
        <v>1.308780471642949E-2</v>
      </c>
      <c r="E1743" s="6">
        <f t="shared" ca="1" si="138"/>
        <v>-2.6240806087078107E-4</v>
      </c>
      <c r="F1743">
        <f t="shared" ca="1" si="136"/>
        <v>1.0995837354685602E-2</v>
      </c>
      <c r="G1743">
        <f t="shared" ca="1" si="135"/>
        <v>1.3289027196588288</v>
      </c>
      <c r="H1743">
        <f t="shared" ca="1" si="139"/>
        <v>2.8190008172969843</v>
      </c>
    </row>
    <row r="1744" spans="1:8" x14ac:dyDescent="0.25">
      <c r="A1744" s="5">
        <v>42706</v>
      </c>
      <c r="B1744">
        <v>750.5</v>
      </c>
      <c r="C1744" s="6">
        <v>-3.4495896066999428E-3</v>
      </c>
      <c r="D1744" s="6">
        <f t="shared" ca="1" si="137"/>
        <v>-3.053900966732255E-2</v>
      </c>
      <c r="E1744" s="6">
        <f t="shared" ca="1" si="138"/>
        <v>-2.7089420060622607E-2</v>
      </c>
      <c r="F1744">
        <f t="shared" ca="1" si="136"/>
        <v>2.2244987983587983E-2</v>
      </c>
      <c r="G1744">
        <f t="shared" ca="1" si="135"/>
        <v>-1.7091883596217516</v>
      </c>
      <c r="H1744">
        <f t="shared" ca="1" si="139"/>
        <v>2.1805085860210141</v>
      </c>
    </row>
    <row r="1745" spans="1:8" x14ac:dyDescent="0.25">
      <c r="A1745" s="1">
        <v>42709</v>
      </c>
      <c r="B1745">
        <v>762.52002000000005</v>
      </c>
      <c r="C1745" s="6">
        <v>-1.60160159893405E-2</v>
      </c>
      <c r="D1745" s="6">
        <f t="shared" ca="1" si="137"/>
        <v>-5.9389955882940123E-3</v>
      </c>
      <c r="E1745" s="6">
        <f t="shared" ca="1" si="138"/>
        <v>1.0077020401046487E-2</v>
      </c>
      <c r="F1745">
        <f t="shared" ca="1" si="136"/>
        <v>2.8421983040635989E-2</v>
      </c>
      <c r="G1745">
        <f t="shared" ca="1" si="135"/>
        <v>-0.42058885522875955</v>
      </c>
      <c r="H1745">
        <f t="shared" ca="1" si="139"/>
        <v>2.7259621348477672</v>
      </c>
    </row>
    <row r="1746" spans="1:8" x14ac:dyDescent="0.25">
      <c r="A1746" s="5">
        <v>42710</v>
      </c>
      <c r="B1746">
        <v>759.10998500000005</v>
      </c>
      <c r="C1746" s="6">
        <v>4.472059631955622E-3</v>
      </c>
      <c r="D1746" s="6">
        <f t="shared" ca="1" si="137"/>
        <v>2.8111994947273176E-3</v>
      </c>
      <c r="E1746" s="6">
        <f t="shared" ca="1" si="138"/>
        <v>-1.6608601372283044E-3</v>
      </c>
      <c r="F1746">
        <f t="shared" ca="1" si="136"/>
        <v>1.1856381515406708E-2</v>
      </c>
      <c r="G1746">
        <f t="shared" ca="1" si="135"/>
        <v>0.36821528458585573</v>
      </c>
      <c r="H1746">
        <f t="shared" ca="1" si="139"/>
        <v>2.8170988462851683</v>
      </c>
    </row>
    <row r="1747" spans="1:8" x14ac:dyDescent="0.25">
      <c r="A1747" s="1">
        <v>42711</v>
      </c>
      <c r="B1747">
        <v>771.19000200000005</v>
      </c>
      <c r="C1747" s="6">
        <v>-1.5913394947637261E-2</v>
      </c>
      <c r="D1747" s="6">
        <f t="shared" ca="1" si="137"/>
        <v>-1.1079090083653724E-3</v>
      </c>
      <c r="E1747" s="6">
        <f t="shared" ca="1" si="138"/>
        <v>1.480548593927189E-2</v>
      </c>
      <c r="F1747">
        <f t="shared" ca="1" si="136"/>
        <v>9.375708028432083E-3</v>
      </c>
      <c r="G1747">
        <f t="shared" ca="1" si="135"/>
        <v>0.65148614625468382</v>
      </c>
      <c r="H1747">
        <f t="shared" ca="1" si="139"/>
        <v>2.6205381156271539</v>
      </c>
    </row>
    <row r="1748" spans="1:8" x14ac:dyDescent="0.25">
      <c r="A1748" s="5">
        <v>42712</v>
      </c>
      <c r="B1748">
        <v>776.419983</v>
      </c>
      <c r="C1748" s="6">
        <v>-6.7817022866434309E-3</v>
      </c>
      <c r="D1748" s="6">
        <f t="shared" ca="1" si="137"/>
        <v>5.2644882439688984E-3</v>
      </c>
      <c r="E1748" s="6">
        <f t="shared" ca="1" si="138"/>
        <v>1.204619053061233E-2</v>
      </c>
      <c r="F1748">
        <f t="shared" ca="1" si="136"/>
        <v>1.2525132607663738E-2</v>
      </c>
      <c r="G1748">
        <f t="shared" ca="1" si="135"/>
        <v>0.25946504091156702</v>
      </c>
      <c r="H1748">
        <f t="shared" ca="1" si="139"/>
        <v>2.6868532830043841</v>
      </c>
    </row>
    <row r="1749" spans="1:8" x14ac:dyDescent="0.25">
      <c r="A1749" s="1">
        <v>42713</v>
      </c>
      <c r="B1749">
        <v>789.28997800000002</v>
      </c>
      <c r="C1749" s="6">
        <v>-1.6576073879850176E-2</v>
      </c>
      <c r="D1749" s="6">
        <f t="shared" ca="1" si="137"/>
        <v>-1.0127515632769042E-2</v>
      </c>
      <c r="E1749" s="6">
        <f t="shared" ca="1" si="138"/>
        <v>6.4485582470811334E-3</v>
      </c>
      <c r="F1749">
        <f t="shared" ca="1" si="136"/>
        <v>8.4763631008610493E-3</v>
      </c>
      <c r="G1749">
        <f t="shared" ca="1" si="135"/>
        <v>-0.34891299116502389</v>
      </c>
      <c r="H1749">
        <f t="shared" ca="1" si="139"/>
        <v>2.7801015304811365</v>
      </c>
    </row>
    <row r="1750" spans="1:8" x14ac:dyDescent="0.25">
      <c r="A1750" s="5">
        <v>42716</v>
      </c>
      <c r="B1750">
        <v>789.27002000000005</v>
      </c>
      <c r="C1750" s="6">
        <v>2.5286017251284753E-5</v>
      </c>
      <c r="D1750" s="6">
        <f t="shared" ca="1" si="137"/>
        <v>2.9328977578304324E-3</v>
      </c>
      <c r="E1750" s="6">
        <f t="shared" ca="1" si="138"/>
        <v>2.9076117405791475E-3</v>
      </c>
      <c r="F1750">
        <f t="shared" ca="1" si="136"/>
        <v>8.948671854001073E-3</v>
      </c>
      <c r="G1750">
        <f t="shared" ca="1" si="135"/>
        <v>0.66922946251033855</v>
      </c>
      <c r="H1750">
        <f t="shared" ca="1" si="139"/>
        <v>2.8105319564508018</v>
      </c>
    </row>
    <row r="1751" spans="1:8" x14ac:dyDescent="0.25">
      <c r="A1751" s="1">
        <v>42717</v>
      </c>
      <c r="B1751">
        <v>796.09997599999997</v>
      </c>
      <c r="C1751" s="6">
        <v>-8.6535099863541305E-3</v>
      </c>
      <c r="D1751" s="6">
        <f t="shared" ca="1" si="137"/>
        <v>-1.1571714420871997E-2</v>
      </c>
      <c r="E1751" s="6">
        <f t="shared" ca="1" si="138"/>
        <v>-2.9182044345178668E-3</v>
      </c>
      <c r="F1751">
        <f t="shared" ca="1" si="136"/>
        <v>1.2737715492101691E-2</v>
      </c>
      <c r="G1751">
        <f t="shared" ca="1" si="135"/>
        <v>-0.32213390298971978</v>
      </c>
      <c r="H1751">
        <f t="shared" ca="1" si="139"/>
        <v>2.8124419549130799</v>
      </c>
    </row>
    <row r="1752" spans="1:8" x14ac:dyDescent="0.25">
      <c r="A1752" s="5">
        <v>42718</v>
      </c>
      <c r="B1752">
        <v>797.07000700000003</v>
      </c>
      <c r="C1752" s="6">
        <v>-1.2184788710508172E-3</v>
      </c>
      <c r="D1752" s="6">
        <f t="shared" ca="1" si="137"/>
        <v>6.1434197311115873E-4</v>
      </c>
      <c r="E1752" s="6">
        <f t="shared" ca="1" si="138"/>
        <v>1.832820844161976E-3</v>
      </c>
      <c r="F1752">
        <f t="shared" ca="1" si="136"/>
        <v>9.0174544424014499E-3</v>
      </c>
      <c r="G1752">
        <f t="shared" ca="1" si="135"/>
        <v>6.6880550978813402E-2</v>
      </c>
      <c r="H1752">
        <f t="shared" ca="1" si="139"/>
        <v>2.8153906066870729</v>
      </c>
    </row>
    <row r="1753" spans="1:8" x14ac:dyDescent="0.25">
      <c r="A1753" s="1">
        <v>42719</v>
      </c>
      <c r="B1753">
        <v>797.84997599999997</v>
      </c>
      <c r="C1753" s="6">
        <v>-9.7854516309749595E-4</v>
      </c>
      <c r="D1753" s="6">
        <f t="shared" ca="1" si="137"/>
        <v>-5.250983674795321E-3</v>
      </c>
      <c r="E1753" s="6">
        <f t="shared" ca="1" si="138"/>
        <v>-4.2724385116978247E-3</v>
      </c>
      <c r="F1753">
        <f t="shared" ca="1" si="136"/>
        <v>7.1638288814409009E-3</v>
      </c>
      <c r="G1753">
        <f t="shared" ca="1" si="135"/>
        <v>-0.18873492303346448</v>
      </c>
      <c r="H1753">
        <f t="shared" ca="1" si="139"/>
        <v>2.8043051373501084</v>
      </c>
    </row>
    <row r="1754" spans="1:8" x14ac:dyDescent="0.25">
      <c r="A1754" s="5">
        <v>42720</v>
      </c>
      <c r="B1754">
        <v>790.79998799999998</v>
      </c>
      <c r="C1754" s="6">
        <v>8.8362326403077871E-3</v>
      </c>
      <c r="D1754" s="6">
        <f t="shared" ca="1" si="137"/>
        <v>-1.0361582483614894E-2</v>
      </c>
      <c r="E1754" s="6">
        <f t="shared" ca="1" si="138"/>
        <v>-1.9197815123922681E-2</v>
      </c>
      <c r="F1754">
        <f t="shared" ca="1" si="136"/>
        <v>7.5641150807152727E-3</v>
      </c>
      <c r="G1754">
        <f t="shared" ca="1" si="135"/>
        <v>-1.2972531621437848</v>
      </c>
      <c r="H1754">
        <f t="shared" ca="1" si="139"/>
        <v>2.5002017604163451</v>
      </c>
    </row>
    <row r="1755" spans="1:8" x14ac:dyDescent="0.25">
      <c r="A1755" s="1">
        <v>42723</v>
      </c>
      <c r="B1755">
        <v>794.20001200000002</v>
      </c>
      <c r="C1755" s="6">
        <v>-4.2994740156723802E-3</v>
      </c>
      <c r="D1755" s="6">
        <f t="shared" ca="1" si="137"/>
        <v>-1.6200398104079351E-2</v>
      </c>
      <c r="E1755" s="6">
        <f t="shared" ca="1" si="138"/>
        <v>-1.1900924088406969E-2</v>
      </c>
      <c r="F1755">
        <f t="shared" ca="1" si="136"/>
        <v>2.1679256657651757E-2</v>
      </c>
      <c r="G1755">
        <f t="shared" ca="1" si="135"/>
        <v>-0.72694623329658958</v>
      </c>
      <c r="H1755">
        <f t="shared" ca="1" si="139"/>
        <v>2.6979981256931604</v>
      </c>
    </row>
    <row r="1756" spans="1:8" x14ac:dyDescent="0.25">
      <c r="A1756" s="5">
        <v>42724</v>
      </c>
      <c r="B1756">
        <v>796.419983</v>
      </c>
      <c r="C1756" s="6">
        <v>-2.7952291191856425E-3</v>
      </c>
      <c r="D1756" s="6">
        <f t="shared" ca="1" si="137"/>
        <v>1.0245348898785013E-2</v>
      </c>
      <c r="E1756" s="6">
        <f t="shared" ca="1" si="138"/>
        <v>1.3040578017970655E-2</v>
      </c>
      <c r="F1756">
        <f t="shared" ca="1" si="136"/>
        <v>1.4393000672012438E-2</v>
      </c>
      <c r="G1756">
        <f t="shared" ca="1" si="135"/>
        <v>0.43522503581237115</v>
      </c>
      <c r="H1756">
        <f t="shared" ca="1" si="139"/>
        <v>2.6645035619029471</v>
      </c>
    </row>
    <row r="1757" spans="1:8" x14ac:dyDescent="0.25">
      <c r="A1757" s="1">
        <v>42725</v>
      </c>
      <c r="B1757">
        <v>794.55999799999995</v>
      </c>
      <c r="C1757" s="6">
        <v>2.3354323594364803E-3</v>
      </c>
      <c r="D1757" s="6">
        <f t="shared" ca="1" si="137"/>
        <v>-1.1006298269006575E-2</v>
      </c>
      <c r="E1757" s="6">
        <f t="shared" ca="1" si="138"/>
        <v>-1.3341730628443056E-2</v>
      </c>
      <c r="F1757">
        <f t="shared" ca="1" si="136"/>
        <v>1.02765086655507E-2</v>
      </c>
      <c r="G1757">
        <f t="shared" ca="1" si="135"/>
        <v>-0.88250733275713467</v>
      </c>
      <c r="H1757">
        <f t="shared" ca="1" si="139"/>
        <v>2.666388217893835</v>
      </c>
    </row>
    <row r="1758" spans="1:8" x14ac:dyDescent="0.25">
      <c r="A1758" s="5">
        <v>42726</v>
      </c>
      <c r="B1758">
        <v>791.26000999999997</v>
      </c>
      <c r="C1758" s="6">
        <v>4.1532269536679912E-3</v>
      </c>
      <c r="D1758" s="6">
        <f t="shared" ca="1" si="137"/>
        <v>7.5287154310844078E-3</v>
      </c>
      <c r="E1758" s="6">
        <f t="shared" ca="1" si="138"/>
        <v>3.3754884774164166E-3</v>
      </c>
      <c r="F1758">
        <f t="shared" ca="1" si="136"/>
        <v>1.5707480238866735E-2</v>
      </c>
      <c r="G1758">
        <f t="shared" ca="1" si="135"/>
        <v>0.55948417544547369</v>
      </c>
      <c r="H1758">
        <f t="shared" ca="1" si="139"/>
        <v>2.8077799367145917</v>
      </c>
    </row>
    <row r="1759" spans="1:8" x14ac:dyDescent="0.25">
      <c r="A1759" s="1">
        <v>42727</v>
      </c>
      <c r="B1759">
        <v>789.90997300000004</v>
      </c>
      <c r="C1759" s="6">
        <v>1.7061863141547232E-3</v>
      </c>
      <c r="D1759" s="6">
        <f t="shared" ca="1" si="137"/>
        <v>2.9966521942501488E-3</v>
      </c>
      <c r="E1759" s="6">
        <f t="shared" ca="1" si="138"/>
        <v>1.2904658800954255E-3</v>
      </c>
      <c r="F1759">
        <f t="shared" ca="1" si="136"/>
        <v>1.1792421982163194E-2</v>
      </c>
      <c r="G1759">
        <f t="shared" ca="1" si="135"/>
        <v>0.16488031737396108</v>
      </c>
      <c r="H1759">
        <f t="shared" ca="1" si="139"/>
        <v>2.817068354011576</v>
      </c>
    </row>
    <row r="1760" spans="1:8" x14ac:dyDescent="0.25">
      <c r="A1760" s="5">
        <v>42731</v>
      </c>
      <c r="B1760">
        <v>791.54998799999998</v>
      </c>
      <c r="C1760" s="6">
        <v>-2.0762049550676434E-3</v>
      </c>
      <c r="D1760" s="6">
        <f t="shared" ca="1" si="137"/>
        <v>-6.079690845497465E-3</v>
      </c>
      <c r="E1760" s="6">
        <f t="shared" ca="1" si="138"/>
        <v>-4.0034858904298212E-3</v>
      </c>
      <c r="F1760">
        <f t="shared" ca="1" si="136"/>
        <v>7.7890909404782728E-3</v>
      </c>
      <c r="G1760">
        <f t="shared" ca="1" si="135"/>
        <v>-1.0207846182111606</v>
      </c>
      <c r="H1760">
        <f t="shared" ca="1" si="139"/>
        <v>2.8061787073253801</v>
      </c>
    </row>
    <row r="1761" spans="1:8" x14ac:dyDescent="0.25">
      <c r="A1761" s="1">
        <v>42732</v>
      </c>
      <c r="B1761">
        <v>785.04998799999998</v>
      </c>
      <c r="C1761" s="6">
        <v>8.2117365909176159E-3</v>
      </c>
      <c r="D1761" s="6">
        <f t="shared" ca="1" si="137"/>
        <v>-1.4680963024594094E-2</v>
      </c>
      <c r="E1761" s="6">
        <f t="shared" ca="1" si="138"/>
        <v>-2.289269961551171E-2</v>
      </c>
      <c r="F1761">
        <f t="shared" ca="1" si="136"/>
        <v>1.7600112256241456E-2</v>
      </c>
      <c r="G1761">
        <f t="shared" ca="1" si="135"/>
        <v>-0.87781614751503556</v>
      </c>
      <c r="H1761">
        <f t="shared" ca="1" si="139"/>
        <v>2.3642041412946444</v>
      </c>
    </row>
    <row r="1762" spans="1:8" x14ac:dyDescent="0.25">
      <c r="A1762" s="5">
        <v>42733</v>
      </c>
      <c r="B1762">
        <v>782.78997800000002</v>
      </c>
      <c r="C1762" s="6">
        <v>2.878810310866428E-3</v>
      </c>
      <c r="D1762" s="6">
        <f t="shared" ca="1" si="137"/>
        <v>3.2368836039755691E-3</v>
      </c>
      <c r="E1762" s="6">
        <f t="shared" ca="1" si="138"/>
        <v>3.5807329310914111E-4</v>
      </c>
      <c r="F1762">
        <f t="shared" ca="1" si="136"/>
        <v>1.6050186273310257E-2</v>
      </c>
      <c r="G1762">
        <f t="shared" ca="1" si="135"/>
        <v>0.25994690756857702</v>
      </c>
      <c r="H1762">
        <f t="shared" ca="1" si="139"/>
        <v>2.8187392088935872</v>
      </c>
    </row>
    <row r="1763" spans="1:8" ht="15.75" thickBot="1" x14ac:dyDescent="0.3">
      <c r="A1763" s="11">
        <v>42734</v>
      </c>
      <c r="B1763">
        <v>771.82000700000003</v>
      </c>
      <c r="C1763" s="6">
        <v>1.4013938998079491E-2</v>
      </c>
      <c r="D1763" s="6">
        <f t="shared" ca="1" si="137"/>
        <v>-2.732955026948702E-3</v>
      </c>
      <c r="E1763" s="6">
        <f t="shared" ca="1" si="138"/>
        <v>-1.6746894025028193E-2</v>
      </c>
      <c r="F1763">
        <f t="shared" ca="1" si="136"/>
        <v>8.8488026370959136E-3</v>
      </c>
      <c r="G1763">
        <f t="shared" ca="1" si="135"/>
        <v>-0.72697489991190511</v>
      </c>
      <c r="H1763">
        <f t="shared" ca="1" si="139"/>
        <v>2.5771200644051135</v>
      </c>
    </row>
    <row r="1764" spans="1:8" x14ac:dyDescent="0.25">
      <c r="D1764" s="6">
        <f t="shared" si="137"/>
        <v>1.297299719689654E-3</v>
      </c>
      <c r="E1764" s="6">
        <f>$D1764-$C1764</f>
        <v>1.297299719689654E-3</v>
      </c>
    </row>
  </sheetData>
  <conditionalFormatting sqref="J3:J14">
    <cfRule type="containsBlanks" dxfId="3" priority="3">
      <formula>LEN(TRIM(J3))=0</formula>
    </cfRule>
    <cfRule type="notContainsBlanks" dxfId="2" priority="4">
      <formula>LEN(TRIM(J3))&gt;0</formula>
    </cfRule>
  </conditionalFormatting>
  <conditionalFormatting sqref="A1:H1">
    <cfRule type="containsBlanks" dxfId="1" priority="1">
      <formula>LEN(TRIM(A1))=0</formula>
    </cfRule>
    <cfRule type="notContainsBlanks" dxfId="0" priority="2">
      <formula>LEN(TRIM(A1))&gt;0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_Solver">
                <anchor moveWithCells="1" sizeWithCells="1">
                  <from>
                    <xdr:col>12</xdr:col>
                    <xdr:colOff>171450</xdr:colOff>
                    <xdr:row>1</xdr:row>
                    <xdr:rowOff>38100</xdr:rowOff>
                  </from>
                  <to>
                    <xdr:col>16</xdr:col>
                    <xdr:colOff>200025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38D61-BE48-4C34-B715-B66181E6153C}">
  <sheetPr codeName="main"/>
  <dimension ref="C2:P1763"/>
  <sheetViews>
    <sheetView showGridLines="0" zoomScale="70" zoomScaleNormal="70" workbookViewId="0">
      <selection activeCell="G39" sqref="G39"/>
    </sheetView>
  </sheetViews>
  <sheetFormatPr baseColWidth="10" defaultRowHeight="15" x14ac:dyDescent="0.25"/>
  <cols>
    <col min="2" max="2" width="8.140625" customWidth="1"/>
    <col min="3" max="3" width="18.140625" customWidth="1"/>
    <col min="9" max="9" width="15.42578125" customWidth="1"/>
    <col min="11" max="11" width="14.85546875" customWidth="1"/>
    <col min="13" max="13" width="15" customWidth="1"/>
  </cols>
  <sheetData>
    <row r="2" spans="3:16" ht="15.75" thickBot="1" x14ac:dyDescent="0.3">
      <c r="M2" s="1"/>
    </row>
    <row r="3" spans="3:16" ht="24" thickBot="1" x14ac:dyDescent="0.4">
      <c r="C3" s="86" t="s">
        <v>30</v>
      </c>
      <c r="D3" s="87"/>
      <c r="E3" s="88"/>
      <c r="M3" s="1"/>
    </row>
    <row r="4" spans="3:16" ht="15.75" thickBot="1" x14ac:dyDescent="0.3"/>
    <row r="5" spans="3:16" ht="19.5" thickBot="1" x14ac:dyDescent="0.35">
      <c r="H5" s="94" t="s">
        <v>37</v>
      </c>
      <c r="I5" s="95"/>
      <c r="J5" s="95"/>
      <c r="K5" s="95"/>
      <c r="L5" s="95"/>
      <c r="M5" s="95"/>
      <c r="N5" s="95"/>
      <c r="O5" s="95"/>
      <c r="P5" s="96"/>
    </row>
    <row r="6" spans="3:16" ht="15.75" thickBot="1" x14ac:dyDescent="0.3">
      <c r="H6" s="21"/>
      <c r="I6" s="22"/>
      <c r="J6" s="22"/>
      <c r="K6" s="22"/>
      <c r="L6" s="22"/>
      <c r="M6" s="22"/>
      <c r="N6" s="22"/>
      <c r="O6" s="22"/>
      <c r="P6" s="23"/>
    </row>
    <row r="7" spans="3:16" ht="15.75" thickBot="1" x14ac:dyDescent="0.3">
      <c r="C7" s="89" t="s">
        <v>31</v>
      </c>
      <c r="D7" s="90"/>
      <c r="E7" s="91"/>
      <c r="H7" s="24"/>
      <c r="I7" s="25"/>
      <c r="J7" s="25"/>
      <c r="K7" s="25"/>
      <c r="L7" s="25"/>
      <c r="M7" s="25"/>
      <c r="N7" s="25"/>
      <c r="O7" s="25"/>
      <c r="P7" s="26"/>
    </row>
    <row r="8" spans="3:16" x14ac:dyDescent="0.25">
      <c r="H8" s="24"/>
      <c r="I8" s="25"/>
      <c r="J8" s="25"/>
      <c r="K8" s="27" t="s">
        <v>27</v>
      </c>
      <c r="L8" s="28" t="s">
        <v>28</v>
      </c>
      <c r="M8" s="29" t="s">
        <v>29</v>
      </c>
      <c r="N8" s="25"/>
      <c r="O8" s="25"/>
      <c r="P8" s="26"/>
    </row>
    <row r="9" spans="3:16" ht="15.75" thickBot="1" x14ac:dyDescent="0.3">
      <c r="H9" s="24"/>
      <c r="I9" s="25"/>
      <c r="J9" s="25"/>
      <c r="K9" s="30" t="s">
        <v>28</v>
      </c>
      <c r="L9" s="31">
        <v>103</v>
      </c>
      <c r="M9" s="32">
        <v>80</v>
      </c>
      <c r="N9" s="25"/>
      <c r="O9" s="25"/>
      <c r="P9" s="26"/>
    </row>
    <row r="10" spans="3:16" ht="15.75" thickBot="1" x14ac:dyDescent="0.3">
      <c r="D10" s="15" t="s">
        <v>32</v>
      </c>
      <c r="E10" s="16">
        <v>2</v>
      </c>
      <c r="H10" s="24"/>
      <c r="I10" s="33"/>
      <c r="J10" s="33"/>
      <c r="K10" s="34" t="s">
        <v>29</v>
      </c>
      <c r="L10" s="35">
        <v>79</v>
      </c>
      <c r="M10" s="36">
        <v>87</v>
      </c>
      <c r="N10" s="37"/>
      <c r="O10" s="37"/>
      <c r="P10" s="26"/>
    </row>
    <row r="11" spans="3:16" ht="15.75" thickBot="1" x14ac:dyDescent="0.3">
      <c r="D11" s="8"/>
      <c r="E11" s="8"/>
      <c r="H11" s="24"/>
      <c r="I11" s="33"/>
      <c r="J11" s="33"/>
      <c r="K11" s="33"/>
      <c r="L11" s="25"/>
      <c r="M11" s="37"/>
      <c r="N11" s="37"/>
      <c r="O11" s="37"/>
      <c r="P11" s="26"/>
    </row>
    <row r="12" spans="3:16" x14ac:dyDescent="0.25">
      <c r="C12" s="92" t="s">
        <v>33</v>
      </c>
      <c r="D12" s="17" t="s">
        <v>34</v>
      </c>
      <c r="E12" s="18">
        <v>40182</v>
      </c>
      <c r="H12" s="24"/>
      <c r="I12" s="33"/>
      <c r="J12" s="33"/>
      <c r="K12" s="33"/>
      <c r="L12" s="25"/>
      <c r="M12" s="37"/>
      <c r="N12" s="37"/>
      <c r="O12" s="37"/>
      <c r="P12" s="26"/>
    </row>
    <row r="13" spans="3:16" ht="15.75" thickBot="1" x14ac:dyDescent="0.3">
      <c r="C13" s="93"/>
      <c r="D13" s="19" t="s">
        <v>35</v>
      </c>
      <c r="E13" s="20">
        <v>42223</v>
      </c>
      <c r="H13" s="24"/>
      <c r="I13" s="25"/>
      <c r="J13" s="25"/>
      <c r="K13" s="25"/>
      <c r="L13" s="25"/>
      <c r="M13" s="25"/>
      <c r="N13" s="25"/>
      <c r="O13" s="25"/>
      <c r="P13" s="26"/>
    </row>
    <row r="14" spans="3:16" ht="15.75" thickBot="1" x14ac:dyDescent="0.3">
      <c r="D14" s="8"/>
      <c r="H14" s="38"/>
      <c r="I14" s="39"/>
      <c r="J14" s="39"/>
      <c r="K14" s="39"/>
      <c r="L14" s="39"/>
      <c r="M14" s="39"/>
      <c r="N14" s="39"/>
      <c r="O14" s="39"/>
      <c r="P14" s="40"/>
    </row>
    <row r="15" spans="3:16" x14ac:dyDescent="0.25">
      <c r="C15" s="92" t="s">
        <v>36</v>
      </c>
      <c r="D15" s="17" t="s">
        <v>34</v>
      </c>
      <c r="E15" s="18">
        <v>42226</v>
      </c>
      <c r="H15" s="41"/>
      <c r="I15" s="41"/>
      <c r="J15" s="41"/>
      <c r="K15" s="41"/>
      <c r="L15" s="41"/>
      <c r="M15" s="41"/>
      <c r="N15" s="41"/>
      <c r="O15" s="41"/>
      <c r="P15" s="41"/>
    </row>
    <row r="16" spans="3:16" ht="15.75" thickBot="1" x14ac:dyDescent="0.3">
      <c r="C16" s="93"/>
      <c r="D16" s="19" t="s">
        <v>35</v>
      </c>
      <c r="E16" s="20">
        <v>42734</v>
      </c>
      <c r="H16" s="41"/>
      <c r="I16" s="41"/>
      <c r="J16" s="41"/>
      <c r="K16" s="41"/>
      <c r="L16" s="41"/>
      <c r="M16" s="41"/>
      <c r="N16" s="41"/>
      <c r="O16" s="41"/>
      <c r="P16" s="41"/>
    </row>
    <row r="17" spans="3:16" x14ac:dyDescent="0.25">
      <c r="M17" s="1"/>
    </row>
    <row r="18" spans="3:16" ht="15.75" thickBot="1" x14ac:dyDescent="0.3">
      <c r="M18" s="1"/>
    </row>
    <row r="19" spans="3:16" ht="15.75" thickBot="1" x14ac:dyDescent="0.3">
      <c r="C19" s="100" t="s">
        <v>56</v>
      </c>
      <c r="D19" s="101"/>
      <c r="E19" s="101"/>
      <c r="F19" s="102"/>
      <c r="M19" s="1"/>
    </row>
    <row r="20" spans="3:16" x14ac:dyDescent="0.25">
      <c r="M20" s="1"/>
    </row>
    <row r="21" spans="3:16" x14ac:dyDescent="0.25">
      <c r="M21" s="1"/>
    </row>
    <row r="23" spans="3:16" ht="15.75" thickBot="1" x14ac:dyDescent="0.3"/>
    <row r="24" spans="3:16" ht="19.5" thickBot="1" x14ac:dyDescent="0.35">
      <c r="H24" s="94" t="s">
        <v>57</v>
      </c>
      <c r="I24" s="95"/>
      <c r="J24" s="95"/>
      <c r="K24" s="95"/>
      <c r="L24" s="95"/>
      <c r="M24" s="95"/>
      <c r="N24" s="95"/>
      <c r="O24" s="95"/>
      <c r="P24" s="96"/>
    </row>
    <row r="25" spans="3:16" ht="15.75" thickBot="1" x14ac:dyDescent="0.3">
      <c r="H25" s="21"/>
      <c r="I25" s="22"/>
      <c r="J25" s="22"/>
      <c r="K25" s="22"/>
      <c r="L25" s="22"/>
      <c r="M25" s="22"/>
      <c r="N25" s="22"/>
      <c r="O25" s="22"/>
      <c r="P25" s="23"/>
    </row>
    <row r="26" spans="3:16" ht="24" thickBot="1" x14ac:dyDescent="0.4">
      <c r="C26" s="86" t="s">
        <v>58</v>
      </c>
      <c r="D26" s="87"/>
      <c r="E26" s="88"/>
      <c r="H26" s="24"/>
      <c r="I26" s="25"/>
      <c r="J26" s="25"/>
      <c r="K26" s="25"/>
      <c r="L26" s="25"/>
      <c r="M26" s="25"/>
      <c r="N26" s="25"/>
      <c r="O26" s="25"/>
      <c r="P26" s="26"/>
    </row>
    <row r="27" spans="3:16" x14ac:dyDescent="0.25">
      <c r="H27" s="24"/>
      <c r="I27" s="97" t="s">
        <v>59</v>
      </c>
      <c r="J27" s="98"/>
      <c r="K27" s="99"/>
      <c r="L27" s="25"/>
      <c r="M27" s="97" t="s">
        <v>60</v>
      </c>
      <c r="N27" s="98"/>
      <c r="O27" s="99"/>
      <c r="P27" s="26"/>
    </row>
    <row r="28" spans="3:16" x14ac:dyDescent="0.25">
      <c r="H28" s="24"/>
      <c r="I28" s="25"/>
      <c r="J28" s="25"/>
      <c r="K28" s="25"/>
      <c r="L28" s="25"/>
      <c r="M28" s="25"/>
      <c r="N28" s="25"/>
      <c r="O28" s="25"/>
      <c r="P28" s="26"/>
    </row>
    <row r="29" spans="3:16" ht="15.75" thickBot="1" x14ac:dyDescent="0.3">
      <c r="H29" s="24"/>
      <c r="I29" s="27" t="s">
        <v>27</v>
      </c>
      <c r="J29" s="28" t="s">
        <v>28</v>
      </c>
      <c r="K29" s="29" t="s">
        <v>29</v>
      </c>
      <c r="L29" s="25"/>
      <c r="M29" s="75" t="s">
        <v>27</v>
      </c>
      <c r="N29" s="76" t="s">
        <v>28</v>
      </c>
      <c r="O29" s="77" t="s">
        <v>29</v>
      </c>
      <c r="P29" s="26"/>
    </row>
    <row r="30" spans="3:16" ht="15.75" thickBot="1" x14ac:dyDescent="0.3">
      <c r="C30" s="89" t="s">
        <v>31</v>
      </c>
      <c r="D30" s="90"/>
      <c r="E30" s="91"/>
      <c r="H30" s="24"/>
      <c r="I30" s="30" t="s">
        <v>28</v>
      </c>
      <c r="J30" s="8">
        <v>81</v>
      </c>
      <c r="K30" s="78">
        <v>101</v>
      </c>
      <c r="L30" s="25"/>
      <c r="M30" s="79" t="s">
        <v>28</v>
      </c>
      <c r="N30" s="4">
        <v>121</v>
      </c>
      <c r="O30" s="80">
        <v>61</v>
      </c>
      <c r="P30" s="26"/>
    </row>
    <row r="31" spans="3:16" x14ac:dyDescent="0.25">
      <c r="H31" s="24"/>
      <c r="I31" s="34" t="s">
        <v>29</v>
      </c>
      <c r="J31" s="81">
        <v>75</v>
      </c>
      <c r="K31" s="82">
        <v>91</v>
      </c>
      <c r="L31" s="25"/>
      <c r="M31" s="83" t="s">
        <v>29</v>
      </c>
      <c r="N31" s="84">
        <v>102</v>
      </c>
      <c r="O31" s="85">
        <v>66</v>
      </c>
      <c r="P31" s="26"/>
    </row>
    <row r="32" spans="3:16" ht="15.75" thickBot="1" x14ac:dyDescent="0.3">
      <c r="H32" s="24"/>
      <c r="I32" s="25"/>
      <c r="J32" s="25"/>
      <c r="K32" s="25"/>
      <c r="L32" s="25"/>
      <c r="M32" s="25"/>
      <c r="N32" s="25"/>
      <c r="O32" s="25"/>
      <c r="P32" s="26"/>
    </row>
    <row r="33" spans="3:16" x14ac:dyDescent="0.25">
      <c r="D33" s="17" t="s">
        <v>61</v>
      </c>
      <c r="E33" s="52">
        <v>2</v>
      </c>
      <c r="H33" s="24"/>
      <c r="I33" s="25"/>
      <c r="J33" s="25"/>
      <c r="K33" s="25"/>
      <c r="L33" s="25"/>
      <c r="M33" s="25"/>
      <c r="N33" s="25"/>
      <c r="O33" s="25"/>
      <c r="P33" s="26"/>
    </row>
    <row r="34" spans="3:16" ht="15.75" thickBot="1" x14ac:dyDescent="0.3">
      <c r="D34" s="19" t="s">
        <v>62</v>
      </c>
      <c r="E34" s="67">
        <v>3</v>
      </c>
      <c r="H34" s="24"/>
      <c r="I34" s="25"/>
      <c r="J34" s="25"/>
      <c r="K34" s="25"/>
      <c r="L34" s="25"/>
      <c r="M34" s="25"/>
      <c r="N34" s="25"/>
      <c r="O34" s="25"/>
      <c r="P34" s="26"/>
    </row>
    <row r="35" spans="3:16" x14ac:dyDescent="0.25">
      <c r="E35" s="8"/>
      <c r="H35" s="24"/>
      <c r="I35" s="25"/>
      <c r="J35" s="25"/>
      <c r="K35" s="25"/>
      <c r="L35" s="25"/>
      <c r="M35" s="25"/>
      <c r="N35" s="25"/>
      <c r="O35" s="25"/>
      <c r="P35" s="26"/>
    </row>
    <row r="36" spans="3:16" ht="15.75" thickBot="1" x14ac:dyDescent="0.3">
      <c r="E36" s="8"/>
      <c r="H36" s="24"/>
      <c r="I36" s="25"/>
      <c r="J36" s="25"/>
      <c r="K36" s="25"/>
      <c r="L36" s="25"/>
      <c r="M36" s="25"/>
      <c r="N36" s="25"/>
      <c r="O36" s="25"/>
      <c r="P36" s="26"/>
    </row>
    <row r="37" spans="3:16" x14ac:dyDescent="0.25">
      <c r="C37" s="92" t="s">
        <v>33</v>
      </c>
      <c r="D37" s="17" t="s">
        <v>34</v>
      </c>
      <c r="E37" s="18">
        <v>40207</v>
      </c>
      <c r="H37" s="24"/>
      <c r="I37" s="25"/>
      <c r="J37" s="25"/>
      <c r="K37" s="25"/>
      <c r="L37" s="25"/>
      <c r="M37" s="25"/>
      <c r="N37" s="25"/>
      <c r="O37" s="25"/>
      <c r="P37" s="26"/>
    </row>
    <row r="38" spans="3:16" ht="15.75" thickBot="1" x14ac:dyDescent="0.3">
      <c r="C38" s="93"/>
      <c r="D38" s="19" t="s">
        <v>35</v>
      </c>
      <c r="E38" s="20">
        <v>42223</v>
      </c>
      <c r="H38" s="24"/>
      <c r="I38" s="25"/>
      <c r="J38" s="25"/>
      <c r="K38" s="25"/>
      <c r="L38" s="25"/>
      <c r="M38" s="25"/>
      <c r="N38" s="25"/>
      <c r="O38" s="25"/>
      <c r="P38" s="26"/>
    </row>
    <row r="39" spans="3:16" ht="15.75" thickBot="1" x14ac:dyDescent="0.3">
      <c r="D39" s="8"/>
      <c r="H39" s="24"/>
      <c r="I39" s="25"/>
      <c r="J39" s="25"/>
      <c r="K39" s="25"/>
      <c r="L39" s="25"/>
      <c r="M39" s="25"/>
      <c r="N39" s="25"/>
      <c r="O39" s="25"/>
      <c r="P39" s="26"/>
    </row>
    <row r="40" spans="3:16" x14ac:dyDescent="0.25">
      <c r="C40" s="92" t="s">
        <v>36</v>
      </c>
      <c r="D40" s="17" t="s">
        <v>34</v>
      </c>
      <c r="E40" s="18">
        <v>42226</v>
      </c>
      <c r="H40" s="24"/>
      <c r="I40" s="25"/>
      <c r="J40" s="25"/>
      <c r="K40" s="25"/>
      <c r="L40" s="25"/>
      <c r="M40" s="25"/>
      <c r="N40" s="25"/>
      <c r="O40" s="25"/>
      <c r="P40" s="26"/>
    </row>
    <row r="41" spans="3:16" ht="15.75" thickBot="1" x14ac:dyDescent="0.3">
      <c r="C41" s="93"/>
      <c r="D41" s="19" t="s">
        <v>35</v>
      </c>
      <c r="E41" s="20">
        <v>42734</v>
      </c>
      <c r="H41" s="24"/>
      <c r="I41" s="25"/>
      <c r="J41" s="25"/>
      <c r="K41" s="25"/>
      <c r="L41" s="25"/>
      <c r="M41" s="25"/>
      <c r="N41" s="25"/>
      <c r="O41" s="25"/>
      <c r="P41" s="26"/>
    </row>
    <row r="42" spans="3:16" x14ac:dyDescent="0.25">
      <c r="H42" s="24"/>
      <c r="I42" s="25"/>
      <c r="J42" s="25"/>
      <c r="K42" s="25"/>
      <c r="L42" s="25"/>
      <c r="M42" s="25"/>
      <c r="N42" s="25"/>
      <c r="O42" s="25"/>
      <c r="P42" s="26"/>
    </row>
    <row r="43" spans="3:16" x14ac:dyDescent="0.25">
      <c r="H43" s="24"/>
      <c r="I43" s="25"/>
      <c r="J43" s="25"/>
      <c r="K43" s="25"/>
      <c r="L43" s="25"/>
      <c r="M43" s="25"/>
      <c r="N43" s="25"/>
      <c r="O43" s="25"/>
      <c r="P43" s="26"/>
    </row>
    <row r="44" spans="3:16" x14ac:dyDescent="0.25">
      <c r="H44" s="24"/>
      <c r="I44" s="25"/>
      <c r="J44" s="25"/>
      <c r="K44" s="25"/>
      <c r="L44" s="25"/>
      <c r="M44" s="25"/>
      <c r="N44" s="25"/>
      <c r="O44" s="25"/>
      <c r="P44" s="26"/>
    </row>
    <row r="45" spans="3:16" ht="15.75" thickBot="1" x14ac:dyDescent="0.3">
      <c r="H45" s="38"/>
      <c r="I45" s="39"/>
      <c r="J45" s="39"/>
      <c r="K45" s="39"/>
      <c r="L45" s="39"/>
      <c r="M45" s="39"/>
      <c r="N45" s="39"/>
      <c r="O45" s="39"/>
      <c r="P45" s="40"/>
    </row>
    <row r="50" spans="13:13" x14ac:dyDescent="0.25">
      <c r="M50" s="1"/>
    </row>
    <row r="51" spans="13:13" x14ac:dyDescent="0.25">
      <c r="M51" s="1"/>
    </row>
    <row r="52" spans="13:13" x14ac:dyDescent="0.25">
      <c r="M52" s="1"/>
    </row>
    <row r="53" spans="13:13" x14ac:dyDescent="0.25">
      <c r="M53" s="1"/>
    </row>
    <row r="54" spans="13:13" x14ac:dyDescent="0.25">
      <c r="M54" s="1"/>
    </row>
    <row r="55" spans="13:13" x14ac:dyDescent="0.25">
      <c r="M55" s="1"/>
    </row>
    <row r="56" spans="13:13" x14ac:dyDescent="0.25">
      <c r="M56" s="1"/>
    </row>
    <row r="57" spans="13:13" x14ac:dyDescent="0.25">
      <c r="M57" s="1"/>
    </row>
    <row r="58" spans="13:13" x14ac:dyDescent="0.25">
      <c r="M58" s="1"/>
    </row>
    <row r="59" spans="13:13" x14ac:dyDescent="0.25">
      <c r="M59" s="1"/>
    </row>
    <row r="60" spans="13:13" x14ac:dyDescent="0.25">
      <c r="M60" s="1"/>
    </row>
    <row r="61" spans="13:13" x14ac:dyDescent="0.25">
      <c r="M61" s="1"/>
    </row>
    <row r="62" spans="13:13" x14ac:dyDescent="0.25">
      <c r="M62" s="1"/>
    </row>
    <row r="63" spans="13:13" x14ac:dyDescent="0.25">
      <c r="M63" s="1"/>
    </row>
    <row r="64" spans="13:13" x14ac:dyDescent="0.25">
      <c r="M64" s="1"/>
    </row>
    <row r="65" spans="13:13" x14ac:dyDescent="0.25">
      <c r="M65" s="1"/>
    </row>
    <row r="66" spans="13:13" x14ac:dyDescent="0.25">
      <c r="M66" s="1"/>
    </row>
    <row r="67" spans="13:13" x14ac:dyDescent="0.25">
      <c r="M67" s="1"/>
    </row>
    <row r="68" spans="13:13" x14ac:dyDescent="0.25">
      <c r="M68" s="1"/>
    </row>
    <row r="69" spans="13:13" x14ac:dyDescent="0.25">
      <c r="M69" s="1"/>
    </row>
    <row r="70" spans="13:13" x14ac:dyDescent="0.25">
      <c r="M70" s="1"/>
    </row>
    <row r="71" spans="13:13" x14ac:dyDescent="0.25">
      <c r="M71" s="1"/>
    </row>
    <row r="72" spans="13:13" x14ac:dyDescent="0.25">
      <c r="M72" s="1"/>
    </row>
    <row r="73" spans="13:13" x14ac:dyDescent="0.25">
      <c r="M73" s="1"/>
    </row>
    <row r="74" spans="13:13" x14ac:dyDescent="0.25">
      <c r="M74" s="1"/>
    </row>
    <row r="75" spans="13:13" x14ac:dyDescent="0.25">
      <c r="M75" s="1"/>
    </row>
    <row r="76" spans="13:13" x14ac:dyDescent="0.25">
      <c r="M76" s="1"/>
    </row>
    <row r="77" spans="13:13" x14ac:dyDescent="0.25">
      <c r="M77" s="1"/>
    </row>
    <row r="78" spans="13:13" x14ac:dyDescent="0.25">
      <c r="M78" s="1"/>
    </row>
    <row r="79" spans="13:13" x14ac:dyDescent="0.25">
      <c r="M79" s="1"/>
    </row>
    <row r="80" spans="13:13" x14ac:dyDescent="0.25">
      <c r="M80" s="1"/>
    </row>
    <row r="81" spans="13:13" x14ac:dyDescent="0.25">
      <c r="M81" s="1"/>
    </row>
    <row r="82" spans="13:13" x14ac:dyDescent="0.25">
      <c r="M82" s="1"/>
    </row>
    <row r="83" spans="13:13" x14ac:dyDescent="0.25">
      <c r="M83" s="1"/>
    </row>
    <row r="84" spans="13:13" x14ac:dyDescent="0.25">
      <c r="M84" s="1"/>
    </row>
    <row r="85" spans="13:13" x14ac:dyDescent="0.25">
      <c r="M85" s="1"/>
    </row>
    <row r="86" spans="13:13" x14ac:dyDescent="0.25">
      <c r="M86" s="1"/>
    </row>
    <row r="87" spans="13:13" x14ac:dyDescent="0.25">
      <c r="M87" s="1"/>
    </row>
    <row r="88" spans="13:13" x14ac:dyDescent="0.25">
      <c r="M88" s="1"/>
    </row>
    <row r="89" spans="13:13" x14ac:dyDescent="0.25">
      <c r="M89" s="1"/>
    </row>
    <row r="90" spans="13:13" x14ac:dyDescent="0.25">
      <c r="M90" s="1"/>
    </row>
    <row r="91" spans="13:13" x14ac:dyDescent="0.25">
      <c r="M91" s="1"/>
    </row>
    <row r="92" spans="13:13" x14ac:dyDescent="0.25">
      <c r="M92" s="1"/>
    </row>
    <row r="93" spans="13:13" x14ac:dyDescent="0.25">
      <c r="M93" s="1"/>
    </row>
    <row r="94" spans="13:13" x14ac:dyDescent="0.25">
      <c r="M94" s="1"/>
    </row>
    <row r="95" spans="13:13" x14ac:dyDescent="0.25">
      <c r="M95" s="1"/>
    </row>
    <row r="96" spans="13:13" x14ac:dyDescent="0.25">
      <c r="M96" s="1"/>
    </row>
    <row r="97" spans="13:13" x14ac:dyDescent="0.25">
      <c r="M97" s="1"/>
    </row>
    <row r="98" spans="13:13" x14ac:dyDescent="0.25">
      <c r="M98" s="1"/>
    </row>
    <row r="99" spans="13:13" x14ac:dyDescent="0.25">
      <c r="M99" s="1"/>
    </row>
    <row r="100" spans="13:13" x14ac:dyDescent="0.25">
      <c r="M100" s="1"/>
    </row>
    <row r="101" spans="13:13" x14ac:dyDescent="0.25">
      <c r="M101" s="1"/>
    </row>
    <row r="102" spans="13:13" x14ac:dyDescent="0.25">
      <c r="M102" s="1"/>
    </row>
    <row r="103" spans="13:13" x14ac:dyDescent="0.25">
      <c r="M103" s="1"/>
    </row>
    <row r="104" spans="13:13" x14ac:dyDescent="0.25">
      <c r="M104" s="1"/>
    </row>
    <row r="105" spans="13:13" x14ac:dyDescent="0.25">
      <c r="M105" s="1"/>
    </row>
    <row r="106" spans="13:13" x14ac:dyDescent="0.25">
      <c r="M106" s="1"/>
    </row>
    <row r="107" spans="13:13" x14ac:dyDescent="0.25">
      <c r="M107" s="1"/>
    </row>
    <row r="108" spans="13:13" x14ac:dyDescent="0.25">
      <c r="M108" s="1"/>
    </row>
    <row r="109" spans="13:13" x14ac:dyDescent="0.25">
      <c r="M109" s="1"/>
    </row>
    <row r="110" spans="13:13" x14ac:dyDescent="0.25">
      <c r="M110" s="1"/>
    </row>
    <row r="111" spans="13:13" x14ac:dyDescent="0.25">
      <c r="M111" s="1"/>
    </row>
    <row r="112" spans="13:13" x14ac:dyDescent="0.25">
      <c r="M112" s="1"/>
    </row>
    <row r="113" spans="13:13" x14ac:dyDescent="0.25">
      <c r="M113" s="1"/>
    </row>
    <row r="114" spans="13:13" x14ac:dyDescent="0.25">
      <c r="M114" s="1"/>
    </row>
    <row r="115" spans="13:13" x14ac:dyDescent="0.25">
      <c r="M115" s="1"/>
    </row>
    <row r="116" spans="13:13" x14ac:dyDescent="0.25">
      <c r="M116" s="1"/>
    </row>
    <row r="117" spans="13:13" x14ac:dyDescent="0.25">
      <c r="M117" s="1"/>
    </row>
    <row r="118" spans="13:13" x14ac:dyDescent="0.25">
      <c r="M118" s="1"/>
    </row>
    <row r="119" spans="13:13" x14ac:dyDescent="0.25">
      <c r="M119" s="1"/>
    </row>
    <row r="120" spans="13:13" x14ac:dyDescent="0.25">
      <c r="M120" s="1"/>
    </row>
    <row r="121" spans="13:13" x14ac:dyDescent="0.25">
      <c r="M121" s="1"/>
    </row>
    <row r="122" spans="13:13" x14ac:dyDescent="0.25">
      <c r="M122" s="1"/>
    </row>
    <row r="123" spans="13:13" x14ac:dyDescent="0.25">
      <c r="M123" s="1"/>
    </row>
    <row r="124" spans="13:13" x14ac:dyDescent="0.25">
      <c r="M124" s="1"/>
    </row>
    <row r="125" spans="13:13" x14ac:dyDescent="0.25">
      <c r="M125" s="1"/>
    </row>
    <row r="126" spans="13:13" x14ac:dyDescent="0.25">
      <c r="M126" s="1"/>
    </row>
    <row r="127" spans="13:13" x14ac:dyDescent="0.25">
      <c r="M127" s="1"/>
    </row>
    <row r="128" spans="13:13" x14ac:dyDescent="0.25">
      <c r="M128" s="1"/>
    </row>
    <row r="129" spans="13:13" x14ac:dyDescent="0.25">
      <c r="M129" s="1"/>
    </row>
    <row r="130" spans="13:13" x14ac:dyDescent="0.25">
      <c r="M130" s="1"/>
    </row>
    <row r="131" spans="13:13" x14ac:dyDescent="0.25">
      <c r="M131" s="1"/>
    </row>
    <row r="132" spans="13:13" x14ac:dyDescent="0.25">
      <c r="M132" s="1"/>
    </row>
    <row r="133" spans="13:13" x14ac:dyDescent="0.25">
      <c r="M133" s="1"/>
    </row>
    <row r="134" spans="13:13" x14ac:dyDescent="0.25">
      <c r="M134" s="1"/>
    </row>
    <row r="135" spans="13:13" x14ac:dyDescent="0.25">
      <c r="M135" s="1"/>
    </row>
    <row r="136" spans="13:13" x14ac:dyDescent="0.25">
      <c r="M136" s="1"/>
    </row>
    <row r="137" spans="13:13" x14ac:dyDescent="0.25">
      <c r="M137" s="1"/>
    </row>
    <row r="138" spans="13:13" x14ac:dyDescent="0.25">
      <c r="M138" s="1"/>
    </row>
    <row r="139" spans="13:13" x14ac:dyDescent="0.25">
      <c r="M139" s="1"/>
    </row>
    <row r="140" spans="13:13" x14ac:dyDescent="0.25">
      <c r="M140" s="1"/>
    </row>
    <row r="141" spans="13:13" x14ac:dyDescent="0.25">
      <c r="M141" s="1"/>
    </row>
    <row r="142" spans="13:13" x14ac:dyDescent="0.25">
      <c r="M142" s="1"/>
    </row>
    <row r="143" spans="13:13" x14ac:dyDescent="0.25">
      <c r="M143" s="1"/>
    </row>
    <row r="144" spans="13:13" x14ac:dyDescent="0.25">
      <c r="M144" s="1"/>
    </row>
    <row r="145" spans="13:13" x14ac:dyDescent="0.25">
      <c r="M145" s="1"/>
    </row>
    <row r="146" spans="13:13" x14ac:dyDescent="0.25">
      <c r="M146" s="1"/>
    </row>
    <row r="147" spans="13:13" x14ac:dyDescent="0.25">
      <c r="M147" s="1"/>
    </row>
    <row r="148" spans="13:13" x14ac:dyDescent="0.25">
      <c r="M148" s="1"/>
    </row>
    <row r="149" spans="13:13" x14ac:dyDescent="0.25">
      <c r="M149" s="1"/>
    </row>
    <row r="150" spans="13:13" x14ac:dyDescent="0.25">
      <c r="M150" s="1"/>
    </row>
    <row r="151" spans="13:13" x14ac:dyDescent="0.25">
      <c r="M151" s="1"/>
    </row>
    <row r="152" spans="13:13" x14ac:dyDescent="0.25">
      <c r="M152" s="1"/>
    </row>
    <row r="153" spans="13:13" x14ac:dyDescent="0.25">
      <c r="M153" s="1"/>
    </row>
    <row r="154" spans="13:13" x14ac:dyDescent="0.25">
      <c r="M154" s="1"/>
    </row>
    <row r="155" spans="13:13" x14ac:dyDescent="0.25">
      <c r="M155" s="1"/>
    </row>
    <row r="156" spans="13:13" x14ac:dyDescent="0.25">
      <c r="M156" s="1"/>
    </row>
    <row r="157" spans="13:13" x14ac:dyDescent="0.25">
      <c r="M157" s="1"/>
    </row>
    <row r="158" spans="13:13" x14ac:dyDescent="0.25">
      <c r="M158" s="1"/>
    </row>
    <row r="159" spans="13:13" x14ac:dyDescent="0.25">
      <c r="M159" s="1"/>
    </row>
    <row r="160" spans="13:13" x14ac:dyDescent="0.25">
      <c r="M160" s="1"/>
    </row>
    <row r="161" spans="13:13" x14ac:dyDescent="0.25">
      <c r="M161" s="1"/>
    </row>
    <row r="162" spans="13:13" x14ac:dyDescent="0.25">
      <c r="M162" s="1"/>
    </row>
    <row r="163" spans="13:13" x14ac:dyDescent="0.25">
      <c r="M163" s="1"/>
    </row>
    <row r="164" spans="13:13" x14ac:dyDescent="0.25">
      <c r="M164" s="1"/>
    </row>
    <row r="165" spans="13:13" x14ac:dyDescent="0.25">
      <c r="M165" s="1"/>
    </row>
    <row r="166" spans="13:13" x14ac:dyDescent="0.25">
      <c r="M166" s="1"/>
    </row>
    <row r="167" spans="13:13" x14ac:dyDescent="0.25">
      <c r="M167" s="1"/>
    </row>
    <row r="168" spans="13:13" x14ac:dyDescent="0.25">
      <c r="M168" s="1"/>
    </row>
    <row r="169" spans="13:13" x14ac:dyDescent="0.25">
      <c r="M169" s="1"/>
    </row>
    <row r="170" spans="13:13" x14ac:dyDescent="0.25">
      <c r="M170" s="1"/>
    </row>
    <row r="171" spans="13:13" x14ac:dyDescent="0.25">
      <c r="M171" s="1"/>
    </row>
    <row r="172" spans="13:13" x14ac:dyDescent="0.25">
      <c r="M172" s="1"/>
    </row>
    <row r="173" spans="13:13" x14ac:dyDescent="0.25">
      <c r="M173" s="1"/>
    </row>
    <row r="174" spans="13:13" x14ac:dyDescent="0.25">
      <c r="M174" s="1"/>
    </row>
    <row r="175" spans="13:13" x14ac:dyDescent="0.25">
      <c r="M175" s="1"/>
    </row>
    <row r="176" spans="13:13" x14ac:dyDescent="0.25">
      <c r="M176" s="1"/>
    </row>
    <row r="177" spans="13:13" x14ac:dyDescent="0.25">
      <c r="M177" s="1"/>
    </row>
    <row r="178" spans="13:13" x14ac:dyDescent="0.25">
      <c r="M178" s="1"/>
    </row>
    <row r="179" spans="13:13" x14ac:dyDescent="0.25">
      <c r="M179" s="1"/>
    </row>
    <row r="180" spans="13:13" x14ac:dyDescent="0.25">
      <c r="M180" s="1"/>
    </row>
    <row r="181" spans="13:13" x14ac:dyDescent="0.25">
      <c r="M181" s="1"/>
    </row>
    <row r="182" spans="13:13" x14ac:dyDescent="0.25">
      <c r="M182" s="1"/>
    </row>
    <row r="183" spans="13:13" x14ac:dyDescent="0.25">
      <c r="M183" s="1"/>
    </row>
    <row r="184" spans="13:13" x14ac:dyDescent="0.25">
      <c r="M184" s="1"/>
    </row>
    <row r="185" spans="13:13" x14ac:dyDescent="0.25">
      <c r="M185" s="1"/>
    </row>
    <row r="186" spans="13:13" x14ac:dyDescent="0.25">
      <c r="M186" s="1"/>
    </row>
    <row r="187" spans="13:13" x14ac:dyDescent="0.25">
      <c r="M187" s="1"/>
    </row>
    <row r="188" spans="13:13" x14ac:dyDescent="0.25">
      <c r="M188" s="1"/>
    </row>
    <row r="189" spans="13:13" x14ac:dyDescent="0.25">
      <c r="M189" s="1"/>
    </row>
    <row r="190" spans="13:13" x14ac:dyDescent="0.25">
      <c r="M190" s="1"/>
    </row>
    <row r="191" spans="13:13" x14ac:dyDescent="0.25">
      <c r="M191" s="1"/>
    </row>
    <row r="192" spans="13:13" x14ac:dyDescent="0.25">
      <c r="M192" s="1"/>
    </row>
    <row r="193" spans="13:13" x14ac:dyDescent="0.25">
      <c r="M193" s="1"/>
    </row>
    <row r="194" spans="13:13" x14ac:dyDescent="0.25">
      <c r="M194" s="1"/>
    </row>
    <row r="195" spans="13:13" x14ac:dyDescent="0.25">
      <c r="M195" s="1"/>
    </row>
    <row r="196" spans="13:13" x14ac:dyDescent="0.25">
      <c r="M196" s="1"/>
    </row>
    <row r="197" spans="13:13" x14ac:dyDescent="0.25">
      <c r="M197" s="1"/>
    </row>
    <row r="198" spans="13:13" x14ac:dyDescent="0.25">
      <c r="M198" s="1"/>
    </row>
    <row r="199" spans="13:13" x14ac:dyDescent="0.25">
      <c r="M199" s="1"/>
    </row>
    <row r="200" spans="13:13" x14ac:dyDescent="0.25">
      <c r="M200" s="1"/>
    </row>
    <row r="201" spans="13:13" x14ac:dyDescent="0.25">
      <c r="M201" s="1"/>
    </row>
    <row r="202" spans="13:13" x14ac:dyDescent="0.25">
      <c r="M202" s="1"/>
    </row>
    <row r="203" spans="13:13" x14ac:dyDescent="0.25">
      <c r="M203" s="1"/>
    </row>
    <row r="204" spans="13:13" x14ac:dyDescent="0.25">
      <c r="M204" s="1"/>
    </row>
    <row r="205" spans="13:13" x14ac:dyDescent="0.25">
      <c r="M205" s="1"/>
    </row>
    <row r="206" spans="13:13" x14ac:dyDescent="0.25">
      <c r="M206" s="1"/>
    </row>
    <row r="207" spans="13:13" x14ac:dyDescent="0.25">
      <c r="M207" s="1"/>
    </row>
    <row r="208" spans="13:13" x14ac:dyDescent="0.25">
      <c r="M208" s="1"/>
    </row>
    <row r="209" spans="13:13" x14ac:dyDescent="0.25">
      <c r="M209" s="1"/>
    </row>
    <row r="210" spans="13:13" x14ac:dyDescent="0.25">
      <c r="M210" s="1"/>
    </row>
    <row r="211" spans="13:13" x14ac:dyDescent="0.25">
      <c r="M211" s="1"/>
    </row>
    <row r="212" spans="13:13" x14ac:dyDescent="0.25">
      <c r="M212" s="1"/>
    </row>
    <row r="213" spans="13:13" x14ac:dyDescent="0.25">
      <c r="M213" s="1"/>
    </row>
    <row r="214" spans="13:13" x14ac:dyDescent="0.25">
      <c r="M214" s="1"/>
    </row>
    <row r="215" spans="13:13" x14ac:dyDescent="0.25">
      <c r="M215" s="1"/>
    </row>
    <row r="216" spans="13:13" x14ac:dyDescent="0.25">
      <c r="M216" s="1"/>
    </row>
    <row r="217" spans="13:13" x14ac:dyDescent="0.25">
      <c r="M217" s="1"/>
    </row>
    <row r="218" spans="13:13" x14ac:dyDescent="0.25">
      <c r="M218" s="1"/>
    </row>
    <row r="219" spans="13:13" x14ac:dyDescent="0.25">
      <c r="M219" s="1"/>
    </row>
    <row r="220" spans="13:13" x14ac:dyDescent="0.25">
      <c r="M220" s="1"/>
    </row>
    <row r="221" spans="13:13" x14ac:dyDescent="0.25">
      <c r="M221" s="1"/>
    </row>
    <row r="222" spans="13:13" x14ac:dyDescent="0.25">
      <c r="M222" s="1"/>
    </row>
    <row r="223" spans="13:13" x14ac:dyDescent="0.25">
      <c r="M223" s="1"/>
    </row>
    <row r="224" spans="13:13" x14ac:dyDescent="0.25">
      <c r="M224" s="1"/>
    </row>
    <row r="225" spans="13:13" x14ac:dyDescent="0.25">
      <c r="M225" s="1"/>
    </row>
    <row r="226" spans="13:13" x14ac:dyDescent="0.25">
      <c r="M226" s="1"/>
    </row>
    <row r="227" spans="13:13" x14ac:dyDescent="0.25">
      <c r="M227" s="1"/>
    </row>
    <row r="228" spans="13:13" x14ac:dyDescent="0.25">
      <c r="M228" s="1"/>
    </row>
    <row r="229" spans="13:13" x14ac:dyDescent="0.25">
      <c r="M229" s="1"/>
    </row>
    <row r="230" spans="13:13" x14ac:dyDescent="0.25">
      <c r="M230" s="1"/>
    </row>
    <row r="231" spans="13:13" x14ac:dyDescent="0.25">
      <c r="M231" s="1"/>
    </row>
    <row r="232" spans="13:13" x14ac:dyDescent="0.25">
      <c r="M232" s="1"/>
    </row>
    <row r="233" spans="13:13" x14ac:dyDescent="0.25">
      <c r="M233" s="1"/>
    </row>
    <row r="234" spans="13:13" x14ac:dyDescent="0.25">
      <c r="M234" s="1"/>
    </row>
    <row r="235" spans="13:13" x14ac:dyDescent="0.25">
      <c r="M235" s="1"/>
    </row>
    <row r="236" spans="13:13" x14ac:dyDescent="0.25">
      <c r="M236" s="1"/>
    </row>
    <row r="237" spans="13:13" x14ac:dyDescent="0.25">
      <c r="M237" s="1"/>
    </row>
    <row r="238" spans="13:13" x14ac:dyDescent="0.25">
      <c r="M238" s="1"/>
    </row>
    <row r="239" spans="13:13" x14ac:dyDescent="0.25">
      <c r="M239" s="1"/>
    </row>
    <row r="240" spans="13:13" x14ac:dyDescent="0.25">
      <c r="M240" s="1"/>
    </row>
    <row r="241" spans="13:13" x14ac:dyDescent="0.25">
      <c r="M241" s="1"/>
    </row>
    <row r="242" spans="13:13" x14ac:dyDescent="0.25">
      <c r="M242" s="1"/>
    </row>
    <row r="243" spans="13:13" x14ac:dyDescent="0.25">
      <c r="M243" s="1"/>
    </row>
    <row r="244" spans="13:13" x14ac:dyDescent="0.25">
      <c r="M244" s="1"/>
    </row>
    <row r="245" spans="13:13" x14ac:dyDescent="0.25">
      <c r="M245" s="1"/>
    </row>
    <row r="246" spans="13:13" x14ac:dyDescent="0.25">
      <c r="M246" s="1"/>
    </row>
    <row r="247" spans="13:13" x14ac:dyDescent="0.25">
      <c r="M247" s="1"/>
    </row>
    <row r="248" spans="13:13" x14ac:dyDescent="0.25">
      <c r="M248" s="1"/>
    </row>
    <row r="249" spans="13:13" x14ac:dyDescent="0.25">
      <c r="M249" s="1"/>
    </row>
    <row r="250" spans="13:13" x14ac:dyDescent="0.25">
      <c r="M250" s="1"/>
    </row>
    <row r="251" spans="13:13" x14ac:dyDescent="0.25">
      <c r="M251" s="1"/>
    </row>
    <row r="252" spans="13:13" x14ac:dyDescent="0.25">
      <c r="M252" s="1"/>
    </row>
    <row r="253" spans="13:13" x14ac:dyDescent="0.25">
      <c r="M253" s="1"/>
    </row>
    <row r="254" spans="13:13" x14ac:dyDescent="0.25">
      <c r="M254" s="1"/>
    </row>
    <row r="255" spans="13:13" x14ac:dyDescent="0.25">
      <c r="M255" s="1"/>
    </row>
    <row r="256" spans="13:13" x14ac:dyDescent="0.25">
      <c r="M256" s="1"/>
    </row>
    <row r="257" spans="13:13" x14ac:dyDescent="0.25">
      <c r="M257" s="1"/>
    </row>
    <row r="258" spans="13:13" x14ac:dyDescent="0.25">
      <c r="M258" s="1"/>
    </row>
    <row r="259" spans="13:13" x14ac:dyDescent="0.25">
      <c r="M259" s="1"/>
    </row>
    <row r="260" spans="13:13" x14ac:dyDescent="0.25">
      <c r="M260" s="1"/>
    </row>
    <row r="261" spans="13:13" x14ac:dyDescent="0.25">
      <c r="M261" s="1"/>
    </row>
    <row r="262" spans="13:13" x14ac:dyDescent="0.25">
      <c r="M262" s="1"/>
    </row>
    <row r="263" spans="13:13" x14ac:dyDescent="0.25">
      <c r="M263" s="1"/>
    </row>
    <row r="264" spans="13:13" x14ac:dyDescent="0.25">
      <c r="M264" s="1"/>
    </row>
    <row r="265" spans="13:13" x14ac:dyDescent="0.25">
      <c r="M265" s="1"/>
    </row>
    <row r="266" spans="13:13" x14ac:dyDescent="0.25">
      <c r="M266" s="1"/>
    </row>
    <row r="267" spans="13:13" x14ac:dyDescent="0.25">
      <c r="M267" s="1"/>
    </row>
    <row r="268" spans="13:13" x14ac:dyDescent="0.25">
      <c r="M268" s="1"/>
    </row>
    <row r="269" spans="13:13" x14ac:dyDescent="0.25">
      <c r="M269" s="1"/>
    </row>
    <row r="270" spans="13:13" x14ac:dyDescent="0.25">
      <c r="M270" s="1"/>
    </row>
    <row r="271" spans="13:13" x14ac:dyDescent="0.25">
      <c r="M271" s="1"/>
    </row>
    <row r="272" spans="13:13" x14ac:dyDescent="0.25">
      <c r="M272" s="1"/>
    </row>
    <row r="273" spans="13:13" x14ac:dyDescent="0.25">
      <c r="M273" s="1"/>
    </row>
    <row r="274" spans="13:13" x14ac:dyDescent="0.25">
      <c r="M274" s="1"/>
    </row>
    <row r="275" spans="13:13" x14ac:dyDescent="0.25">
      <c r="M275" s="1"/>
    </row>
    <row r="276" spans="13:13" x14ac:dyDescent="0.25">
      <c r="M276" s="1"/>
    </row>
    <row r="277" spans="13:13" x14ac:dyDescent="0.25">
      <c r="M277" s="1"/>
    </row>
    <row r="278" spans="13:13" x14ac:dyDescent="0.25">
      <c r="M278" s="1"/>
    </row>
    <row r="279" spans="13:13" x14ac:dyDescent="0.25">
      <c r="M279" s="1"/>
    </row>
    <row r="280" spans="13:13" x14ac:dyDescent="0.25">
      <c r="M280" s="1"/>
    </row>
    <row r="281" spans="13:13" x14ac:dyDescent="0.25">
      <c r="M281" s="1"/>
    </row>
    <row r="282" spans="13:13" x14ac:dyDescent="0.25">
      <c r="M282" s="1"/>
    </row>
    <row r="283" spans="13:13" x14ac:dyDescent="0.25">
      <c r="M283" s="1"/>
    </row>
    <row r="284" spans="13:13" x14ac:dyDescent="0.25">
      <c r="M284" s="1"/>
    </row>
    <row r="285" spans="13:13" x14ac:dyDescent="0.25">
      <c r="M285" s="1"/>
    </row>
    <row r="286" spans="13:13" x14ac:dyDescent="0.25">
      <c r="M286" s="1"/>
    </row>
    <row r="287" spans="13:13" x14ac:dyDescent="0.25">
      <c r="M287" s="1"/>
    </row>
    <row r="288" spans="13:13" x14ac:dyDescent="0.25">
      <c r="M288" s="1"/>
    </row>
    <row r="289" spans="13:13" x14ac:dyDescent="0.25">
      <c r="M289" s="1"/>
    </row>
    <row r="290" spans="13:13" x14ac:dyDescent="0.25">
      <c r="M290" s="1"/>
    </row>
    <row r="291" spans="13:13" x14ac:dyDescent="0.25">
      <c r="M291" s="1"/>
    </row>
    <row r="292" spans="13:13" x14ac:dyDescent="0.25">
      <c r="M292" s="1"/>
    </row>
    <row r="293" spans="13:13" x14ac:dyDescent="0.25">
      <c r="M293" s="1"/>
    </row>
    <row r="294" spans="13:13" x14ac:dyDescent="0.25">
      <c r="M294" s="1"/>
    </row>
    <row r="295" spans="13:13" x14ac:dyDescent="0.25">
      <c r="M295" s="1"/>
    </row>
    <row r="296" spans="13:13" x14ac:dyDescent="0.25">
      <c r="M296" s="1"/>
    </row>
    <row r="297" spans="13:13" x14ac:dyDescent="0.25">
      <c r="M297" s="1"/>
    </row>
    <row r="298" spans="13:13" x14ac:dyDescent="0.25">
      <c r="M298" s="1"/>
    </row>
    <row r="299" spans="13:13" x14ac:dyDescent="0.25">
      <c r="M299" s="1"/>
    </row>
    <row r="300" spans="13:13" x14ac:dyDescent="0.25">
      <c r="M300" s="1"/>
    </row>
    <row r="301" spans="13:13" x14ac:dyDescent="0.25">
      <c r="M301" s="1"/>
    </row>
    <row r="302" spans="13:13" x14ac:dyDescent="0.25">
      <c r="M302" s="1"/>
    </row>
    <row r="303" spans="13:13" x14ac:dyDescent="0.25">
      <c r="M303" s="1"/>
    </row>
    <row r="304" spans="13:13" x14ac:dyDescent="0.25">
      <c r="M304" s="1"/>
    </row>
    <row r="305" spans="13:13" x14ac:dyDescent="0.25">
      <c r="M305" s="1"/>
    </row>
    <row r="306" spans="13:13" x14ac:dyDescent="0.25">
      <c r="M306" s="1"/>
    </row>
    <row r="307" spans="13:13" x14ac:dyDescent="0.25">
      <c r="M307" s="1"/>
    </row>
    <row r="308" spans="13:13" x14ac:dyDescent="0.25">
      <c r="M308" s="1"/>
    </row>
    <row r="309" spans="13:13" x14ac:dyDescent="0.25">
      <c r="M309" s="1"/>
    </row>
    <row r="310" spans="13:13" x14ac:dyDescent="0.25">
      <c r="M310" s="1"/>
    </row>
    <row r="311" spans="13:13" x14ac:dyDescent="0.25">
      <c r="M311" s="1"/>
    </row>
    <row r="312" spans="13:13" x14ac:dyDescent="0.25">
      <c r="M312" s="1"/>
    </row>
    <row r="313" spans="13:13" x14ac:dyDescent="0.25">
      <c r="M313" s="1"/>
    </row>
    <row r="314" spans="13:13" x14ac:dyDescent="0.25">
      <c r="M314" s="1"/>
    </row>
    <row r="315" spans="13:13" x14ac:dyDescent="0.25">
      <c r="M315" s="1"/>
    </row>
    <row r="316" spans="13:13" x14ac:dyDescent="0.25">
      <c r="M316" s="1"/>
    </row>
    <row r="317" spans="13:13" x14ac:dyDescent="0.25">
      <c r="M317" s="1"/>
    </row>
    <row r="318" spans="13:13" x14ac:dyDescent="0.25">
      <c r="M318" s="1"/>
    </row>
    <row r="319" spans="13:13" x14ac:dyDescent="0.25">
      <c r="M319" s="1"/>
    </row>
    <row r="320" spans="13:13" x14ac:dyDescent="0.25">
      <c r="M320" s="1"/>
    </row>
    <row r="321" spans="13:13" x14ac:dyDescent="0.25">
      <c r="M321" s="1"/>
    </row>
    <row r="322" spans="13:13" x14ac:dyDescent="0.25">
      <c r="M322" s="1"/>
    </row>
    <row r="323" spans="13:13" x14ac:dyDescent="0.25">
      <c r="M323" s="1"/>
    </row>
    <row r="324" spans="13:13" x14ac:dyDescent="0.25">
      <c r="M324" s="1"/>
    </row>
    <row r="325" spans="13:13" x14ac:dyDescent="0.25">
      <c r="M325" s="1"/>
    </row>
    <row r="326" spans="13:13" x14ac:dyDescent="0.25">
      <c r="M326" s="1"/>
    </row>
    <row r="327" spans="13:13" x14ac:dyDescent="0.25">
      <c r="M327" s="1"/>
    </row>
    <row r="328" spans="13:13" x14ac:dyDescent="0.25">
      <c r="M328" s="1"/>
    </row>
    <row r="329" spans="13:13" x14ac:dyDescent="0.25">
      <c r="M329" s="1"/>
    </row>
    <row r="330" spans="13:13" x14ac:dyDescent="0.25">
      <c r="M330" s="1"/>
    </row>
    <row r="331" spans="13:13" x14ac:dyDescent="0.25">
      <c r="M331" s="1"/>
    </row>
    <row r="332" spans="13:13" x14ac:dyDescent="0.25">
      <c r="M332" s="1"/>
    </row>
    <row r="333" spans="13:13" x14ac:dyDescent="0.25">
      <c r="M333" s="1"/>
    </row>
    <row r="334" spans="13:13" x14ac:dyDescent="0.25">
      <c r="M334" s="1"/>
    </row>
    <row r="335" spans="13:13" x14ac:dyDescent="0.25">
      <c r="M335" s="1"/>
    </row>
    <row r="336" spans="13:13" x14ac:dyDescent="0.25">
      <c r="M336" s="1"/>
    </row>
    <row r="337" spans="13:13" x14ac:dyDescent="0.25">
      <c r="M337" s="1"/>
    </row>
    <row r="338" spans="13:13" x14ac:dyDescent="0.25">
      <c r="M338" s="1"/>
    </row>
    <row r="339" spans="13:13" x14ac:dyDescent="0.25">
      <c r="M339" s="1"/>
    </row>
    <row r="340" spans="13:13" x14ac:dyDescent="0.25">
      <c r="M340" s="1"/>
    </row>
    <row r="341" spans="13:13" x14ac:dyDescent="0.25">
      <c r="M341" s="1"/>
    </row>
    <row r="342" spans="13:13" x14ac:dyDescent="0.25">
      <c r="M342" s="1"/>
    </row>
    <row r="343" spans="13:13" x14ac:dyDescent="0.25">
      <c r="M343" s="1"/>
    </row>
    <row r="344" spans="13:13" x14ac:dyDescent="0.25">
      <c r="M344" s="1"/>
    </row>
    <row r="345" spans="13:13" x14ac:dyDescent="0.25">
      <c r="M345" s="1"/>
    </row>
    <row r="346" spans="13:13" x14ac:dyDescent="0.25">
      <c r="M346" s="1"/>
    </row>
    <row r="347" spans="13:13" x14ac:dyDescent="0.25">
      <c r="M347" s="1"/>
    </row>
    <row r="348" spans="13:13" x14ac:dyDescent="0.25">
      <c r="M348" s="1"/>
    </row>
    <row r="349" spans="13:13" x14ac:dyDescent="0.25">
      <c r="M349" s="1"/>
    </row>
    <row r="350" spans="13:13" x14ac:dyDescent="0.25">
      <c r="M350" s="1"/>
    </row>
    <row r="351" spans="13:13" x14ac:dyDescent="0.25">
      <c r="M351" s="1"/>
    </row>
    <row r="352" spans="13:13" x14ac:dyDescent="0.25">
      <c r="M352" s="1"/>
    </row>
    <row r="353" spans="13:13" x14ac:dyDescent="0.25">
      <c r="M353" s="1"/>
    </row>
    <row r="354" spans="13:13" x14ac:dyDescent="0.25">
      <c r="M354" s="1"/>
    </row>
    <row r="355" spans="13:13" x14ac:dyDescent="0.25">
      <c r="M355" s="1"/>
    </row>
    <row r="356" spans="13:13" x14ac:dyDescent="0.25">
      <c r="M356" s="1"/>
    </row>
    <row r="357" spans="13:13" x14ac:dyDescent="0.25">
      <c r="M357" s="1"/>
    </row>
    <row r="358" spans="13:13" x14ac:dyDescent="0.25">
      <c r="M358" s="1"/>
    </row>
    <row r="359" spans="13:13" x14ac:dyDescent="0.25">
      <c r="M359" s="1"/>
    </row>
    <row r="360" spans="13:13" x14ac:dyDescent="0.25">
      <c r="M360" s="1"/>
    </row>
    <row r="361" spans="13:13" x14ac:dyDescent="0.25">
      <c r="M361" s="1"/>
    </row>
    <row r="362" spans="13:13" x14ac:dyDescent="0.25">
      <c r="M362" s="1"/>
    </row>
    <row r="363" spans="13:13" x14ac:dyDescent="0.25">
      <c r="M363" s="1"/>
    </row>
    <row r="364" spans="13:13" x14ac:dyDescent="0.25">
      <c r="M364" s="1"/>
    </row>
    <row r="365" spans="13:13" x14ac:dyDescent="0.25">
      <c r="M365" s="1"/>
    </row>
    <row r="366" spans="13:13" x14ac:dyDescent="0.25">
      <c r="M366" s="1"/>
    </row>
    <row r="367" spans="13:13" x14ac:dyDescent="0.25">
      <c r="M367" s="1"/>
    </row>
    <row r="368" spans="13:13" x14ac:dyDescent="0.25">
      <c r="M368" s="1"/>
    </row>
    <row r="369" spans="13:13" x14ac:dyDescent="0.25">
      <c r="M369" s="1"/>
    </row>
    <row r="370" spans="13:13" x14ac:dyDescent="0.25">
      <c r="M370" s="1"/>
    </row>
    <row r="371" spans="13:13" x14ac:dyDescent="0.25">
      <c r="M371" s="1"/>
    </row>
    <row r="372" spans="13:13" x14ac:dyDescent="0.25">
      <c r="M372" s="1"/>
    </row>
    <row r="373" spans="13:13" x14ac:dyDescent="0.25">
      <c r="M373" s="1"/>
    </row>
    <row r="374" spans="13:13" x14ac:dyDescent="0.25">
      <c r="M374" s="1"/>
    </row>
    <row r="375" spans="13:13" x14ac:dyDescent="0.25">
      <c r="M375" s="1"/>
    </row>
    <row r="376" spans="13:13" x14ac:dyDescent="0.25">
      <c r="M376" s="1"/>
    </row>
    <row r="377" spans="13:13" x14ac:dyDescent="0.25">
      <c r="M377" s="1"/>
    </row>
    <row r="378" spans="13:13" x14ac:dyDescent="0.25">
      <c r="M378" s="1"/>
    </row>
    <row r="379" spans="13:13" x14ac:dyDescent="0.25">
      <c r="M379" s="1"/>
    </row>
    <row r="380" spans="13:13" x14ac:dyDescent="0.25">
      <c r="M380" s="1"/>
    </row>
    <row r="381" spans="13:13" x14ac:dyDescent="0.25">
      <c r="M381" s="1"/>
    </row>
    <row r="382" spans="13:13" x14ac:dyDescent="0.25">
      <c r="M382" s="1"/>
    </row>
    <row r="383" spans="13:13" x14ac:dyDescent="0.25">
      <c r="M383" s="1"/>
    </row>
    <row r="384" spans="13:13" x14ac:dyDescent="0.25">
      <c r="M384" s="1"/>
    </row>
    <row r="385" spans="13:13" x14ac:dyDescent="0.25">
      <c r="M385" s="1"/>
    </row>
    <row r="386" spans="13:13" x14ac:dyDescent="0.25">
      <c r="M386" s="1"/>
    </row>
    <row r="387" spans="13:13" x14ac:dyDescent="0.25">
      <c r="M387" s="1"/>
    </row>
    <row r="388" spans="13:13" x14ac:dyDescent="0.25">
      <c r="M388" s="1"/>
    </row>
    <row r="389" spans="13:13" x14ac:dyDescent="0.25">
      <c r="M389" s="1"/>
    </row>
    <row r="390" spans="13:13" x14ac:dyDescent="0.25">
      <c r="M390" s="1"/>
    </row>
    <row r="391" spans="13:13" x14ac:dyDescent="0.25">
      <c r="M391" s="1"/>
    </row>
    <row r="392" spans="13:13" x14ac:dyDescent="0.25">
      <c r="M392" s="1"/>
    </row>
    <row r="393" spans="13:13" x14ac:dyDescent="0.25">
      <c r="M393" s="1"/>
    </row>
    <row r="394" spans="13:13" x14ac:dyDescent="0.25">
      <c r="M394" s="1"/>
    </row>
    <row r="395" spans="13:13" x14ac:dyDescent="0.25">
      <c r="M395" s="1"/>
    </row>
    <row r="396" spans="13:13" x14ac:dyDescent="0.25">
      <c r="M396" s="1"/>
    </row>
    <row r="397" spans="13:13" x14ac:dyDescent="0.25">
      <c r="M397" s="1"/>
    </row>
    <row r="398" spans="13:13" x14ac:dyDescent="0.25">
      <c r="M398" s="1"/>
    </row>
    <row r="399" spans="13:13" x14ac:dyDescent="0.25">
      <c r="M399" s="1"/>
    </row>
    <row r="400" spans="13:13" x14ac:dyDescent="0.25">
      <c r="M400" s="1"/>
    </row>
    <row r="401" spans="13:13" x14ac:dyDescent="0.25">
      <c r="M401" s="1"/>
    </row>
    <row r="402" spans="13:13" x14ac:dyDescent="0.25">
      <c r="M402" s="1"/>
    </row>
    <row r="403" spans="13:13" x14ac:dyDescent="0.25">
      <c r="M403" s="1"/>
    </row>
    <row r="404" spans="13:13" x14ac:dyDescent="0.25">
      <c r="M404" s="1"/>
    </row>
    <row r="405" spans="13:13" x14ac:dyDescent="0.25">
      <c r="M405" s="1"/>
    </row>
    <row r="406" spans="13:13" x14ac:dyDescent="0.25">
      <c r="M406" s="1"/>
    </row>
    <row r="407" spans="13:13" x14ac:dyDescent="0.25">
      <c r="M407" s="1"/>
    </row>
    <row r="408" spans="13:13" x14ac:dyDescent="0.25">
      <c r="M408" s="1"/>
    </row>
    <row r="409" spans="13:13" x14ac:dyDescent="0.25">
      <c r="M409" s="1"/>
    </row>
    <row r="410" spans="13:13" x14ac:dyDescent="0.25">
      <c r="M410" s="1"/>
    </row>
    <row r="411" spans="13:13" x14ac:dyDescent="0.25">
      <c r="M411" s="1"/>
    </row>
    <row r="412" spans="13:13" x14ac:dyDescent="0.25">
      <c r="M412" s="1"/>
    </row>
    <row r="413" spans="13:13" x14ac:dyDescent="0.25">
      <c r="M413" s="1"/>
    </row>
    <row r="414" spans="13:13" x14ac:dyDescent="0.25">
      <c r="M414" s="1"/>
    </row>
    <row r="415" spans="13:13" x14ac:dyDescent="0.25">
      <c r="M415" s="1"/>
    </row>
    <row r="416" spans="13:13" x14ac:dyDescent="0.25">
      <c r="M416" s="1"/>
    </row>
    <row r="417" spans="13:13" x14ac:dyDescent="0.25">
      <c r="M417" s="1"/>
    </row>
    <row r="418" spans="13:13" x14ac:dyDescent="0.25">
      <c r="M418" s="1"/>
    </row>
    <row r="419" spans="13:13" x14ac:dyDescent="0.25">
      <c r="M419" s="1"/>
    </row>
    <row r="420" spans="13:13" x14ac:dyDescent="0.25">
      <c r="M420" s="1"/>
    </row>
    <row r="421" spans="13:13" x14ac:dyDescent="0.25">
      <c r="M421" s="1"/>
    </row>
    <row r="422" spans="13:13" x14ac:dyDescent="0.25">
      <c r="M422" s="1"/>
    </row>
    <row r="423" spans="13:13" x14ac:dyDescent="0.25">
      <c r="M423" s="1"/>
    </row>
    <row r="424" spans="13:13" x14ac:dyDescent="0.25">
      <c r="M424" s="1"/>
    </row>
    <row r="425" spans="13:13" x14ac:dyDescent="0.25">
      <c r="M425" s="1"/>
    </row>
    <row r="426" spans="13:13" x14ac:dyDescent="0.25">
      <c r="M426" s="1"/>
    </row>
    <row r="427" spans="13:13" x14ac:dyDescent="0.25">
      <c r="M427" s="1"/>
    </row>
    <row r="428" spans="13:13" x14ac:dyDescent="0.25">
      <c r="M428" s="1"/>
    </row>
    <row r="429" spans="13:13" x14ac:dyDescent="0.25">
      <c r="M429" s="1"/>
    </row>
    <row r="430" spans="13:13" x14ac:dyDescent="0.25">
      <c r="M430" s="1"/>
    </row>
    <row r="431" spans="13:13" x14ac:dyDescent="0.25">
      <c r="M431" s="1"/>
    </row>
    <row r="432" spans="13:13" x14ac:dyDescent="0.25">
      <c r="M432" s="1"/>
    </row>
    <row r="433" spans="13:13" x14ac:dyDescent="0.25">
      <c r="M433" s="1"/>
    </row>
    <row r="434" spans="13:13" x14ac:dyDescent="0.25">
      <c r="M434" s="1"/>
    </row>
    <row r="435" spans="13:13" x14ac:dyDescent="0.25">
      <c r="M435" s="1"/>
    </row>
    <row r="436" spans="13:13" x14ac:dyDescent="0.25">
      <c r="M436" s="1"/>
    </row>
    <row r="437" spans="13:13" x14ac:dyDescent="0.25">
      <c r="M437" s="1"/>
    </row>
    <row r="438" spans="13:13" x14ac:dyDescent="0.25">
      <c r="M438" s="1"/>
    </row>
    <row r="439" spans="13:13" x14ac:dyDescent="0.25">
      <c r="M439" s="1"/>
    </row>
    <row r="440" spans="13:13" x14ac:dyDescent="0.25">
      <c r="M440" s="1"/>
    </row>
    <row r="441" spans="13:13" x14ac:dyDescent="0.25">
      <c r="M441" s="1"/>
    </row>
    <row r="442" spans="13:13" x14ac:dyDescent="0.25">
      <c r="M442" s="1"/>
    </row>
    <row r="443" spans="13:13" x14ac:dyDescent="0.25">
      <c r="M443" s="1"/>
    </row>
    <row r="444" spans="13:13" x14ac:dyDescent="0.25">
      <c r="M444" s="1"/>
    </row>
    <row r="445" spans="13:13" x14ac:dyDescent="0.25">
      <c r="M445" s="1"/>
    </row>
    <row r="446" spans="13:13" x14ac:dyDescent="0.25">
      <c r="M446" s="1"/>
    </row>
    <row r="447" spans="13:13" x14ac:dyDescent="0.25">
      <c r="M447" s="1"/>
    </row>
    <row r="448" spans="13:13" x14ac:dyDescent="0.25">
      <c r="M448" s="1"/>
    </row>
    <row r="449" spans="13:13" x14ac:dyDescent="0.25">
      <c r="M449" s="1"/>
    </row>
    <row r="450" spans="13:13" x14ac:dyDescent="0.25">
      <c r="M450" s="1"/>
    </row>
    <row r="451" spans="13:13" x14ac:dyDescent="0.25">
      <c r="M451" s="1"/>
    </row>
    <row r="452" spans="13:13" x14ac:dyDescent="0.25">
      <c r="M452" s="1"/>
    </row>
    <row r="453" spans="13:13" x14ac:dyDescent="0.25">
      <c r="M453" s="1"/>
    </row>
    <row r="454" spans="13:13" x14ac:dyDescent="0.25">
      <c r="M454" s="1"/>
    </row>
    <row r="455" spans="13:13" x14ac:dyDescent="0.25">
      <c r="M455" s="1"/>
    </row>
    <row r="456" spans="13:13" x14ac:dyDescent="0.25">
      <c r="M456" s="1"/>
    </row>
    <row r="457" spans="13:13" x14ac:dyDescent="0.25">
      <c r="M457" s="1"/>
    </row>
    <row r="458" spans="13:13" x14ac:dyDescent="0.25">
      <c r="M458" s="1"/>
    </row>
    <row r="459" spans="13:13" x14ac:dyDescent="0.25">
      <c r="M459" s="1"/>
    </row>
    <row r="460" spans="13:13" x14ac:dyDescent="0.25">
      <c r="M460" s="1"/>
    </row>
    <row r="461" spans="13:13" x14ac:dyDescent="0.25">
      <c r="M461" s="1"/>
    </row>
    <row r="462" spans="13:13" x14ac:dyDescent="0.25">
      <c r="M462" s="1"/>
    </row>
    <row r="463" spans="13:13" x14ac:dyDescent="0.25">
      <c r="M463" s="1"/>
    </row>
    <row r="464" spans="13:13" x14ac:dyDescent="0.25">
      <c r="M464" s="1"/>
    </row>
    <row r="465" spans="13:13" x14ac:dyDescent="0.25">
      <c r="M465" s="1"/>
    </row>
    <row r="466" spans="13:13" x14ac:dyDescent="0.25">
      <c r="M466" s="1"/>
    </row>
    <row r="467" spans="13:13" x14ac:dyDescent="0.25">
      <c r="M467" s="1"/>
    </row>
    <row r="468" spans="13:13" x14ac:dyDescent="0.25">
      <c r="M468" s="1"/>
    </row>
    <row r="469" spans="13:13" x14ac:dyDescent="0.25">
      <c r="M469" s="1"/>
    </row>
    <row r="470" spans="13:13" x14ac:dyDescent="0.25">
      <c r="M470" s="1"/>
    </row>
    <row r="471" spans="13:13" x14ac:dyDescent="0.25">
      <c r="M471" s="1"/>
    </row>
    <row r="472" spans="13:13" x14ac:dyDescent="0.25">
      <c r="M472" s="1"/>
    </row>
    <row r="473" spans="13:13" x14ac:dyDescent="0.25">
      <c r="M473" s="1"/>
    </row>
    <row r="474" spans="13:13" x14ac:dyDescent="0.25">
      <c r="M474" s="1"/>
    </row>
    <row r="475" spans="13:13" x14ac:dyDescent="0.25">
      <c r="M475" s="1"/>
    </row>
    <row r="476" spans="13:13" x14ac:dyDescent="0.25">
      <c r="M476" s="1"/>
    </row>
    <row r="477" spans="13:13" x14ac:dyDescent="0.25">
      <c r="M477" s="1"/>
    </row>
    <row r="478" spans="13:13" x14ac:dyDescent="0.25">
      <c r="M478" s="1"/>
    </row>
    <row r="479" spans="13:13" x14ac:dyDescent="0.25">
      <c r="M479" s="1"/>
    </row>
    <row r="480" spans="13:13" x14ac:dyDescent="0.25">
      <c r="M480" s="1"/>
    </row>
    <row r="481" spans="13:13" x14ac:dyDescent="0.25">
      <c r="M481" s="1"/>
    </row>
    <row r="482" spans="13:13" x14ac:dyDescent="0.25">
      <c r="M482" s="1"/>
    </row>
    <row r="483" spans="13:13" x14ac:dyDescent="0.25">
      <c r="M483" s="1"/>
    </row>
    <row r="484" spans="13:13" x14ac:dyDescent="0.25">
      <c r="M484" s="1"/>
    </row>
    <row r="485" spans="13:13" x14ac:dyDescent="0.25">
      <c r="M485" s="1"/>
    </row>
    <row r="486" spans="13:13" x14ac:dyDescent="0.25">
      <c r="M486" s="1"/>
    </row>
    <row r="487" spans="13:13" x14ac:dyDescent="0.25">
      <c r="M487" s="1"/>
    </row>
    <row r="488" spans="13:13" x14ac:dyDescent="0.25">
      <c r="M488" s="1"/>
    </row>
    <row r="489" spans="13:13" x14ac:dyDescent="0.25">
      <c r="M489" s="1"/>
    </row>
    <row r="490" spans="13:13" x14ac:dyDescent="0.25">
      <c r="M490" s="1"/>
    </row>
    <row r="491" spans="13:13" x14ac:dyDescent="0.25">
      <c r="M491" s="1"/>
    </row>
    <row r="492" spans="13:13" x14ac:dyDescent="0.25">
      <c r="M492" s="1"/>
    </row>
    <row r="493" spans="13:13" x14ac:dyDescent="0.25">
      <c r="M493" s="1"/>
    </row>
    <row r="494" spans="13:13" x14ac:dyDescent="0.25">
      <c r="M494" s="1"/>
    </row>
    <row r="495" spans="13:13" x14ac:dyDescent="0.25">
      <c r="M495" s="1"/>
    </row>
    <row r="496" spans="13:13" x14ac:dyDescent="0.25">
      <c r="M496" s="1"/>
    </row>
    <row r="497" spans="13:13" x14ac:dyDescent="0.25">
      <c r="M497" s="1"/>
    </row>
    <row r="498" spans="13:13" x14ac:dyDescent="0.25">
      <c r="M498" s="1"/>
    </row>
    <row r="499" spans="13:13" x14ac:dyDescent="0.25">
      <c r="M499" s="1"/>
    </row>
    <row r="500" spans="13:13" x14ac:dyDescent="0.25">
      <c r="M500" s="1"/>
    </row>
    <row r="501" spans="13:13" x14ac:dyDescent="0.25">
      <c r="M501" s="1"/>
    </row>
    <row r="502" spans="13:13" x14ac:dyDescent="0.25">
      <c r="M502" s="1"/>
    </row>
    <row r="503" spans="13:13" x14ac:dyDescent="0.25">
      <c r="M503" s="1"/>
    </row>
    <row r="504" spans="13:13" x14ac:dyDescent="0.25">
      <c r="M504" s="1"/>
    </row>
    <row r="505" spans="13:13" x14ac:dyDescent="0.25">
      <c r="M505" s="1"/>
    </row>
    <row r="506" spans="13:13" x14ac:dyDescent="0.25">
      <c r="M506" s="1"/>
    </row>
    <row r="507" spans="13:13" x14ac:dyDescent="0.25">
      <c r="M507" s="1"/>
    </row>
    <row r="508" spans="13:13" x14ac:dyDescent="0.25">
      <c r="M508" s="1"/>
    </row>
    <row r="509" spans="13:13" x14ac:dyDescent="0.25">
      <c r="M509" s="1"/>
    </row>
    <row r="510" spans="13:13" x14ac:dyDescent="0.25">
      <c r="M510" s="1"/>
    </row>
    <row r="511" spans="13:13" x14ac:dyDescent="0.25">
      <c r="M511" s="1"/>
    </row>
    <row r="512" spans="13:13" x14ac:dyDescent="0.25">
      <c r="M512" s="1"/>
    </row>
    <row r="513" spans="13:13" x14ac:dyDescent="0.25">
      <c r="M513" s="1"/>
    </row>
    <row r="514" spans="13:13" x14ac:dyDescent="0.25">
      <c r="M514" s="1"/>
    </row>
    <row r="515" spans="13:13" x14ac:dyDescent="0.25">
      <c r="M515" s="1"/>
    </row>
    <row r="516" spans="13:13" x14ac:dyDescent="0.25">
      <c r="M516" s="1"/>
    </row>
    <row r="517" spans="13:13" x14ac:dyDescent="0.25">
      <c r="M517" s="1"/>
    </row>
    <row r="518" spans="13:13" x14ac:dyDescent="0.25">
      <c r="M518" s="1"/>
    </row>
    <row r="519" spans="13:13" x14ac:dyDescent="0.25">
      <c r="M519" s="1"/>
    </row>
    <row r="520" spans="13:13" x14ac:dyDescent="0.25">
      <c r="M520" s="1"/>
    </row>
    <row r="521" spans="13:13" x14ac:dyDescent="0.25">
      <c r="M521" s="1"/>
    </row>
    <row r="522" spans="13:13" x14ac:dyDescent="0.25">
      <c r="M522" s="1"/>
    </row>
    <row r="523" spans="13:13" x14ac:dyDescent="0.25">
      <c r="M523" s="1"/>
    </row>
    <row r="524" spans="13:13" x14ac:dyDescent="0.25">
      <c r="M524" s="1"/>
    </row>
    <row r="525" spans="13:13" x14ac:dyDescent="0.25">
      <c r="M525" s="1"/>
    </row>
    <row r="526" spans="13:13" x14ac:dyDescent="0.25">
      <c r="M526" s="1"/>
    </row>
    <row r="527" spans="13:13" x14ac:dyDescent="0.25">
      <c r="M527" s="1"/>
    </row>
    <row r="528" spans="13:13" x14ac:dyDescent="0.25">
      <c r="M528" s="1"/>
    </row>
    <row r="529" spans="13:13" x14ac:dyDescent="0.25">
      <c r="M529" s="1"/>
    </row>
    <row r="530" spans="13:13" x14ac:dyDescent="0.25">
      <c r="M530" s="1"/>
    </row>
    <row r="531" spans="13:13" x14ac:dyDescent="0.25">
      <c r="M531" s="1"/>
    </row>
    <row r="532" spans="13:13" x14ac:dyDescent="0.25">
      <c r="M532" s="1"/>
    </row>
    <row r="533" spans="13:13" x14ac:dyDescent="0.25">
      <c r="M533" s="1"/>
    </row>
    <row r="534" spans="13:13" x14ac:dyDescent="0.25">
      <c r="M534" s="1"/>
    </row>
    <row r="535" spans="13:13" x14ac:dyDescent="0.25">
      <c r="M535" s="1"/>
    </row>
    <row r="536" spans="13:13" x14ac:dyDescent="0.25">
      <c r="M536" s="1"/>
    </row>
    <row r="537" spans="13:13" x14ac:dyDescent="0.25">
      <c r="M537" s="1"/>
    </row>
    <row r="538" spans="13:13" x14ac:dyDescent="0.25">
      <c r="M538" s="1"/>
    </row>
    <row r="539" spans="13:13" x14ac:dyDescent="0.25">
      <c r="M539" s="1"/>
    </row>
    <row r="540" spans="13:13" x14ac:dyDescent="0.25">
      <c r="M540" s="1"/>
    </row>
    <row r="541" spans="13:13" x14ac:dyDescent="0.25">
      <c r="M541" s="1"/>
    </row>
    <row r="542" spans="13:13" x14ac:dyDescent="0.25">
      <c r="M542" s="1"/>
    </row>
    <row r="543" spans="13:13" x14ac:dyDescent="0.25">
      <c r="M543" s="1"/>
    </row>
    <row r="544" spans="13:13" x14ac:dyDescent="0.25">
      <c r="M544" s="1"/>
    </row>
    <row r="545" spans="13:13" x14ac:dyDescent="0.25">
      <c r="M545" s="1"/>
    </row>
    <row r="546" spans="13:13" x14ac:dyDescent="0.25">
      <c r="M546" s="1"/>
    </row>
    <row r="547" spans="13:13" x14ac:dyDescent="0.25">
      <c r="M547" s="1"/>
    </row>
    <row r="548" spans="13:13" x14ac:dyDescent="0.25">
      <c r="M548" s="1"/>
    </row>
    <row r="549" spans="13:13" x14ac:dyDescent="0.25">
      <c r="M549" s="1"/>
    </row>
    <row r="550" spans="13:13" x14ac:dyDescent="0.25">
      <c r="M550" s="1"/>
    </row>
    <row r="551" spans="13:13" x14ac:dyDescent="0.25">
      <c r="M551" s="1"/>
    </row>
    <row r="552" spans="13:13" x14ac:dyDescent="0.25">
      <c r="M552" s="1"/>
    </row>
    <row r="553" spans="13:13" x14ac:dyDescent="0.25">
      <c r="M553" s="1"/>
    </row>
    <row r="554" spans="13:13" x14ac:dyDescent="0.25">
      <c r="M554" s="1"/>
    </row>
    <row r="555" spans="13:13" x14ac:dyDescent="0.25">
      <c r="M555" s="1"/>
    </row>
    <row r="556" spans="13:13" x14ac:dyDescent="0.25">
      <c r="M556" s="1"/>
    </row>
    <row r="557" spans="13:13" x14ac:dyDescent="0.25">
      <c r="M557" s="1"/>
    </row>
    <row r="558" spans="13:13" x14ac:dyDescent="0.25">
      <c r="M558" s="1"/>
    </row>
    <row r="559" spans="13:13" x14ac:dyDescent="0.25">
      <c r="M559" s="1"/>
    </row>
    <row r="560" spans="13:13" x14ac:dyDescent="0.25">
      <c r="M560" s="1"/>
    </row>
    <row r="561" spans="13:13" x14ac:dyDescent="0.25">
      <c r="M561" s="1"/>
    </row>
    <row r="562" spans="13:13" x14ac:dyDescent="0.25">
      <c r="M562" s="1"/>
    </row>
    <row r="563" spans="13:13" x14ac:dyDescent="0.25">
      <c r="M563" s="1"/>
    </row>
    <row r="564" spans="13:13" x14ac:dyDescent="0.25">
      <c r="M564" s="1"/>
    </row>
    <row r="565" spans="13:13" x14ac:dyDescent="0.25">
      <c r="M565" s="1"/>
    </row>
    <row r="566" spans="13:13" x14ac:dyDescent="0.25">
      <c r="M566" s="1"/>
    </row>
    <row r="567" spans="13:13" x14ac:dyDescent="0.25">
      <c r="M567" s="1"/>
    </row>
    <row r="568" spans="13:13" x14ac:dyDescent="0.25">
      <c r="M568" s="1"/>
    </row>
    <row r="569" spans="13:13" x14ac:dyDescent="0.25">
      <c r="M569" s="1"/>
    </row>
    <row r="570" spans="13:13" x14ac:dyDescent="0.25">
      <c r="M570" s="1"/>
    </row>
    <row r="571" spans="13:13" x14ac:dyDescent="0.25">
      <c r="M571" s="1"/>
    </row>
    <row r="572" spans="13:13" x14ac:dyDescent="0.25">
      <c r="M572" s="1"/>
    </row>
    <row r="573" spans="13:13" x14ac:dyDescent="0.25">
      <c r="M573" s="1"/>
    </row>
    <row r="574" spans="13:13" x14ac:dyDescent="0.25">
      <c r="M574" s="1"/>
    </row>
    <row r="575" spans="13:13" x14ac:dyDescent="0.25">
      <c r="M575" s="1"/>
    </row>
    <row r="576" spans="13:13" x14ac:dyDescent="0.25">
      <c r="M576" s="1"/>
    </row>
    <row r="577" spans="13:13" x14ac:dyDescent="0.25">
      <c r="M577" s="1"/>
    </row>
    <row r="578" spans="13:13" x14ac:dyDescent="0.25">
      <c r="M578" s="1"/>
    </row>
    <row r="579" spans="13:13" x14ac:dyDescent="0.25">
      <c r="M579" s="1"/>
    </row>
    <row r="580" spans="13:13" x14ac:dyDescent="0.25">
      <c r="M580" s="1"/>
    </row>
    <row r="581" spans="13:13" x14ac:dyDescent="0.25">
      <c r="M581" s="1"/>
    </row>
    <row r="582" spans="13:13" x14ac:dyDescent="0.25">
      <c r="M582" s="1"/>
    </row>
    <row r="583" spans="13:13" x14ac:dyDescent="0.25">
      <c r="M583" s="1"/>
    </row>
    <row r="584" spans="13:13" x14ac:dyDescent="0.25">
      <c r="M584" s="1"/>
    </row>
    <row r="585" spans="13:13" x14ac:dyDescent="0.25">
      <c r="M585" s="1"/>
    </row>
    <row r="586" spans="13:13" x14ac:dyDescent="0.25">
      <c r="M586" s="1"/>
    </row>
    <row r="587" spans="13:13" x14ac:dyDescent="0.25">
      <c r="M587" s="1"/>
    </row>
    <row r="588" spans="13:13" x14ac:dyDescent="0.25">
      <c r="M588" s="1"/>
    </row>
    <row r="589" spans="13:13" x14ac:dyDescent="0.25">
      <c r="M589" s="1"/>
    </row>
    <row r="590" spans="13:13" x14ac:dyDescent="0.25">
      <c r="M590" s="1"/>
    </row>
    <row r="591" spans="13:13" x14ac:dyDescent="0.25">
      <c r="M591" s="1"/>
    </row>
    <row r="592" spans="13:13" x14ac:dyDescent="0.25">
      <c r="M592" s="1"/>
    </row>
    <row r="593" spans="13:13" x14ac:dyDescent="0.25">
      <c r="M593" s="1"/>
    </row>
    <row r="594" spans="13:13" x14ac:dyDescent="0.25">
      <c r="M594" s="1"/>
    </row>
    <row r="595" spans="13:13" x14ac:dyDescent="0.25">
      <c r="M595" s="1"/>
    </row>
    <row r="596" spans="13:13" x14ac:dyDescent="0.25">
      <c r="M596" s="1"/>
    </row>
    <row r="597" spans="13:13" x14ac:dyDescent="0.25">
      <c r="M597" s="1"/>
    </row>
    <row r="598" spans="13:13" x14ac:dyDescent="0.25">
      <c r="M598" s="1"/>
    </row>
    <row r="599" spans="13:13" x14ac:dyDescent="0.25">
      <c r="M599" s="1"/>
    </row>
    <row r="600" spans="13:13" x14ac:dyDescent="0.25">
      <c r="M600" s="1"/>
    </row>
    <row r="601" spans="13:13" x14ac:dyDescent="0.25">
      <c r="M601" s="1"/>
    </row>
    <row r="602" spans="13:13" x14ac:dyDescent="0.25">
      <c r="M602" s="1"/>
    </row>
    <row r="603" spans="13:13" x14ac:dyDescent="0.25">
      <c r="M603" s="1"/>
    </row>
    <row r="604" spans="13:13" x14ac:dyDescent="0.25">
      <c r="M604" s="1"/>
    </row>
    <row r="605" spans="13:13" x14ac:dyDescent="0.25">
      <c r="M605" s="1"/>
    </row>
    <row r="606" spans="13:13" x14ac:dyDescent="0.25">
      <c r="M606" s="1"/>
    </row>
    <row r="607" spans="13:13" x14ac:dyDescent="0.25">
      <c r="M607" s="1"/>
    </row>
    <row r="608" spans="13:13" x14ac:dyDescent="0.25">
      <c r="M608" s="1"/>
    </row>
    <row r="609" spans="13:13" x14ac:dyDescent="0.25">
      <c r="M609" s="1"/>
    </row>
    <row r="610" spans="13:13" x14ac:dyDescent="0.25">
      <c r="M610" s="1"/>
    </row>
    <row r="611" spans="13:13" x14ac:dyDescent="0.25">
      <c r="M611" s="1"/>
    </row>
    <row r="612" spans="13:13" x14ac:dyDescent="0.25">
      <c r="M612" s="1"/>
    </row>
    <row r="613" spans="13:13" x14ac:dyDescent="0.25">
      <c r="M613" s="1"/>
    </row>
    <row r="614" spans="13:13" x14ac:dyDescent="0.25">
      <c r="M614" s="1"/>
    </row>
    <row r="615" spans="13:13" x14ac:dyDescent="0.25">
      <c r="M615" s="1"/>
    </row>
    <row r="616" spans="13:13" x14ac:dyDescent="0.25">
      <c r="M616" s="1"/>
    </row>
    <row r="617" spans="13:13" x14ac:dyDescent="0.25">
      <c r="M617" s="1"/>
    </row>
    <row r="618" spans="13:13" x14ac:dyDescent="0.25">
      <c r="M618" s="1"/>
    </row>
    <row r="619" spans="13:13" x14ac:dyDescent="0.25">
      <c r="M619" s="1"/>
    </row>
    <row r="620" spans="13:13" x14ac:dyDescent="0.25">
      <c r="M620" s="1"/>
    </row>
    <row r="621" spans="13:13" x14ac:dyDescent="0.25">
      <c r="M621" s="1"/>
    </row>
    <row r="622" spans="13:13" x14ac:dyDescent="0.25">
      <c r="M622" s="1"/>
    </row>
    <row r="623" spans="13:13" x14ac:dyDescent="0.25">
      <c r="M623" s="1"/>
    </row>
    <row r="624" spans="13:13" x14ac:dyDescent="0.25">
      <c r="M624" s="1"/>
    </row>
    <row r="625" spans="13:13" x14ac:dyDescent="0.25">
      <c r="M625" s="1"/>
    </row>
    <row r="626" spans="13:13" x14ac:dyDescent="0.25">
      <c r="M626" s="1"/>
    </row>
    <row r="627" spans="13:13" x14ac:dyDescent="0.25">
      <c r="M627" s="1"/>
    </row>
    <row r="628" spans="13:13" x14ac:dyDescent="0.25">
      <c r="M628" s="1"/>
    </row>
    <row r="629" spans="13:13" x14ac:dyDescent="0.25">
      <c r="M629" s="1"/>
    </row>
    <row r="630" spans="13:13" x14ac:dyDescent="0.25">
      <c r="M630" s="1"/>
    </row>
    <row r="631" spans="13:13" x14ac:dyDescent="0.25">
      <c r="M631" s="1"/>
    </row>
    <row r="632" spans="13:13" x14ac:dyDescent="0.25">
      <c r="M632" s="1"/>
    </row>
    <row r="633" spans="13:13" x14ac:dyDescent="0.25">
      <c r="M633" s="1"/>
    </row>
    <row r="634" spans="13:13" x14ac:dyDescent="0.25">
      <c r="M634" s="1"/>
    </row>
    <row r="635" spans="13:13" x14ac:dyDescent="0.25">
      <c r="M635" s="1"/>
    </row>
    <row r="636" spans="13:13" x14ac:dyDescent="0.25">
      <c r="M636" s="1"/>
    </row>
    <row r="637" spans="13:13" x14ac:dyDescent="0.25">
      <c r="M637" s="1"/>
    </row>
    <row r="638" spans="13:13" x14ac:dyDescent="0.25">
      <c r="M638" s="1"/>
    </row>
    <row r="639" spans="13:13" x14ac:dyDescent="0.25">
      <c r="M639" s="1"/>
    </row>
    <row r="640" spans="13:13" x14ac:dyDescent="0.25">
      <c r="M640" s="1"/>
    </row>
    <row r="641" spans="13:13" x14ac:dyDescent="0.25">
      <c r="M641" s="1"/>
    </row>
    <row r="642" spans="13:13" x14ac:dyDescent="0.25">
      <c r="M642" s="1"/>
    </row>
    <row r="643" spans="13:13" x14ac:dyDescent="0.25">
      <c r="M643" s="1"/>
    </row>
    <row r="644" spans="13:13" x14ac:dyDescent="0.25">
      <c r="M644" s="1"/>
    </row>
    <row r="645" spans="13:13" x14ac:dyDescent="0.25">
      <c r="M645" s="1"/>
    </row>
    <row r="646" spans="13:13" x14ac:dyDescent="0.25">
      <c r="M646" s="1"/>
    </row>
    <row r="647" spans="13:13" x14ac:dyDescent="0.25">
      <c r="M647" s="1"/>
    </row>
    <row r="648" spans="13:13" x14ac:dyDescent="0.25">
      <c r="M648" s="1"/>
    </row>
    <row r="649" spans="13:13" x14ac:dyDescent="0.25">
      <c r="M649" s="1"/>
    </row>
    <row r="650" spans="13:13" x14ac:dyDescent="0.25">
      <c r="M650" s="1"/>
    </row>
    <row r="651" spans="13:13" x14ac:dyDescent="0.25">
      <c r="M651" s="1"/>
    </row>
    <row r="652" spans="13:13" x14ac:dyDescent="0.25">
      <c r="M652" s="1"/>
    </row>
    <row r="653" spans="13:13" x14ac:dyDescent="0.25">
      <c r="M653" s="1"/>
    </row>
    <row r="654" spans="13:13" x14ac:dyDescent="0.25">
      <c r="M654" s="1"/>
    </row>
    <row r="655" spans="13:13" x14ac:dyDescent="0.25">
      <c r="M655" s="1"/>
    </row>
    <row r="656" spans="13:13" x14ac:dyDescent="0.25">
      <c r="M656" s="1"/>
    </row>
    <row r="657" spans="13:13" x14ac:dyDescent="0.25">
      <c r="M657" s="1"/>
    </row>
    <row r="658" spans="13:13" x14ac:dyDescent="0.25">
      <c r="M658" s="1"/>
    </row>
    <row r="659" spans="13:13" x14ac:dyDescent="0.25">
      <c r="M659" s="1"/>
    </row>
    <row r="660" spans="13:13" x14ac:dyDescent="0.25">
      <c r="M660" s="1"/>
    </row>
    <row r="661" spans="13:13" x14ac:dyDescent="0.25">
      <c r="M661" s="1"/>
    </row>
    <row r="662" spans="13:13" x14ac:dyDescent="0.25">
      <c r="M662" s="1"/>
    </row>
    <row r="663" spans="13:13" x14ac:dyDescent="0.25">
      <c r="M663" s="1"/>
    </row>
    <row r="664" spans="13:13" x14ac:dyDescent="0.25">
      <c r="M664" s="1"/>
    </row>
    <row r="665" spans="13:13" x14ac:dyDescent="0.25">
      <c r="M665" s="1"/>
    </row>
    <row r="666" spans="13:13" x14ac:dyDescent="0.25">
      <c r="M666" s="1"/>
    </row>
    <row r="667" spans="13:13" x14ac:dyDescent="0.25">
      <c r="M667" s="1"/>
    </row>
    <row r="668" spans="13:13" x14ac:dyDescent="0.25">
      <c r="M668" s="1"/>
    </row>
    <row r="669" spans="13:13" x14ac:dyDescent="0.25">
      <c r="M669" s="1"/>
    </row>
    <row r="670" spans="13:13" x14ac:dyDescent="0.25">
      <c r="M670" s="1"/>
    </row>
    <row r="671" spans="13:13" x14ac:dyDescent="0.25">
      <c r="M671" s="1"/>
    </row>
    <row r="672" spans="13:13" x14ac:dyDescent="0.25">
      <c r="M672" s="1"/>
    </row>
    <row r="673" spans="13:13" x14ac:dyDescent="0.25">
      <c r="M673" s="1"/>
    </row>
    <row r="674" spans="13:13" x14ac:dyDescent="0.25">
      <c r="M674" s="1"/>
    </row>
    <row r="675" spans="13:13" x14ac:dyDescent="0.25">
      <c r="M675" s="1"/>
    </row>
    <row r="676" spans="13:13" x14ac:dyDescent="0.25">
      <c r="M676" s="1"/>
    </row>
    <row r="677" spans="13:13" x14ac:dyDescent="0.25">
      <c r="M677" s="1"/>
    </row>
    <row r="678" spans="13:13" x14ac:dyDescent="0.25">
      <c r="M678" s="1"/>
    </row>
    <row r="679" spans="13:13" x14ac:dyDescent="0.25">
      <c r="M679" s="1"/>
    </row>
    <row r="680" spans="13:13" x14ac:dyDescent="0.25">
      <c r="M680" s="1"/>
    </row>
    <row r="681" spans="13:13" x14ac:dyDescent="0.25">
      <c r="M681" s="1"/>
    </row>
    <row r="682" spans="13:13" x14ac:dyDescent="0.25">
      <c r="M682" s="1"/>
    </row>
    <row r="683" spans="13:13" x14ac:dyDescent="0.25">
      <c r="M683" s="1"/>
    </row>
    <row r="684" spans="13:13" x14ac:dyDescent="0.25">
      <c r="M684" s="1"/>
    </row>
    <row r="685" spans="13:13" x14ac:dyDescent="0.25">
      <c r="M685" s="1"/>
    </row>
    <row r="686" spans="13:13" x14ac:dyDescent="0.25">
      <c r="M686" s="1"/>
    </row>
    <row r="687" spans="13:13" x14ac:dyDescent="0.25">
      <c r="M687" s="1"/>
    </row>
    <row r="688" spans="13:13" x14ac:dyDescent="0.25">
      <c r="M688" s="1"/>
    </row>
    <row r="689" spans="13:13" x14ac:dyDescent="0.25">
      <c r="M689" s="1"/>
    </row>
    <row r="690" spans="13:13" x14ac:dyDescent="0.25">
      <c r="M690" s="1"/>
    </row>
    <row r="691" spans="13:13" x14ac:dyDescent="0.25">
      <c r="M691" s="1"/>
    </row>
    <row r="692" spans="13:13" x14ac:dyDescent="0.25">
      <c r="M692" s="1"/>
    </row>
    <row r="693" spans="13:13" x14ac:dyDescent="0.25">
      <c r="M693" s="1"/>
    </row>
    <row r="694" spans="13:13" x14ac:dyDescent="0.25">
      <c r="M694" s="1"/>
    </row>
    <row r="695" spans="13:13" x14ac:dyDescent="0.25">
      <c r="M695" s="1"/>
    </row>
    <row r="696" spans="13:13" x14ac:dyDescent="0.25">
      <c r="M696" s="1"/>
    </row>
    <row r="697" spans="13:13" x14ac:dyDescent="0.25">
      <c r="M697" s="1"/>
    </row>
    <row r="698" spans="13:13" x14ac:dyDescent="0.25">
      <c r="M698" s="1"/>
    </row>
    <row r="699" spans="13:13" x14ac:dyDescent="0.25">
      <c r="M699" s="1"/>
    </row>
    <row r="700" spans="13:13" x14ac:dyDescent="0.25">
      <c r="M700" s="1"/>
    </row>
    <row r="701" spans="13:13" x14ac:dyDescent="0.25">
      <c r="M701" s="1"/>
    </row>
    <row r="702" spans="13:13" x14ac:dyDescent="0.25">
      <c r="M702" s="1"/>
    </row>
    <row r="703" spans="13:13" x14ac:dyDescent="0.25">
      <c r="M703" s="1"/>
    </row>
    <row r="704" spans="13:13" x14ac:dyDescent="0.25">
      <c r="M704" s="1"/>
    </row>
    <row r="705" spans="13:13" x14ac:dyDescent="0.25">
      <c r="M705" s="1"/>
    </row>
    <row r="706" spans="13:13" x14ac:dyDescent="0.25">
      <c r="M706" s="1"/>
    </row>
    <row r="707" spans="13:13" x14ac:dyDescent="0.25">
      <c r="M707" s="1"/>
    </row>
    <row r="708" spans="13:13" x14ac:dyDescent="0.25">
      <c r="M708" s="1"/>
    </row>
    <row r="709" spans="13:13" x14ac:dyDescent="0.25">
      <c r="M709" s="1"/>
    </row>
    <row r="710" spans="13:13" x14ac:dyDescent="0.25">
      <c r="M710" s="1"/>
    </row>
    <row r="711" spans="13:13" x14ac:dyDescent="0.25">
      <c r="M711" s="1"/>
    </row>
    <row r="712" spans="13:13" x14ac:dyDescent="0.25">
      <c r="M712" s="1"/>
    </row>
    <row r="713" spans="13:13" x14ac:dyDescent="0.25">
      <c r="M713" s="1"/>
    </row>
    <row r="714" spans="13:13" x14ac:dyDescent="0.25">
      <c r="M714" s="1"/>
    </row>
    <row r="715" spans="13:13" x14ac:dyDescent="0.25">
      <c r="M715" s="1"/>
    </row>
    <row r="716" spans="13:13" x14ac:dyDescent="0.25">
      <c r="M716" s="1"/>
    </row>
    <row r="717" spans="13:13" x14ac:dyDescent="0.25">
      <c r="M717" s="1"/>
    </row>
    <row r="718" spans="13:13" x14ac:dyDescent="0.25">
      <c r="M718" s="1"/>
    </row>
    <row r="719" spans="13:13" x14ac:dyDescent="0.25">
      <c r="M719" s="1"/>
    </row>
    <row r="720" spans="13:13" x14ac:dyDescent="0.25">
      <c r="M720" s="1"/>
    </row>
    <row r="721" spans="13:13" x14ac:dyDescent="0.25">
      <c r="M721" s="1"/>
    </row>
    <row r="722" spans="13:13" x14ac:dyDescent="0.25">
      <c r="M722" s="1"/>
    </row>
    <row r="723" spans="13:13" x14ac:dyDescent="0.25">
      <c r="M723" s="1"/>
    </row>
    <row r="724" spans="13:13" x14ac:dyDescent="0.25">
      <c r="M724" s="1"/>
    </row>
    <row r="725" spans="13:13" x14ac:dyDescent="0.25">
      <c r="M725" s="1"/>
    </row>
    <row r="726" spans="13:13" x14ac:dyDescent="0.25">
      <c r="M726" s="1"/>
    </row>
    <row r="727" spans="13:13" x14ac:dyDescent="0.25">
      <c r="M727" s="1"/>
    </row>
    <row r="728" spans="13:13" x14ac:dyDescent="0.25">
      <c r="M728" s="1"/>
    </row>
    <row r="729" spans="13:13" x14ac:dyDescent="0.25">
      <c r="M729" s="1"/>
    </row>
    <row r="730" spans="13:13" x14ac:dyDescent="0.25">
      <c r="M730" s="1"/>
    </row>
    <row r="731" spans="13:13" x14ac:dyDescent="0.25">
      <c r="M731" s="1"/>
    </row>
    <row r="732" spans="13:13" x14ac:dyDescent="0.25">
      <c r="M732" s="1"/>
    </row>
    <row r="733" spans="13:13" x14ac:dyDescent="0.25">
      <c r="M733" s="1"/>
    </row>
    <row r="734" spans="13:13" x14ac:dyDescent="0.25">
      <c r="M734" s="1"/>
    </row>
    <row r="735" spans="13:13" x14ac:dyDescent="0.25">
      <c r="M735" s="1"/>
    </row>
    <row r="736" spans="13:13" x14ac:dyDescent="0.25">
      <c r="M736" s="1"/>
    </row>
    <row r="737" spans="13:13" x14ac:dyDescent="0.25">
      <c r="M737" s="1"/>
    </row>
    <row r="738" spans="13:13" x14ac:dyDescent="0.25">
      <c r="M738" s="1"/>
    </row>
    <row r="739" spans="13:13" x14ac:dyDescent="0.25">
      <c r="M739" s="1"/>
    </row>
    <row r="740" spans="13:13" x14ac:dyDescent="0.25">
      <c r="M740" s="1"/>
    </row>
    <row r="741" spans="13:13" x14ac:dyDescent="0.25">
      <c r="M741" s="1"/>
    </row>
    <row r="742" spans="13:13" x14ac:dyDescent="0.25">
      <c r="M742" s="1"/>
    </row>
    <row r="743" spans="13:13" x14ac:dyDescent="0.25">
      <c r="M743" s="1"/>
    </row>
    <row r="744" spans="13:13" x14ac:dyDescent="0.25">
      <c r="M744" s="1"/>
    </row>
    <row r="745" spans="13:13" x14ac:dyDescent="0.25">
      <c r="M745" s="1"/>
    </row>
    <row r="746" spans="13:13" x14ac:dyDescent="0.25">
      <c r="M746" s="1"/>
    </row>
    <row r="747" spans="13:13" x14ac:dyDescent="0.25">
      <c r="M747" s="1"/>
    </row>
    <row r="748" spans="13:13" x14ac:dyDescent="0.25">
      <c r="M748" s="1"/>
    </row>
    <row r="749" spans="13:13" x14ac:dyDescent="0.25">
      <c r="M749" s="1"/>
    </row>
    <row r="750" spans="13:13" x14ac:dyDescent="0.25">
      <c r="M750" s="1"/>
    </row>
    <row r="751" spans="13:13" x14ac:dyDescent="0.25">
      <c r="M751" s="1"/>
    </row>
    <row r="752" spans="13:13" x14ac:dyDescent="0.25">
      <c r="M752" s="1"/>
    </row>
    <row r="753" spans="13:13" x14ac:dyDescent="0.25">
      <c r="M753" s="1"/>
    </row>
    <row r="754" spans="13:13" x14ac:dyDescent="0.25">
      <c r="M754" s="1"/>
    </row>
    <row r="755" spans="13:13" x14ac:dyDescent="0.25">
      <c r="M755" s="1"/>
    </row>
    <row r="756" spans="13:13" x14ac:dyDescent="0.25">
      <c r="M756" s="1"/>
    </row>
    <row r="757" spans="13:13" x14ac:dyDescent="0.25">
      <c r="M757" s="1"/>
    </row>
    <row r="758" spans="13:13" x14ac:dyDescent="0.25">
      <c r="M758" s="1"/>
    </row>
    <row r="759" spans="13:13" x14ac:dyDescent="0.25">
      <c r="M759" s="1"/>
    </row>
    <row r="760" spans="13:13" x14ac:dyDescent="0.25">
      <c r="M760" s="1"/>
    </row>
    <row r="761" spans="13:13" x14ac:dyDescent="0.25">
      <c r="M761" s="1"/>
    </row>
    <row r="762" spans="13:13" x14ac:dyDescent="0.25">
      <c r="M762" s="1"/>
    </row>
    <row r="763" spans="13:13" x14ac:dyDescent="0.25">
      <c r="M763" s="1"/>
    </row>
    <row r="764" spans="13:13" x14ac:dyDescent="0.25">
      <c r="M764" s="1"/>
    </row>
    <row r="765" spans="13:13" x14ac:dyDescent="0.25">
      <c r="M765" s="1"/>
    </row>
    <row r="766" spans="13:13" x14ac:dyDescent="0.25">
      <c r="M766" s="1"/>
    </row>
    <row r="767" spans="13:13" x14ac:dyDescent="0.25">
      <c r="M767" s="1"/>
    </row>
    <row r="768" spans="13:13" x14ac:dyDescent="0.25">
      <c r="M768" s="1"/>
    </row>
    <row r="769" spans="13:13" x14ac:dyDescent="0.25">
      <c r="M769" s="1"/>
    </row>
    <row r="770" spans="13:13" x14ac:dyDescent="0.25">
      <c r="M770" s="1"/>
    </row>
    <row r="771" spans="13:13" x14ac:dyDescent="0.25">
      <c r="M771" s="1"/>
    </row>
    <row r="772" spans="13:13" x14ac:dyDescent="0.25">
      <c r="M772" s="1"/>
    </row>
    <row r="773" spans="13:13" x14ac:dyDescent="0.25">
      <c r="M773" s="1"/>
    </row>
    <row r="774" spans="13:13" x14ac:dyDescent="0.25">
      <c r="M774" s="1"/>
    </row>
    <row r="775" spans="13:13" x14ac:dyDescent="0.25">
      <c r="M775" s="1"/>
    </row>
    <row r="776" spans="13:13" x14ac:dyDescent="0.25">
      <c r="M776" s="1"/>
    </row>
    <row r="777" spans="13:13" x14ac:dyDescent="0.25">
      <c r="M777" s="1"/>
    </row>
    <row r="778" spans="13:13" x14ac:dyDescent="0.25">
      <c r="M778" s="1"/>
    </row>
    <row r="779" spans="13:13" x14ac:dyDescent="0.25">
      <c r="M779" s="1"/>
    </row>
    <row r="780" spans="13:13" x14ac:dyDescent="0.25">
      <c r="M780" s="1"/>
    </row>
    <row r="781" spans="13:13" x14ac:dyDescent="0.25">
      <c r="M781" s="1"/>
    </row>
    <row r="782" spans="13:13" x14ac:dyDescent="0.25">
      <c r="M782" s="1"/>
    </row>
    <row r="783" spans="13:13" x14ac:dyDescent="0.25">
      <c r="M783" s="1"/>
    </row>
    <row r="784" spans="13:13" x14ac:dyDescent="0.25">
      <c r="M784" s="1"/>
    </row>
    <row r="785" spans="13:13" x14ac:dyDescent="0.25">
      <c r="M785" s="1"/>
    </row>
    <row r="786" spans="13:13" x14ac:dyDescent="0.25">
      <c r="M786" s="1"/>
    </row>
    <row r="787" spans="13:13" x14ac:dyDescent="0.25">
      <c r="M787" s="1"/>
    </row>
    <row r="788" spans="13:13" x14ac:dyDescent="0.25">
      <c r="M788" s="1"/>
    </row>
    <row r="789" spans="13:13" x14ac:dyDescent="0.25">
      <c r="M789" s="1"/>
    </row>
    <row r="790" spans="13:13" x14ac:dyDescent="0.25">
      <c r="M790" s="1"/>
    </row>
    <row r="791" spans="13:13" x14ac:dyDescent="0.25">
      <c r="M791" s="1"/>
    </row>
    <row r="792" spans="13:13" x14ac:dyDescent="0.25">
      <c r="M792" s="1"/>
    </row>
    <row r="793" spans="13:13" x14ac:dyDescent="0.25">
      <c r="M793" s="1"/>
    </row>
    <row r="794" spans="13:13" x14ac:dyDescent="0.25">
      <c r="M794" s="1"/>
    </row>
    <row r="795" spans="13:13" x14ac:dyDescent="0.25">
      <c r="M795" s="1"/>
    </row>
    <row r="796" spans="13:13" x14ac:dyDescent="0.25">
      <c r="M796" s="1"/>
    </row>
    <row r="797" spans="13:13" x14ac:dyDescent="0.25">
      <c r="M797" s="1"/>
    </row>
    <row r="798" spans="13:13" x14ac:dyDescent="0.25">
      <c r="M798" s="1"/>
    </row>
    <row r="799" spans="13:13" x14ac:dyDescent="0.25">
      <c r="M799" s="1"/>
    </row>
    <row r="800" spans="13:13" x14ac:dyDescent="0.25">
      <c r="M800" s="1"/>
    </row>
    <row r="801" spans="13:13" x14ac:dyDescent="0.25">
      <c r="M801" s="1"/>
    </row>
    <row r="802" spans="13:13" x14ac:dyDescent="0.25">
      <c r="M802" s="1"/>
    </row>
    <row r="803" spans="13:13" x14ac:dyDescent="0.25">
      <c r="M803" s="1"/>
    </row>
    <row r="804" spans="13:13" x14ac:dyDescent="0.25">
      <c r="M804" s="1"/>
    </row>
    <row r="805" spans="13:13" x14ac:dyDescent="0.25">
      <c r="M805" s="1"/>
    </row>
    <row r="806" spans="13:13" x14ac:dyDescent="0.25">
      <c r="M806" s="1"/>
    </row>
    <row r="807" spans="13:13" x14ac:dyDescent="0.25">
      <c r="M807" s="1"/>
    </row>
    <row r="808" spans="13:13" x14ac:dyDescent="0.25">
      <c r="M808" s="1"/>
    </row>
    <row r="809" spans="13:13" x14ac:dyDescent="0.25">
      <c r="M809" s="1"/>
    </row>
    <row r="810" spans="13:13" x14ac:dyDescent="0.25">
      <c r="M810" s="1"/>
    </row>
    <row r="811" spans="13:13" x14ac:dyDescent="0.25">
      <c r="M811" s="1"/>
    </row>
    <row r="812" spans="13:13" x14ac:dyDescent="0.25">
      <c r="M812" s="1"/>
    </row>
    <row r="813" spans="13:13" x14ac:dyDescent="0.25">
      <c r="M813" s="1"/>
    </row>
    <row r="814" spans="13:13" x14ac:dyDescent="0.25">
      <c r="M814" s="1"/>
    </row>
    <row r="815" spans="13:13" x14ac:dyDescent="0.25">
      <c r="M815" s="1"/>
    </row>
    <row r="816" spans="13:13" x14ac:dyDescent="0.25">
      <c r="M816" s="1"/>
    </row>
    <row r="817" spans="13:13" x14ac:dyDescent="0.25">
      <c r="M817" s="1"/>
    </row>
    <row r="818" spans="13:13" x14ac:dyDescent="0.25">
      <c r="M818" s="1"/>
    </row>
    <row r="819" spans="13:13" x14ac:dyDescent="0.25">
      <c r="M819" s="1"/>
    </row>
    <row r="820" spans="13:13" x14ac:dyDescent="0.25">
      <c r="M820" s="1"/>
    </row>
    <row r="821" spans="13:13" x14ac:dyDescent="0.25">
      <c r="M821" s="1"/>
    </row>
    <row r="822" spans="13:13" x14ac:dyDescent="0.25">
      <c r="M822" s="1"/>
    </row>
    <row r="823" spans="13:13" x14ac:dyDescent="0.25">
      <c r="M823" s="1"/>
    </row>
    <row r="824" spans="13:13" x14ac:dyDescent="0.25">
      <c r="M824" s="1"/>
    </row>
    <row r="825" spans="13:13" x14ac:dyDescent="0.25">
      <c r="M825" s="1"/>
    </row>
    <row r="826" spans="13:13" x14ac:dyDescent="0.25">
      <c r="M826" s="1"/>
    </row>
    <row r="827" spans="13:13" x14ac:dyDescent="0.25">
      <c r="M827" s="1"/>
    </row>
    <row r="828" spans="13:13" x14ac:dyDescent="0.25">
      <c r="M828" s="1"/>
    </row>
    <row r="829" spans="13:13" x14ac:dyDescent="0.25">
      <c r="M829" s="1"/>
    </row>
    <row r="830" spans="13:13" x14ac:dyDescent="0.25">
      <c r="M830" s="1"/>
    </row>
    <row r="831" spans="13:13" x14ac:dyDescent="0.25">
      <c r="M831" s="1"/>
    </row>
    <row r="832" spans="13:13" x14ac:dyDescent="0.25">
      <c r="M832" s="1"/>
    </row>
    <row r="833" spans="13:13" x14ac:dyDescent="0.25">
      <c r="M833" s="1"/>
    </row>
    <row r="834" spans="13:13" x14ac:dyDescent="0.25">
      <c r="M834" s="1"/>
    </row>
    <row r="835" spans="13:13" x14ac:dyDescent="0.25">
      <c r="M835" s="1"/>
    </row>
    <row r="836" spans="13:13" x14ac:dyDescent="0.25">
      <c r="M836" s="1"/>
    </row>
    <row r="837" spans="13:13" x14ac:dyDescent="0.25">
      <c r="M837" s="1"/>
    </row>
    <row r="838" spans="13:13" x14ac:dyDescent="0.25">
      <c r="M838" s="1"/>
    </row>
    <row r="839" spans="13:13" x14ac:dyDescent="0.25">
      <c r="M839" s="1"/>
    </row>
    <row r="840" spans="13:13" x14ac:dyDescent="0.25">
      <c r="M840" s="1"/>
    </row>
    <row r="841" spans="13:13" x14ac:dyDescent="0.25">
      <c r="M841" s="1"/>
    </row>
    <row r="842" spans="13:13" x14ac:dyDescent="0.25">
      <c r="M842" s="1"/>
    </row>
    <row r="843" spans="13:13" x14ac:dyDescent="0.25">
      <c r="M843" s="1"/>
    </row>
    <row r="844" spans="13:13" x14ac:dyDescent="0.25">
      <c r="M844" s="1"/>
    </row>
    <row r="845" spans="13:13" x14ac:dyDescent="0.25">
      <c r="M845" s="1"/>
    </row>
    <row r="846" spans="13:13" x14ac:dyDescent="0.25">
      <c r="M846" s="1"/>
    </row>
    <row r="847" spans="13:13" x14ac:dyDescent="0.25">
      <c r="M847" s="1"/>
    </row>
    <row r="848" spans="13:13" x14ac:dyDescent="0.25">
      <c r="M848" s="1"/>
    </row>
    <row r="849" spans="13:13" x14ac:dyDescent="0.25">
      <c r="M849" s="1"/>
    </row>
    <row r="850" spans="13:13" x14ac:dyDescent="0.25">
      <c r="M850" s="1"/>
    </row>
    <row r="851" spans="13:13" x14ac:dyDescent="0.25">
      <c r="M851" s="1"/>
    </row>
    <row r="852" spans="13:13" x14ac:dyDescent="0.25">
      <c r="M852" s="1"/>
    </row>
    <row r="853" spans="13:13" x14ac:dyDescent="0.25">
      <c r="M853" s="1"/>
    </row>
    <row r="854" spans="13:13" x14ac:dyDescent="0.25">
      <c r="M854" s="1"/>
    </row>
    <row r="855" spans="13:13" x14ac:dyDescent="0.25">
      <c r="M855" s="1"/>
    </row>
    <row r="856" spans="13:13" x14ac:dyDescent="0.25">
      <c r="M856" s="1"/>
    </row>
    <row r="857" spans="13:13" x14ac:dyDescent="0.25">
      <c r="M857" s="1"/>
    </row>
    <row r="858" spans="13:13" x14ac:dyDescent="0.25">
      <c r="M858" s="1"/>
    </row>
    <row r="859" spans="13:13" x14ac:dyDescent="0.25">
      <c r="M859" s="1"/>
    </row>
    <row r="860" spans="13:13" x14ac:dyDescent="0.25">
      <c r="M860" s="1"/>
    </row>
    <row r="861" spans="13:13" x14ac:dyDescent="0.25">
      <c r="M861" s="1"/>
    </row>
    <row r="862" spans="13:13" x14ac:dyDescent="0.25">
      <c r="M862" s="1"/>
    </row>
    <row r="863" spans="13:13" x14ac:dyDescent="0.25">
      <c r="M863" s="1"/>
    </row>
    <row r="864" spans="13:13" x14ac:dyDescent="0.25">
      <c r="M864" s="1"/>
    </row>
    <row r="865" spans="13:13" x14ac:dyDescent="0.25">
      <c r="M865" s="1"/>
    </row>
    <row r="866" spans="13:13" x14ac:dyDescent="0.25">
      <c r="M866" s="1"/>
    </row>
    <row r="867" spans="13:13" x14ac:dyDescent="0.25">
      <c r="M867" s="1"/>
    </row>
    <row r="868" spans="13:13" x14ac:dyDescent="0.25">
      <c r="M868" s="1"/>
    </row>
    <row r="869" spans="13:13" x14ac:dyDescent="0.25">
      <c r="M869" s="1"/>
    </row>
    <row r="870" spans="13:13" x14ac:dyDescent="0.25">
      <c r="M870" s="1"/>
    </row>
    <row r="871" spans="13:13" x14ac:dyDescent="0.25">
      <c r="M871" s="1"/>
    </row>
    <row r="872" spans="13:13" x14ac:dyDescent="0.25">
      <c r="M872" s="1"/>
    </row>
    <row r="873" spans="13:13" x14ac:dyDescent="0.25">
      <c r="M873" s="1"/>
    </row>
    <row r="874" spans="13:13" x14ac:dyDescent="0.25">
      <c r="M874" s="1"/>
    </row>
    <row r="875" spans="13:13" x14ac:dyDescent="0.25">
      <c r="M875" s="1"/>
    </row>
    <row r="876" spans="13:13" x14ac:dyDescent="0.25">
      <c r="M876" s="1"/>
    </row>
    <row r="877" spans="13:13" x14ac:dyDescent="0.25">
      <c r="M877" s="1"/>
    </row>
    <row r="878" spans="13:13" x14ac:dyDescent="0.25">
      <c r="M878" s="1"/>
    </row>
    <row r="879" spans="13:13" x14ac:dyDescent="0.25">
      <c r="M879" s="1"/>
    </row>
    <row r="880" spans="13:13" x14ac:dyDescent="0.25">
      <c r="M880" s="1"/>
    </row>
    <row r="881" spans="13:13" x14ac:dyDescent="0.25">
      <c r="M881" s="1"/>
    </row>
    <row r="882" spans="13:13" x14ac:dyDescent="0.25">
      <c r="M882" s="1"/>
    </row>
    <row r="883" spans="13:13" x14ac:dyDescent="0.25">
      <c r="M883" s="1"/>
    </row>
    <row r="884" spans="13:13" x14ac:dyDescent="0.25">
      <c r="M884" s="1"/>
    </row>
    <row r="885" spans="13:13" x14ac:dyDescent="0.25">
      <c r="M885" s="1"/>
    </row>
    <row r="886" spans="13:13" x14ac:dyDescent="0.25">
      <c r="M886" s="1"/>
    </row>
    <row r="887" spans="13:13" x14ac:dyDescent="0.25">
      <c r="M887" s="1"/>
    </row>
    <row r="888" spans="13:13" x14ac:dyDescent="0.25">
      <c r="M888" s="1"/>
    </row>
    <row r="889" spans="13:13" x14ac:dyDescent="0.25">
      <c r="M889" s="1"/>
    </row>
    <row r="890" spans="13:13" x14ac:dyDescent="0.25">
      <c r="M890" s="1"/>
    </row>
    <row r="891" spans="13:13" x14ac:dyDescent="0.25">
      <c r="M891" s="1"/>
    </row>
    <row r="892" spans="13:13" x14ac:dyDescent="0.25">
      <c r="M892" s="1"/>
    </row>
    <row r="893" spans="13:13" x14ac:dyDescent="0.25">
      <c r="M893" s="1"/>
    </row>
    <row r="894" spans="13:13" x14ac:dyDescent="0.25">
      <c r="M894" s="1"/>
    </row>
    <row r="895" spans="13:13" x14ac:dyDescent="0.25">
      <c r="M895" s="1"/>
    </row>
    <row r="896" spans="13:13" x14ac:dyDescent="0.25">
      <c r="M896" s="1"/>
    </row>
    <row r="897" spans="13:13" x14ac:dyDescent="0.25">
      <c r="M897" s="1"/>
    </row>
    <row r="898" spans="13:13" x14ac:dyDescent="0.25">
      <c r="M898" s="1"/>
    </row>
    <row r="899" spans="13:13" x14ac:dyDescent="0.25">
      <c r="M899" s="1"/>
    </row>
    <row r="900" spans="13:13" x14ac:dyDescent="0.25">
      <c r="M900" s="1"/>
    </row>
    <row r="901" spans="13:13" x14ac:dyDescent="0.25">
      <c r="M901" s="1"/>
    </row>
    <row r="902" spans="13:13" x14ac:dyDescent="0.25">
      <c r="M902" s="1"/>
    </row>
    <row r="903" spans="13:13" x14ac:dyDescent="0.25">
      <c r="M903" s="1"/>
    </row>
    <row r="904" spans="13:13" x14ac:dyDescent="0.25">
      <c r="M904" s="1"/>
    </row>
    <row r="905" spans="13:13" x14ac:dyDescent="0.25">
      <c r="M905" s="1"/>
    </row>
    <row r="906" spans="13:13" x14ac:dyDescent="0.25">
      <c r="M906" s="1"/>
    </row>
    <row r="907" spans="13:13" x14ac:dyDescent="0.25">
      <c r="M907" s="1"/>
    </row>
    <row r="908" spans="13:13" x14ac:dyDescent="0.25">
      <c r="M908" s="1"/>
    </row>
    <row r="909" spans="13:13" x14ac:dyDescent="0.25">
      <c r="M909" s="1"/>
    </row>
    <row r="910" spans="13:13" x14ac:dyDescent="0.25">
      <c r="M910" s="1"/>
    </row>
    <row r="911" spans="13:13" x14ac:dyDescent="0.25">
      <c r="M911" s="1"/>
    </row>
    <row r="912" spans="13:13" x14ac:dyDescent="0.25">
      <c r="M912" s="1"/>
    </row>
    <row r="913" spans="13:13" x14ac:dyDescent="0.25">
      <c r="M913" s="1"/>
    </row>
    <row r="914" spans="13:13" x14ac:dyDescent="0.25">
      <c r="M914" s="1"/>
    </row>
    <row r="915" spans="13:13" x14ac:dyDescent="0.25">
      <c r="M915" s="1"/>
    </row>
    <row r="916" spans="13:13" x14ac:dyDescent="0.25">
      <c r="M916" s="1"/>
    </row>
    <row r="917" spans="13:13" x14ac:dyDescent="0.25">
      <c r="M917" s="1"/>
    </row>
    <row r="918" spans="13:13" x14ac:dyDescent="0.25">
      <c r="M918" s="1"/>
    </row>
    <row r="919" spans="13:13" x14ac:dyDescent="0.25">
      <c r="M919" s="1"/>
    </row>
    <row r="920" spans="13:13" x14ac:dyDescent="0.25">
      <c r="M920" s="1"/>
    </row>
    <row r="921" spans="13:13" x14ac:dyDescent="0.25">
      <c r="M921" s="1"/>
    </row>
    <row r="922" spans="13:13" x14ac:dyDescent="0.25">
      <c r="M922" s="1"/>
    </row>
    <row r="923" spans="13:13" x14ac:dyDescent="0.25">
      <c r="M923" s="1"/>
    </row>
    <row r="924" spans="13:13" x14ac:dyDescent="0.25">
      <c r="M924" s="1"/>
    </row>
    <row r="925" spans="13:13" x14ac:dyDescent="0.25">
      <c r="M925" s="1"/>
    </row>
    <row r="926" spans="13:13" x14ac:dyDescent="0.25">
      <c r="M926" s="1"/>
    </row>
    <row r="927" spans="13:13" x14ac:dyDescent="0.25">
      <c r="M927" s="1"/>
    </row>
    <row r="928" spans="13:13" x14ac:dyDescent="0.25">
      <c r="M928" s="1"/>
    </row>
    <row r="929" spans="13:13" x14ac:dyDescent="0.25">
      <c r="M929" s="1"/>
    </row>
    <row r="930" spans="13:13" x14ac:dyDescent="0.25">
      <c r="M930" s="1"/>
    </row>
    <row r="931" spans="13:13" x14ac:dyDescent="0.25">
      <c r="M931" s="1"/>
    </row>
    <row r="932" spans="13:13" x14ac:dyDescent="0.25">
      <c r="M932" s="1"/>
    </row>
    <row r="933" spans="13:13" x14ac:dyDescent="0.25">
      <c r="M933" s="1"/>
    </row>
    <row r="934" spans="13:13" x14ac:dyDescent="0.25">
      <c r="M934" s="1"/>
    </row>
    <row r="935" spans="13:13" x14ac:dyDescent="0.25">
      <c r="M935" s="1"/>
    </row>
    <row r="936" spans="13:13" x14ac:dyDescent="0.25">
      <c r="M936" s="1"/>
    </row>
    <row r="937" spans="13:13" x14ac:dyDescent="0.25">
      <c r="M937" s="1"/>
    </row>
    <row r="938" spans="13:13" x14ac:dyDescent="0.25">
      <c r="M938" s="1"/>
    </row>
    <row r="939" spans="13:13" x14ac:dyDescent="0.25">
      <c r="M939" s="1"/>
    </row>
    <row r="940" spans="13:13" x14ac:dyDescent="0.25">
      <c r="M940" s="1"/>
    </row>
    <row r="941" spans="13:13" x14ac:dyDescent="0.25">
      <c r="M941" s="1"/>
    </row>
    <row r="942" spans="13:13" x14ac:dyDescent="0.25">
      <c r="M942" s="1"/>
    </row>
    <row r="943" spans="13:13" x14ac:dyDescent="0.25">
      <c r="M943" s="1"/>
    </row>
    <row r="944" spans="13:13" x14ac:dyDescent="0.25">
      <c r="M944" s="1"/>
    </row>
    <row r="945" spans="13:13" x14ac:dyDescent="0.25">
      <c r="M945" s="1"/>
    </row>
    <row r="946" spans="13:13" x14ac:dyDescent="0.25">
      <c r="M946" s="1"/>
    </row>
    <row r="947" spans="13:13" x14ac:dyDescent="0.25">
      <c r="M947" s="1"/>
    </row>
    <row r="948" spans="13:13" x14ac:dyDescent="0.25">
      <c r="M948" s="1"/>
    </row>
    <row r="949" spans="13:13" x14ac:dyDescent="0.25">
      <c r="M949" s="1"/>
    </row>
    <row r="950" spans="13:13" x14ac:dyDescent="0.25">
      <c r="M950" s="1"/>
    </row>
    <row r="951" spans="13:13" x14ac:dyDescent="0.25">
      <c r="M951" s="1"/>
    </row>
    <row r="952" spans="13:13" x14ac:dyDescent="0.25">
      <c r="M952" s="1"/>
    </row>
    <row r="953" spans="13:13" x14ac:dyDescent="0.25">
      <c r="M953" s="1"/>
    </row>
    <row r="954" spans="13:13" x14ac:dyDescent="0.25">
      <c r="M954" s="1"/>
    </row>
    <row r="955" spans="13:13" x14ac:dyDescent="0.25">
      <c r="M955" s="1"/>
    </row>
    <row r="956" spans="13:13" x14ac:dyDescent="0.25">
      <c r="M956" s="1"/>
    </row>
    <row r="957" spans="13:13" x14ac:dyDescent="0.25">
      <c r="M957" s="1"/>
    </row>
    <row r="958" spans="13:13" x14ac:dyDescent="0.25">
      <c r="M958" s="1"/>
    </row>
    <row r="959" spans="13:13" x14ac:dyDescent="0.25">
      <c r="M959" s="1"/>
    </row>
    <row r="960" spans="13:13" x14ac:dyDescent="0.25">
      <c r="M960" s="1"/>
    </row>
    <row r="961" spans="13:13" x14ac:dyDescent="0.25">
      <c r="M961" s="1"/>
    </row>
    <row r="962" spans="13:13" x14ac:dyDescent="0.25">
      <c r="M962" s="1"/>
    </row>
    <row r="963" spans="13:13" x14ac:dyDescent="0.25">
      <c r="M963" s="1"/>
    </row>
    <row r="964" spans="13:13" x14ac:dyDescent="0.25">
      <c r="M964" s="1"/>
    </row>
    <row r="965" spans="13:13" x14ac:dyDescent="0.25">
      <c r="M965" s="1"/>
    </row>
    <row r="966" spans="13:13" x14ac:dyDescent="0.25">
      <c r="M966" s="1"/>
    </row>
    <row r="967" spans="13:13" x14ac:dyDescent="0.25">
      <c r="M967" s="1"/>
    </row>
    <row r="968" spans="13:13" x14ac:dyDescent="0.25">
      <c r="M968" s="1"/>
    </row>
    <row r="969" spans="13:13" x14ac:dyDescent="0.25">
      <c r="M969" s="1"/>
    </row>
    <row r="970" spans="13:13" x14ac:dyDescent="0.25">
      <c r="M970" s="1"/>
    </row>
    <row r="971" spans="13:13" x14ac:dyDescent="0.25">
      <c r="M971" s="1"/>
    </row>
    <row r="972" spans="13:13" x14ac:dyDescent="0.25">
      <c r="M972" s="1"/>
    </row>
    <row r="973" spans="13:13" x14ac:dyDescent="0.25">
      <c r="M973" s="1"/>
    </row>
    <row r="974" spans="13:13" x14ac:dyDescent="0.25">
      <c r="M974" s="1"/>
    </row>
    <row r="975" spans="13:13" x14ac:dyDescent="0.25">
      <c r="M975" s="1"/>
    </row>
    <row r="976" spans="13:13" x14ac:dyDescent="0.25">
      <c r="M976" s="1"/>
    </row>
    <row r="977" spans="13:13" x14ac:dyDescent="0.25">
      <c r="M977" s="1"/>
    </row>
    <row r="978" spans="13:13" x14ac:dyDescent="0.25">
      <c r="M978" s="1"/>
    </row>
    <row r="979" spans="13:13" x14ac:dyDescent="0.25">
      <c r="M979" s="1"/>
    </row>
    <row r="980" spans="13:13" x14ac:dyDescent="0.25">
      <c r="M980" s="1"/>
    </row>
    <row r="981" spans="13:13" x14ac:dyDescent="0.25">
      <c r="M981" s="1"/>
    </row>
    <row r="982" spans="13:13" x14ac:dyDescent="0.25">
      <c r="M982" s="1"/>
    </row>
    <row r="983" spans="13:13" x14ac:dyDescent="0.25">
      <c r="M983" s="1"/>
    </row>
    <row r="984" spans="13:13" x14ac:dyDescent="0.25">
      <c r="M984" s="1"/>
    </row>
    <row r="985" spans="13:13" x14ac:dyDescent="0.25">
      <c r="M985" s="1"/>
    </row>
    <row r="986" spans="13:13" x14ac:dyDescent="0.25">
      <c r="M986" s="1"/>
    </row>
    <row r="987" spans="13:13" x14ac:dyDescent="0.25">
      <c r="M987" s="1"/>
    </row>
    <row r="988" spans="13:13" x14ac:dyDescent="0.25">
      <c r="M988" s="1"/>
    </row>
    <row r="989" spans="13:13" x14ac:dyDescent="0.25">
      <c r="M989" s="1"/>
    </row>
    <row r="990" spans="13:13" x14ac:dyDescent="0.25">
      <c r="M990" s="1"/>
    </row>
    <row r="991" spans="13:13" x14ac:dyDescent="0.25">
      <c r="M991" s="1"/>
    </row>
    <row r="992" spans="13:13" x14ac:dyDescent="0.25">
      <c r="M992" s="1"/>
    </row>
    <row r="993" spans="13:13" x14ac:dyDescent="0.25">
      <c r="M993" s="1"/>
    </row>
    <row r="994" spans="13:13" x14ac:dyDescent="0.25">
      <c r="M994" s="1"/>
    </row>
    <row r="995" spans="13:13" x14ac:dyDescent="0.25">
      <c r="M995" s="1"/>
    </row>
    <row r="996" spans="13:13" x14ac:dyDescent="0.25">
      <c r="M996" s="1"/>
    </row>
    <row r="997" spans="13:13" x14ac:dyDescent="0.25">
      <c r="M997" s="1"/>
    </row>
    <row r="998" spans="13:13" x14ac:dyDescent="0.25">
      <c r="M998" s="1"/>
    </row>
    <row r="999" spans="13:13" x14ac:dyDescent="0.25">
      <c r="M999" s="1"/>
    </row>
    <row r="1000" spans="13:13" x14ac:dyDescent="0.25">
      <c r="M1000" s="1"/>
    </row>
    <row r="1001" spans="13:13" x14ac:dyDescent="0.25">
      <c r="M1001" s="1"/>
    </row>
    <row r="1002" spans="13:13" x14ac:dyDescent="0.25">
      <c r="M1002" s="1"/>
    </row>
    <row r="1003" spans="13:13" x14ac:dyDescent="0.25">
      <c r="M1003" s="1"/>
    </row>
    <row r="1004" spans="13:13" x14ac:dyDescent="0.25">
      <c r="M1004" s="1"/>
    </row>
    <row r="1005" spans="13:13" x14ac:dyDescent="0.25">
      <c r="M1005" s="1"/>
    </row>
    <row r="1006" spans="13:13" x14ac:dyDescent="0.25">
      <c r="M1006" s="1"/>
    </row>
    <row r="1007" spans="13:13" x14ac:dyDescent="0.25">
      <c r="M1007" s="1"/>
    </row>
    <row r="1008" spans="13:13" x14ac:dyDescent="0.25">
      <c r="M1008" s="1"/>
    </row>
    <row r="1009" spans="13:13" x14ac:dyDescent="0.25">
      <c r="M1009" s="1"/>
    </row>
    <row r="1010" spans="13:13" x14ac:dyDescent="0.25">
      <c r="M1010" s="1"/>
    </row>
    <row r="1011" spans="13:13" x14ac:dyDescent="0.25">
      <c r="M1011" s="1"/>
    </row>
    <row r="1012" spans="13:13" x14ac:dyDescent="0.25">
      <c r="M1012" s="1"/>
    </row>
    <row r="1013" spans="13:13" x14ac:dyDescent="0.25">
      <c r="M1013" s="1"/>
    </row>
    <row r="1014" spans="13:13" x14ac:dyDescent="0.25">
      <c r="M1014" s="1"/>
    </row>
    <row r="1015" spans="13:13" x14ac:dyDescent="0.25">
      <c r="M1015" s="1"/>
    </row>
    <row r="1016" spans="13:13" x14ac:dyDescent="0.25">
      <c r="M1016" s="1"/>
    </row>
    <row r="1017" spans="13:13" x14ac:dyDescent="0.25">
      <c r="M1017" s="1"/>
    </row>
    <row r="1018" spans="13:13" x14ac:dyDescent="0.25">
      <c r="M1018" s="1"/>
    </row>
    <row r="1019" spans="13:13" x14ac:dyDescent="0.25">
      <c r="M1019" s="1"/>
    </row>
    <row r="1020" spans="13:13" x14ac:dyDescent="0.25">
      <c r="M1020" s="1"/>
    </row>
    <row r="1021" spans="13:13" x14ac:dyDescent="0.25">
      <c r="M1021" s="1"/>
    </row>
    <row r="1022" spans="13:13" x14ac:dyDescent="0.25">
      <c r="M1022" s="1"/>
    </row>
    <row r="1023" spans="13:13" x14ac:dyDescent="0.25">
      <c r="M1023" s="1"/>
    </row>
    <row r="1024" spans="13:13" x14ac:dyDescent="0.25">
      <c r="M1024" s="1"/>
    </row>
    <row r="1025" spans="13:13" x14ac:dyDescent="0.25">
      <c r="M1025" s="1"/>
    </row>
    <row r="1026" spans="13:13" x14ac:dyDescent="0.25">
      <c r="M1026" s="1"/>
    </row>
    <row r="1027" spans="13:13" x14ac:dyDescent="0.25">
      <c r="M1027" s="1"/>
    </row>
    <row r="1028" spans="13:13" x14ac:dyDescent="0.25">
      <c r="M1028" s="1"/>
    </row>
    <row r="1029" spans="13:13" x14ac:dyDescent="0.25">
      <c r="M1029" s="1"/>
    </row>
    <row r="1030" spans="13:13" x14ac:dyDescent="0.25">
      <c r="M1030" s="1"/>
    </row>
    <row r="1031" spans="13:13" x14ac:dyDescent="0.25">
      <c r="M1031" s="1"/>
    </row>
    <row r="1032" spans="13:13" x14ac:dyDescent="0.25">
      <c r="M1032" s="1"/>
    </row>
    <row r="1033" spans="13:13" x14ac:dyDescent="0.25">
      <c r="M1033" s="1"/>
    </row>
    <row r="1034" spans="13:13" x14ac:dyDescent="0.25">
      <c r="M1034" s="1"/>
    </row>
    <row r="1035" spans="13:13" x14ac:dyDescent="0.25">
      <c r="M1035" s="1"/>
    </row>
    <row r="1036" spans="13:13" x14ac:dyDescent="0.25">
      <c r="M1036" s="1"/>
    </row>
    <row r="1037" spans="13:13" x14ac:dyDescent="0.25">
      <c r="M1037" s="1"/>
    </row>
    <row r="1038" spans="13:13" x14ac:dyDescent="0.25">
      <c r="M1038" s="1"/>
    </row>
    <row r="1039" spans="13:13" x14ac:dyDescent="0.25">
      <c r="M1039" s="1"/>
    </row>
    <row r="1040" spans="13:13" x14ac:dyDescent="0.25">
      <c r="M1040" s="1"/>
    </row>
    <row r="1041" spans="13:13" x14ac:dyDescent="0.25">
      <c r="M1041" s="1"/>
    </row>
    <row r="1042" spans="13:13" x14ac:dyDescent="0.25">
      <c r="M1042" s="1"/>
    </row>
    <row r="1043" spans="13:13" x14ac:dyDescent="0.25">
      <c r="M1043" s="1"/>
    </row>
    <row r="1044" spans="13:13" x14ac:dyDescent="0.25">
      <c r="M1044" s="1"/>
    </row>
    <row r="1045" spans="13:13" x14ac:dyDescent="0.25">
      <c r="M1045" s="1"/>
    </row>
    <row r="1046" spans="13:13" x14ac:dyDescent="0.25">
      <c r="M1046" s="1"/>
    </row>
    <row r="1047" spans="13:13" x14ac:dyDescent="0.25">
      <c r="M1047" s="1"/>
    </row>
    <row r="1048" spans="13:13" x14ac:dyDescent="0.25">
      <c r="M1048" s="1"/>
    </row>
    <row r="1049" spans="13:13" x14ac:dyDescent="0.25">
      <c r="M1049" s="1"/>
    </row>
    <row r="1050" spans="13:13" x14ac:dyDescent="0.25">
      <c r="M1050" s="1"/>
    </row>
    <row r="1051" spans="13:13" x14ac:dyDescent="0.25">
      <c r="M1051" s="1"/>
    </row>
    <row r="1052" spans="13:13" x14ac:dyDescent="0.25">
      <c r="M1052" s="1"/>
    </row>
    <row r="1053" spans="13:13" x14ac:dyDescent="0.25">
      <c r="M1053" s="1"/>
    </row>
    <row r="1054" spans="13:13" x14ac:dyDescent="0.25">
      <c r="M1054" s="1"/>
    </row>
    <row r="1055" spans="13:13" x14ac:dyDescent="0.25">
      <c r="M1055" s="1"/>
    </row>
    <row r="1056" spans="13:13" x14ac:dyDescent="0.25">
      <c r="M1056" s="1"/>
    </row>
    <row r="1057" spans="13:13" x14ac:dyDescent="0.25">
      <c r="M1057" s="1"/>
    </row>
    <row r="1058" spans="13:13" x14ac:dyDescent="0.25">
      <c r="M1058" s="1"/>
    </row>
    <row r="1059" spans="13:13" x14ac:dyDescent="0.25">
      <c r="M1059" s="1"/>
    </row>
    <row r="1060" spans="13:13" x14ac:dyDescent="0.25">
      <c r="M1060" s="1"/>
    </row>
    <row r="1061" spans="13:13" x14ac:dyDescent="0.25">
      <c r="M1061" s="1"/>
    </row>
    <row r="1062" spans="13:13" x14ac:dyDescent="0.25">
      <c r="M1062" s="1"/>
    </row>
    <row r="1063" spans="13:13" x14ac:dyDescent="0.25">
      <c r="M1063" s="1"/>
    </row>
    <row r="1064" spans="13:13" x14ac:dyDescent="0.25">
      <c r="M1064" s="1"/>
    </row>
    <row r="1065" spans="13:13" x14ac:dyDescent="0.25">
      <c r="M1065" s="1"/>
    </row>
    <row r="1066" spans="13:13" x14ac:dyDescent="0.25">
      <c r="M1066" s="1"/>
    </row>
    <row r="1067" spans="13:13" x14ac:dyDescent="0.25">
      <c r="M1067" s="1"/>
    </row>
    <row r="1068" spans="13:13" x14ac:dyDescent="0.25">
      <c r="M1068" s="1"/>
    </row>
    <row r="1069" spans="13:13" x14ac:dyDescent="0.25">
      <c r="M1069" s="1"/>
    </row>
    <row r="1070" spans="13:13" x14ac:dyDescent="0.25">
      <c r="M1070" s="1"/>
    </row>
    <row r="1071" spans="13:13" x14ac:dyDescent="0.25">
      <c r="M1071" s="1"/>
    </row>
    <row r="1072" spans="13:13" x14ac:dyDescent="0.25">
      <c r="M1072" s="1"/>
    </row>
    <row r="1073" spans="13:13" x14ac:dyDescent="0.25">
      <c r="M1073" s="1"/>
    </row>
    <row r="1074" spans="13:13" x14ac:dyDescent="0.25">
      <c r="M1074" s="1"/>
    </row>
    <row r="1075" spans="13:13" x14ac:dyDescent="0.25">
      <c r="M1075" s="1"/>
    </row>
    <row r="1076" spans="13:13" x14ac:dyDescent="0.25">
      <c r="M1076" s="1"/>
    </row>
    <row r="1077" spans="13:13" x14ac:dyDescent="0.25">
      <c r="M1077" s="1"/>
    </row>
    <row r="1078" spans="13:13" x14ac:dyDescent="0.25">
      <c r="M1078" s="1"/>
    </row>
    <row r="1079" spans="13:13" x14ac:dyDescent="0.25">
      <c r="M1079" s="1"/>
    </row>
    <row r="1080" spans="13:13" x14ac:dyDescent="0.25">
      <c r="M1080" s="1"/>
    </row>
    <row r="1081" spans="13:13" x14ac:dyDescent="0.25">
      <c r="M1081" s="1"/>
    </row>
    <row r="1082" spans="13:13" x14ac:dyDescent="0.25">
      <c r="M1082" s="1"/>
    </row>
    <row r="1083" spans="13:13" x14ac:dyDescent="0.25">
      <c r="M1083" s="1"/>
    </row>
    <row r="1084" spans="13:13" x14ac:dyDescent="0.25">
      <c r="M1084" s="1"/>
    </row>
    <row r="1085" spans="13:13" x14ac:dyDescent="0.25">
      <c r="M1085" s="1"/>
    </row>
    <row r="1086" spans="13:13" x14ac:dyDescent="0.25">
      <c r="M1086" s="1"/>
    </row>
    <row r="1087" spans="13:13" x14ac:dyDescent="0.25">
      <c r="M1087" s="1"/>
    </row>
    <row r="1088" spans="13:13" x14ac:dyDescent="0.25">
      <c r="M1088" s="1"/>
    </row>
    <row r="1089" spans="13:13" x14ac:dyDescent="0.25">
      <c r="M1089" s="1"/>
    </row>
    <row r="1090" spans="13:13" x14ac:dyDescent="0.25">
      <c r="M1090" s="1"/>
    </row>
    <row r="1091" spans="13:13" x14ac:dyDescent="0.25">
      <c r="M1091" s="1"/>
    </row>
    <row r="1092" spans="13:13" x14ac:dyDescent="0.25">
      <c r="M1092" s="1"/>
    </row>
    <row r="1093" spans="13:13" x14ac:dyDescent="0.25">
      <c r="M1093" s="1"/>
    </row>
    <row r="1094" spans="13:13" x14ac:dyDescent="0.25">
      <c r="M1094" s="1"/>
    </row>
    <row r="1095" spans="13:13" x14ac:dyDescent="0.25">
      <c r="M1095" s="1"/>
    </row>
    <row r="1096" spans="13:13" x14ac:dyDescent="0.25">
      <c r="M1096" s="1"/>
    </row>
    <row r="1097" spans="13:13" x14ac:dyDescent="0.25">
      <c r="M1097" s="1"/>
    </row>
    <row r="1098" spans="13:13" x14ac:dyDescent="0.25">
      <c r="M1098" s="1"/>
    </row>
    <row r="1099" spans="13:13" x14ac:dyDescent="0.25">
      <c r="M1099" s="1"/>
    </row>
    <row r="1100" spans="13:13" x14ac:dyDescent="0.25">
      <c r="M1100" s="1"/>
    </row>
    <row r="1101" spans="13:13" x14ac:dyDescent="0.25">
      <c r="M1101" s="1"/>
    </row>
    <row r="1102" spans="13:13" x14ac:dyDescent="0.25">
      <c r="M1102" s="1"/>
    </row>
    <row r="1103" spans="13:13" x14ac:dyDescent="0.25">
      <c r="M1103" s="1"/>
    </row>
    <row r="1104" spans="13:13" x14ac:dyDescent="0.25">
      <c r="M1104" s="1"/>
    </row>
    <row r="1105" spans="13:13" x14ac:dyDescent="0.25">
      <c r="M1105" s="1"/>
    </row>
    <row r="1106" spans="13:13" x14ac:dyDescent="0.25">
      <c r="M1106" s="1"/>
    </row>
    <row r="1107" spans="13:13" x14ac:dyDescent="0.25">
      <c r="M1107" s="1"/>
    </row>
    <row r="1108" spans="13:13" x14ac:dyDescent="0.25">
      <c r="M1108" s="1"/>
    </row>
    <row r="1109" spans="13:13" x14ac:dyDescent="0.25">
      <c r="M1109" s="1"/>
    </row>
    <row r="1110" spans="13:13" x14ac:dyDescent="0.25">
      <c r="M1110" s="1"/>
    </row>
    <row r="1111" spans="13:13" x14ac:dyDescent="0.25">
      <c r="M1111" s="1"/>
    </row>
    <row r="1112" spans="13:13" x14ac:dyDescent="0.25">
      <c r="M1112" s="1"/>
    </row>
    <row r="1113" spans="13:13" x14ac:dyDescent="0.25">
      <c r="M1113" s="1"/>
    </row>
    <row r="1114" spans="13:13" x14ac:dyDescent="0.25">
      <c r="M1114" s="1"/>
    </row>
    <row r="1115" spans="13:13" x14ac:dyDescent="0.25">
      <c r="M1115" s="1"/>
    </row>
    <row r="1116" spans="13:13" x14ac:dyDescent="0.25">
      <c r="M1116" s="1"/>
    </row>
    <row r="1117" spans="13:13" x14ac:dyDescent="0.25">
      <c r="M1117" s="1"/>
    </row>
    <row r="1118" spans="13:13" x14ac:dyDescent="0.25">
      <c r="M1118" s="1"/>
    </row>
    <row r="1119" spans="13:13" x14ac:dyDescent="0.25">
      <c r="M1119" s="1"/>
    </row>
    <row r="1120" spans="13:13" x14ac:dyDescent="0.25">
      <c r="M1120" s="1"/>
    </row>
    <row r="1121" spans="13:13" x14ac:dyDescent="0.25">
      <c r="M1121" s="1"/>
    </row>
    <row r="1122" spans="13:13" x14ac:dyDescent="0.25">
      <c r="M1122" s="1"/>
    </row>
    <row r="1123" spans="13:13" x14ac:dyDescent="0.25">
      <c r="M1123" s="1"/>
    </row>
    <row r="1124" spans="13:13" x14ac:dyDescent="0.25">
      <c r="M1124" s="1"/>
    </row>
    <row r="1125" spans="13:13" x14ac:dyDescent="0.25">
      <c r="M1125" s="1"/>
    </row>
    <row r="1126" spans="13:13" x14ac:dyDescent="0.25">
      <c r="M1126" s="1"/>
    </row>
    <row r="1127" spans="13:13" x14ac:dyDescent="0.25">
      <c r="M1127" s="1"/>
    </row>
    <row r="1128" spans="13:13" x14ac:dyDescent="0.25">
      <c r="M1128" s="1"/>
    </row>
    <row r="1129" spans="13:13" x14ac:dyDescent="0.25">
      <c r="M1129" s="1"/>
    </row>
    <row r="1130" spans="13:13" x14ac:dyDescent="0.25">
      <c r="M1130" s="1"/>
    </row>
    <row r="1131" spans="13:13" x14ac:dyDescent="0.25">
      <c r="M1131" s="1"/>
    </row>
    <row r="1132" spans="13:13" x14ac:dyDescent="0.25">
      <c r="M1132" s="1"/>
    </row>
    <row r="1133" spans="13:13" x14ac:dyDescent="0.25">
      <c r="M1133" s="1"/>
    </row>
    <row r="1134" spans="13:13" x14ac:dyDescent="0.25">
      <c r="M1134" s="1"/>
    </row>
    <row r="1135" spans="13:13" x14ac:dyDescent="0.25">
      <c r="M1135" s="1"/>
    </row>
    <row r="1136" spans="13:13" x14ac:dyDescent="0.25">
      <c r="M1136" s="1"/>
    </row>
    <row r="1137" spans="13:13" x14ac:dyDescent="0.25">
      <c r="M1137" s="1"/>
    </row>
    <row r="1138" spans="13:13" x14ac:dyDescent="0.25">
      <c r="M1138" s="1"/>
    </row>
    <row r="1139" spans="13:13" x14ac:dyDescent="0.25">
      <c r="M1139" s="1"/>
    </row>
    <row r="1140" spans="13:13" x14ac:dyDescent="0.25">
      <c r="M1140" s="1"/>
    </row>
    <row r="1141" spans="13:13" x14ac:dyDescent="0.25">
      <c r="M1141" s="1"/>
    </row>
    <row r="1142" spans="13:13" x14ac:dyDescent="0.25">
      <c r="M1142" s="1"/>
    </row>
    <row r="1143" spans="13:13" x14ac:dyDescent="0.25">
      <c r="M1143" s="1"/>
    </row>
    <row r="1144" spans="13:13" x14ac:dyDescent="0.25">
      <c r="M1144" s="1"/>
    </row>
    <row r="1145" spans="13:13" x14ac:dyDescent="0.25">
      <c r="M1145" s="1"/>
    </row>
    <row r="1146" spans="13:13" x14ac:dyDescent="0.25">
      <c r="M1146" s="1"/>
    </row>
    <row r="1147" spans="13:13" x14ac:dyDescent="0.25">
      <c r="M1147" s="1"/>
    </row>
    <row r="1148" spans="13:13" x14ac:dyDescent="0.25">
      <c r="M1148" s="1"/>
    </row>
    <row r="1149" spans="13:13" x14ac:dyDescent="0.25">
      <c r="M1149" s="1"/>
    </row>
    <row r="1150" spans="13:13" x14ac:dyDescent="0.25">
      <c r="M1150" s="1"/>
    </row>
    <row r="1151" spans="13:13" x14ac:dyDescent="0.25">
      <c r="M1151" s="1"/>
    </row>
    <row r="1152" spans="13:13" x14ac:dyDescent="0.25">
      <c r="M1152" s="1"/>
    </row>
    <row r="1153" spans="13:13" x14ac:dyDescent="0.25">
      <c r="M1153" s="1"/>
    </row>
    <row r="1154" spans="13:13" x14ac:dyDescent="0.25">
      <c r="M1154" s="1"/>
    </row>
    <row r="1155" spans="13:13" x14ac:dyDescent="0.25">
      <c r="M1155" s="1"/>
    </row>
    <row r="1156" spans="13:13" x14ac:dyDescent="0.25">
      <c r="M1156" s="1"/>
    </row>
    <row r="1157" spans="13:13" x14ac:dyDescent="0.25">
      <c r="M1157" s="1"/>
    </row>
    <row r="1158" spans="13:13" x14ac:dyDescent="0.25">
      <c r="M1158" s="1"/>
    </row>
    <row r="1159" spans="13:13" x14ac:dyDescent="0.25">
      <c r="M1159" s="1"/>
    </row>
    <row r="1160" spans="13:13" x14ac:dyDescent="0.25">
      <c r="M1160" s="1"/>
    </row>
    <row r="1161" spans="13:13" x14ac:dyDescent="0.25">
      <c r="M1161" s="1"/>
    </row>
    <row r="1162" spans="13:13" x14ac:dyDescent="0.25">
      <c r="M1162" s="1"/>
    </row>
    <row r="1163" spans="13:13" x14ac:dyDescent="0.25">
      <c r="M1163" s="1"/>
    </row>
    <row r="1164" spans="13:13" x14ac:dyDescent="0.25">
      <c r="M1164" s="1"/>
    </row>
    <row r="1165" spans="13:13" x14ac:dyDescent="0.25">
      <c r="M1165" s="1"/>
    </row>
    <row r="1166" spans="13:13" x14ac:dyDescent="0.25">
      <c r="M1166" s="1"/>
    </row>
    <row r="1167" spans="13:13" x14ac:dyDescent="0.25">
      <c r="M1167" s="1"/>
    </row>
    <row r="1168" spans="13:13" x14ac:dyDescent="0.25">
      <c r="M1168" s="1"/>
    </row>
    <row r="1169" spans="13:13" x14ac:dyDescent="0.25">
      <c r="M1169" s="1"/>
    </row>
    <row r="1170" spans="13:13" x14ac:dyDescent="0.25">
      <c r="M1170" s="1"/>
    </row>
    <row r="1171" spans="13:13" x14ac:dyDescent="0.25">
      <c r="M1171" s="1"/>
    </row>
    <row r="1172" spans="13:13" x14ac:dyDescent="0.25">
      <c r="M1172" s="1"/>
    </row>
    <row r="1173" spans="13:13" x14ac:dyDescent="0.25">
      <c r="M1173" s="1"/>
    </row>
    <row r="1174" spans="13:13" x14ac:dyDescent="0.25">
      <c r="M1174" s="1"/>
    </row>
    <row r="1175" spans="13:13" x14ac:dyDescent="0.25">
      <c r="M1175" s="1"/>
    </row>
    <row r="1176" spans="13:13" x14ac:dyDescent="0.25">
      <c r="M1176" s="1"/>
    </row>
    <row r="1177" spans="13:13" x14ac:dyDescent="0.25">
      <c r="M1177" s="1"/>
    </row>
    <row r="1178" spans="13:13" x14ac:dyDescent="0.25">
      <c r="M1178" s="1"/>
    </row>
    <row r="1179" spans="13:13" x14ac:dyDescent="0.25">
      <c r="M1179" s="1"/>
    </row>
    <row r="1180" spans="13:13" x14ac:dyDescent="0.25">
      <c r="M1180" s="1"/>
    </row>
    <row r="1181" spans="13:13" x14ac:dyDescent="0.25">
      <c r="M1181" s="1"/>
    </row>
    <row r="1182" spans="13:13" x14ac:dyDescent="0.25">
      <c r="M1182" s="1"/>
    </row>
    <row r="1183" spans="13:13" x14ac:dyDescent="0.25">
      <c r="M1183" s="1"/>
    </row>
    <row r="1184" spans="13:13" x14ac:dyDescent="0.25">
      <c r="M1184" s="1"/>
    </row>
    <row r="1185" spans="13:13" x14ac:dyDescent="0.25">
      <c r="M1185" s="1"/>
    </row>
    <row r="1186" spans="13:13" x14ac:dyDescent="0.25">
      <c r="M1186" s="1"/>
    </row>
    <row r="1187" spans="13:13" x14ac:dyDescent="0.25">
      <c r="M1187" s="1"/>
    </row>
    <row r="1188" spans="13:13" x14ac:dyDescent="0.25">
      <c r="M1188" s="1"/>
    </row>
    <row r="1189" spans="13:13" x14ac:dyDescent="0.25">
      <c r="M1189" s="1"/>
    </row>
    <row r="1190" spans="13:13" x14ac:dyDescent="0.25">
      <c r="M1190" s="1"/>
    </row>
    <row r="1191" spans="13:13" x14ac:dyDescent="0.25">
      <c r="M1191" s="1"/>
    </row>
    <row r="1192" spans="13:13" x14ac:dyDescent="0.25">
      <c r="M1192" s="1"/>
    </row>
    <row r="1193" spans="13:13" x14ac:dyDescent="0.25">
      <c r="M1193" s="1"/>
    </row>
    <row r="1194" spans="13:13" x14ac:dyDescent="0.25">
      <c r="M1194" s="1"/>
    </row>
    <row r="1195" spans="13:13" x14ac:dyDescent="0.25">
      <c r="M1195" s="1"/>
    </row>
    <row r="1196" spans="13:13" x14ac:dyDescent="0.25">
      <c r="M1196" s="1"/>
    </row>
    <row r="1197" spans="13:13" x14ac:dyDescent="0.25">
      <c r="M1197" s="1"/>
    </row>
    <row r="1198" spans="13:13" x14ac:dyDescent="0.25">
      <c r="M1198" s="1"/>
    </row>
    <row r="1199" spans="13:13" x14ac:dyDescent="0.25">
      <c r="M1199" s="1"/>
    </row>
    <row r="1200" spans="13:13" x14ac:dyDescent="0.25">
      <c r="M1200" s="1"/>
    </row>
    <row r="1201" spans="13:13" x14ac:dyDescent="0.25">
      <c r="M1201" s="1"/>
    </row>
    <row r="1202" spans="13:13" x14ac:dyDescent="0.25">
      <c r="M1202" s="1"/>
    </row>
    <row r="1203" spans="13:13" x14ac:dyDescent="0.25">
      <c r="M1203" s="1"/>
    </row>
    <row r="1204" spans="13:13" x14ac:dyDescent="0.25">
      <c r="M1204" s="1"/>
    </row>
    <row r="1205" spans="13:13" x14ac:dyDescent="0.25">
      <c r="M1205" s="1"/>
    </row>
    <row r="1206" spans="13:13" x14ac:dyDescent="0.25">
      <c r="M1206" s="1"/>
    </row>
    <row r="1207" spans="13:13" x14ac:dyDescent="0.25">
      <c r="M1207" s="1"/>
    </row>
    <row r="1208" spans="13:13" x14ac:dyDescent="0.25">
      <c r="M1208" s="1"/>
    </row>
    <row r="1209" spans="13:13" x14ac:dyDescent="0.25">
      <c r="M1209" s="1"/>
    </row>
    <row r="1210" spans="13:13" x14ac:dyDescent="0.25">
      <c r="M1210" s="1"/>
    </row>
    <row r="1211" spans="13:13" x14ac:dyDescent="0.25">
      <c r="M1211" s="1"/>
    </row>
    <row r="1212" spans="13:13" x14ac:dyDescent="0.25">
      <c r="M1212" s="1"/>
    </row>
    <row r="1213" spans="13:13" x14ac:dyDescent="0.25">
      <c r="M1213" s="1"/>
    </row>
    <row r="1214" spans="13:13" x14ac:dyDescent="0.25">
      <c r="M1214" s="1"/>
    </row>
    <row r="1215" spans="13:13" x14ac:dyDescent="0.25">
      <c r="M1215" s="1"/>
    </row>
    <row r="1216" spans="13:13" x14ac:dyDescent="0.25">
      <c r="M1216" s="1"/>
    </row>
    <row r="1217" spans="13:13" x14ac:dyDescent="0.25">
      <c r="M1217" s="1"/>
    </row>
    <row r="1218" spans="13:13" x14ac:dyDescent="0.25">
      <c r="M1218" s="1"/>
    </row>
    <row r="1219" spans="13:13" x14ac:dyDescent="0.25">
      <c r="M1219" s="1"/>
    </row>
    <row r="1220" spans="13:13" x14ac:dyDescent="0.25">
      <c r="M1220" s="1"/>
    </row>
    <row r="1221" spans="13:13" x14ac:dyDescent="0.25">
      <c r="M1221" s="1"/>
    </row>
    <row r="1222" spans="13:13" x14ac:dyDescent="0.25">
      <c r="M1222" s="1"/>
    </row>
    <row r="1223" spans="13:13" x14ac:dyDescent="0.25">
      <c r="M1223" s="1"/>
    </row>
    <row r="1224" spans="13:13" x14ac:dyDescent="0.25">
      <c r="M1224" s="1"/>
    </row>
    <row r="1225" spans="13:13" x14ac:dyDescent="0.25">
      <c r="M1225" s="1"/>
    </row>
    <row r="1226" spans="13:13" x14ac:dyDescent="0.25">
      <c r="M1226" s="1"/>
    </row>
    <row r="1227" spans="13:13" x14ac:dyDescent="0.25">
      <c r="M1227" s="1"/>
    </row>
    <row r="1228" spans="13:13" x14ac:dyDescent="0.25">
      <c r="M1228" s="1"/>
    </row>
    <row r="1229" spans="13:13" x14ac:dyDescent="0.25">
      <c r="M1229" s="1"/>
    </row>
    <row r="1230" spans="13:13" x14ac:dyDescent="0.25">
      <c r="M1230" s="1"/>
    </row>
    <row r="1231" spans="13:13" x14ac:dyDescent="0.25">
      <c r="M1231" s="1"/>
    </row>
    <row r="1232" spans="13:13" x14ac:dyDescent="0.25">
      <c r="M1232" s="1"/>
    </row>
    <row r="1233" spans="13:13" x14ac:dyDescent="0.25">
      <c r="M1233" s="1"/>
    </row>
    <row r="1234" spans="13:13" x14ac:dyDescent="0.25">
      <c r="M1234" s="1"/>
    </row>
    <row r="1235" spans="13:13" x14ac:dyDescent="0.25">
      <c r="M1235" s="1"/>
    </row>
    <row r="1236" spans="13:13" x14ac:dyDescent="0.25">
      <c r="M1236" s="1"/>
    </row>
    <row r="1237" spans="13:13" x14ac:dyDescent="0.25">
      <c r="M1237" s="1"/>
    </row>
    <row r="1238" spans="13:13" x14ac:dyDescent="0.25">
      <c r="M1238" s="1"/>
    </row>
    <row r="1239" spans="13:13" x14ac:dyDescent="0.25">
      <c r="M1239" s="1"/>
    </row>
    <row r="1240" spans="13:13" x14ac:dyDescent="0.25">
      <c r="M1240" s="1"/>
    </row>
    <row r="1241" spans="13:13" x14ac:dyDescent="0.25">
      <c r="M1241" s="1"/>
    </row>
    <row r="1242" spans="13:13" x14ac:dyDescent="0.25">
      <c r="M1242" s="1"/>
    </row>
    <row r="1243" spans="13:13" x14ac:dyDescent="0.25">
      <c r="M1243" s="1"/>
    </row>
    <row r="1244" spans="13:13" x14ac:dyDescent="0.25">
      <c r="M1244" s="1"/>
    </row>
    <row r="1245" spans="13:13" x14ac:dyDescent="0.25">
      <c r="M1245" s="1"/>
    </row>
    <row r="1246" spans="13:13" x14ac:dyDescent="0.25">
      <c r="M1246" s="1"/>
    </row>
    <row r="1247" spans="13:13" x14ac:dyDescent="0.25">
      <c r="M1247" s="1"/>
    </row>
    <row r="1248" spans="13:13" x14ac:dyDescent="0.25">
      <c r="M1248" s="1"/>
    </row>
    <row r="1249" spans="13:13" x14ac:dyDescent="0.25">
      <c r="M1249" s="1"/>
    </row>
    <row r="1250" spans="13:13" x14ac:dyDescent="0.25">
      <c r="M1250" s="1"/>
    </row>
    <row r="1251" spans="13:13" x14ac:dyDescent="0.25">
      <c r="M1251" s="1"/>
    </row>
    <row r="1252" spans="13:13" x14ac:dyDescent="0.25">
      <c r="M1252" s="1"/>
    </row>
    <row r="1253" spans="13:13" x14ac:dyDescent="0.25">
      <c r="M1253" s="1"/>
    </row>
    <row r="1254" spans="13:13" x14ac:dyDescent="0.25">
      <c r="M1254" s="1"/>
    </row>
    <row r="1255" spans="13:13" x14ac:dyDescent="0.25">
      <c r="M1255" s="1"/>
    </row>
    <row r="1256" spans="13:13" x14ac:dyDescent="0.25">
      <c r="M1256" s="1"/>
    </row>
    <row r="1257" spans="13:13" x14ac:dyDescent="0.25">
      <c r="M1257" s="1"/>
    </row>
    <row r="1258" spans="13:13" x14ac:dyDescent="0.25">
      <c r="M1258" s="1"/>
    </row>
    <row r="1259" spans="13:13" x14ac:dyDescent="0.25">
      <c r="M1259" s="1"/>
    </row>
    <row r="1260" spans="13:13" x14ac:dyDescent="0.25">
      <c r="M1260" s="1"/>
    </row>
    <row r="1261" spans="13:13" x14ac:dyDescent="0.25">
      <c r="M1261" s="1"/>
    </row>
    <row r="1262" spans="13:13" x14ac:dyDescent="0.25">
      <c r="M1262" s="1"/>
    </row>
    <row r="1263" spans="13:13" x14ac:dyDescent="0.25">
      <c r="M1263" s="1"/>
    </row>
    <row r="1264" spans="13:13" x14ac:dyDescent="0.25">
      <c r="M1264" s="1"/>
    </row>
    <row r="1265" spans="13:13" x14ac:dyDescent="0.25">
      <c r="M1265" s="1"/>
    </row>
    <row r="1266" spans="13:13" x14ac:dyDescent="0.25">
      <c r="M1266" s="1"/>
    </row>
    <row r="1267" spans="13:13" x14ac:dyDescent="0.25">
      <c r="M1267" s="1"/>
    </row>
    <row r="1268" spans="13:13" x14ac:dyDescent="0.25">
      <c r="M1268" s="1"/>
    </row>
    <row r="1269" spans="13:13" x14ac:dyDescent="0.25">
      <c r="M1269" s="1"/>
    </row>
    <row r="1270" spans="13:13" x14ac:dyDescent="0.25">
      <c r="M1270" s="1"/>
    </row>
    <row r="1271" spans="13:13" x14ac:dyDescent="0.25">
      <c r="M1271" s="1"/>
    </row>
    <row r="1272" spans="13:13" x14ac:dyDescent="0.25">
      <c r="M1272" s="1"/>
    </row>
    <row r="1273" spans="13:13" x14ac:dyDescent="0.25">
      <c r="M1273" s="1"/>
    </row>
    <row r="1274" spans="13:13" x14ac:dyDescent="0.25">
      <c r="M1274" s="1"/>
    </row>
    <row r="1275" spans="13:13" x14ac:dyDescent="0.25">
      <c r="M1275" s="1"/>
    </row>
    <row r="1276" spans="13:13" x14ac:dyDescent="0.25">
      <c r="M1276" s="1"/>
    </row>
    <row r="1277" spans="13:13" x14ac:dyDescent="0.25">
      <c r="M1277" s="1"/>
    </row>
    <row r="1278" spans="13:13" x14ac:dyDescent="0.25">
      <c r="M1278" s="1"/>
    </row>
    <row r="1279" spans="13:13" x14ac:dyDescent="0.25">
      <c r="M1279" s="1"/>
    </row>
    <row r="1280" spans="13:13" x14ac:dyDescent="0.25">
      <c r="M1280" s="1"/>
    </row>
    <row r="1281" spans="13:13" x14ac:dyDescent="0.25">
      <c r="M1281" s="1"/>
    </row>
    <row r="1282" spans="13:13" x14ac:dyDescent="0.25">
      <c r="M1282" s="1"/>
    </row>
    <row r="1283" spans="13:13" x14ac:dyDescent="0.25">
      <c r="M1283" s="1"/>
    </row>
    <row r="1284" spans="13:13" x14ac:dyDescent="0.25">
      <c r="M1284" s="1"/>
    </row>
    <row r="1285" spans="13:13" x14ac:dyDescent="0.25">
      <c r="M1285" s="1"/>
    </row>
    <row r="1286" spans="13:13" x14ac:dyDescent="0.25">
      <c r="M1286" s="1"/>
    </row>
    <row r="1287" spans="13:13" x14ac:dyDescent="0.25">
      <c r="M1287" s="1"/>
    </row>
    <row r="1288" spans="13:13" x14ac:dyDescent="0.25">
      <c r="M1288" s="1"/>
    </row>
    <row r="1289" spans="13:13" x14ac:dyDescent="0.25">
      <c r="M1289" s="1"/>
    </row>
    <row r="1290" spans="13:13" x14ac:dyDescent="0.25">
      <c r="M1290" s="1"/>
    </row>
    <row r="1291" spans="13:13" x14ac:dyDescent="0.25">
      <c r="M1291" s="1"/>
    </row>
    <row r="1292" spans="13:13" x14ac:dyDescent="0.25">
      <c r="M1292" s="1"/>
    </row>
    <row r="1293" spans="13:13" x14ac:dyDescent="0.25">
      <c r="M1293" s="1"/>
    </row>
    <row r="1294" spans="13:13" x14ac:dyDescent="0.25">
      <c r="M1294" s="1"/>
    </row>
    <row r="1295" spans="13:13" x14ac:dyDescent="0.25">
      <c r="M1295" s="1"/>
    </row>
    <row r="1296" spans="13:13" x14ac:dyDescent="0.25">
      <c r="M1296" s="1"/>
    </row>
    <row r="1297" spans="13:13" x14ac:dyDescent="0.25">
      <c r="M1297" s="1"/>
    </row>
    <row r="1298" spans="13:13" x14ac:dyDescent="0.25">
      <c r="M1298" s="1"/>
    </row>
    <row r="1299" spans="13:13" x14ac:dyDescent="0.25">
      <c r="M1299" s="1"/>
    </row>
    <row r="1300" spans="13:13" x14ac:dyDescent="0.25">
      <c r="M1300" s="1"/>
    </row>
    <row r="1301" spans="13:13" x14ac:dyDescent="0.25">
      <c r="M1301" s="1"/>
    </row>
    <row r="1302" spans="13:13" x14ac:dyDescent="0.25">
      <c r="M1302" s="1"/>
    </row>
    <row r="1303" spans="13:13" x14ac:dyDescent="0.25">
      <c r="M1303" s="1"/>
    </row>
    <row r="1304" spans="13:13" x14ac:dyDescent="0.25">
      <c r="M1304" s="1"/>
    </row>
    <row r="1305" spans="13:13" x14ac:dyDescent="0.25">
      <c r="M1305" s="1"/>
    </row>
    <row r="1306" spans="13:13" x14ac:dyDescent="0.25">
      <c r="M1306" s="1"/>
    </row>
    <row r="1307" spans="13:13" x14ac:dyDescent="0.25">
      <c r="M1307" s="1"/>
    </row>
    <row r="1308" spans="13:13" x14ac:dyDescent="0.25">
      <c r="M1308" s="1"/>
    </row>
    <row r="1309" spans="13:13" x14ac:dyDescent="0.25">
      <c r="M1309" s="1"/>
    </row>
    <row r="1310" spans="13:13" x14ac:dyDescent="0.25">
      <c r="M1310" s="1"/>
    </row>
    <row r="1311" spans="13:13" x14ac:dyDescent="0.25">
      <c r="M1311" s="1"/>
    </row>
    <row r="1312" spans="13:13" x14ac:dyDescent="0.25">
      <c r="M1312" s="1"/>
    </row>
    <row r="1313" spans="13:13" x14ac:dyDescent="0.25">
      <c r="M1313" s="1"/>
    </row>
    <row r="1314" spans="13:13" x14ac:dyDescent="0.25">
      <c r="M1314" s="1"/>
    </row>
    <row r="1315" spans="13:13" x14ac:dyDescent="0.25">
      <c r="M1315" s="1"/>
    </row>
    <row r="1316" spans="13:13" x14ac:dyDescent="0.25">
      <c r="M1316" s="1"/>
    </row>
    <row r="1317" spans="13:13" x14ac:dyDescent="0.25">
      <c r="M1317" s="1"/>
    </row>
    <row r="1318" spans="13:13" x14ac:dyDescent="0.25">
      <c r="M1318" s="1"/>
    </row>
    <row r="1319" spans="13:13" x14ac:dyDescent="0.25">
      <c r="M1319" s="1"/>
    </row>
    <row r="1320" spans="13:13" x14ac:dyDescent="0.25">
      <c r="M1320" s="1"/>
    </row>
    <row r="1321" spans="13:13" x14ac:dyDescent="0.25">
      <c r="M1321" s="1"/>
    </row>
    <row r="1322" spans="13:13" x14ac:dyDescent="0.25">
      <c r="M1322" s="1"/>
    </row>
    <row r="1323" spans="13:13" x14ac:dyDescent="0.25">
      <c r="M1323" s="1"/>
    </row>
    <row r="1324" spans="13:13" x14ac:dyDescent="0.25">
      <c r="M1324" s="1"/>
    </row>
    <row r="1325" spans="13:13" x14ac:dyDescent="0.25">
      <c r="M1325" s="1"/>
    </row>
    <row r="1326" spans="13:13" x14ac:dyDescent="0.25">
      <c r="M1326" s="1"/>
    </row>
    <row r="1327" spans="13:13" x14ac:dyDescent="0.25">
      <c r="M1327" s="1"/>
    </row>
    <row r="1328" spans="13:13" x14ac:dyDescent="0.25">
      <c r="M1328" s="1"/>
    </row>
    <row r="1329" spans="13:13" x14ac:dyDescent="0.25">
      <c r="M1329" s="1"/>
    </row>
    <row r="1330" spans="13:13" x14ac:dyDescent="0.25">
      <c r="M1330" s="1"/>
    </row>
    <row r="1331" spans="13:13" x14ac:dyDescent="0.25">
      <c r="M1331" s="1"/>
    </row>
    <row r="1332" spans="13:13" x14ac:dyDescent="0.25">
      <c r="M1332" s="1"/>
    </row>
    <row r="1333" spans="13:13" x14ac:dyDescent="0.25">
      <c r="M1333" s="1"/>
    </row>
    <row r="1334" spans="13:13" x14ac:dyDescent="0.25">
      <c r="M1334" s="1"/>
    </row>
    <row r="1335" spans="13:13" x14ac:dyDescent="0.25">
      <c r="M1335" s="1"/>
    </row>
    <row r="1336" spans="13:13" x14ac:dyDescent="0.25">
      <c r="M1336" s="1"/>
    </row>
    <row r="1337" spans="13:13" x14ac:dyDescent="0.25">
      <c r="M1337" s="1"/>
    </row>
    <row r="1338" spans="13:13" x14ac:dyDescent="0.25">
      <c r="M1338" s="1"/>
    </row>
    <row r="1339" spans="13:13" x14ac:dyDescent="0.25">
      <c r="M1339" s="1"/>
    </row>
    <row r="1340" spans="13:13" x14ac:dyDescent="0.25">
      <c r="M1340" s="1"/>
    </row>
    <row r="1341" spans="13:13" x14ac:dyDescent="0.25">
      <c r="M1341" s="1"/>
    </row>
    <row r="1342" spans="13:13" x14ac:dyDescent="0.25">
      <c r="M1342" s="1"/>
    </row>
    <row r="1343" spans="13:13" x14ac:dyDescent="0.25">
      <c r="M1343" s="1"/>
    </row>
    <row r="1344" spans="13:13" x14ac:dyDescent="0.25">
      <c r="M1344" s="1"/>
    </row>
    <row r="1345" spans="13:13" x14ac:dyDescent="0.25">
      <c r="M1345" s="1"/>
    </row>
    <row r="1346" spans="13:13" x14ac:dyDescent="0.25">
      <c r="M1346" s="1"/>
    </row>
    <row r="1347" spans="13:13" x14ac:dyDescent="0.25">
      <c r="M1347" s="1"/>
    </row>
    <row r="1348" spans="13:13" x14ac:dyDescent="0.25">
      <c r="M1348" s="1"/>
    </row>
    <row r="1349" spans="13:13" x14ac:dyDescent="0.25">
      <c r="M1349" s="1"/>
    </row>
    <row r="1350" spans="13:13" x14ac:dyDescent="0.25">
      <c r="M1350" s="1"/>
    </row>
    <row r="1351" spans="13:13" x14ac:dyDescent="0.25">
      <c r="M1351" s="1"/>
    </row>
    <row r="1352" spans="13:13" x14ac:dyDescent="0.25">
      <c r="M1352" s="1"/>
    </row>
    <row r="1353" spans="13:13" x14ac:dyDescent="0.25">
      <c r="M1353" s="1"/>
    </row>
    <row r="1354" spans="13:13" x14ac:dyDescent="0.25">
      <c r="M1354" s="1"/>
    </row>
    <row r="1355" spans="13:13" x14ac:dyDescent="0.25">
      <c r="M1355" s="1"/>
    </row>
    <row r="1356" spans="13:13" x14ac:dyDescent="0.25">
      <c r="M1356" s="1"/>
    </row>
    <row r="1357" spans="13:13" x14ac:dyDescent="0.25">
      <c r="M1357" s="1"/>
    </row>
    <row r="1358" spans="13:13" x14ac:dyDescent="0.25">
      <c r="M1358" s="1"/>
    </row>
    <row r="1359" spans="13:13" x14ac:dyDescent="0.25">
      <c r="M1359" s="1"/>
    </row>
    <row r="1360" spans="13:13" x14ac:dyDescent="0.25">
      <c r="M1360" s="1"/>
    </row>
    <row r="1361" spans="13:13" x14ac:dyDescent="0.25">
      <c r="M1361" s="1"/>
    </row>
    <row r="1362" spans="13:13" x14ac:dyDescent="0.25">
      <c r="M1362" s="1"/>
    </row>
    <row r="1363" spans="13:13" x14ac:dyDescent="0.25">
      <c r="M1363" s="1"/>
    </row>
    <row r="1364" spans="13:13" x14ac:dyDescent="0.25">
      <c r="M1364" s="1"/>
    </row>
    <row r="1365" spans="13:13" x14ac:dyDescent="0.25">
      <c r="M1365" s="1"/>
    </row>
    <row r="1366" spans="13:13" x14ac:dyDescent="0.25">
      <c r="M1366" s="1"/>
    </row>
    <row r="1367" spans="13:13" x14ac:dyDescent="0.25">
      <c r="M1367" s="1"/>
    </row>
    <row r="1368" spans="13:13" x14ac:dyDescent="0.25">
      <c r="M1368" s="1"/>
    </row>
    <row r="1369" spans="13:13" x14ac:dyDescent="0.25">
      <c r="M1369" s="1"/>
    </row>
    <row r="1370" spans="13:13" x14ac:dyDescent="0.25">
      <c r="M1370" s="1"/>
    </row>
    <row r="1371" spans="13:13" x14ac:dyDescent="0.25">
      <c r="M1371" s="1"/>
    </row>
    <row r="1372" spans="13:13" x14ac:dyDescent="0.25">
      <c r="M1372" s="1"/>
    </row>
    <row r="1373" spans="13:13" x14ac:dyDescent="0.25">
      <c r="M1373" s="1"/>
    </row>
    <row r="1374" spans="13:13" x14ac:dyDescent="0.25">
      <c r="M1374" s="1"/>
    </row>
    <row r="1375" spans="13:13" x14ac:dyDescent="0.25">
      <c r="M1375" s="1"/>
    </row>
    <row r="1376" spans="13:13" x14ac:dyDescent="0.25">
      <c r="M1376" s="1"/>
    </row>
    <row r="1377" spans="13:13" x14ac:dyDescent="0.25">
      <c r="M1377" s="1"/>
    </row>
    <row r="1378" spans="13:13" x14ac:dyDescent="0.25">
      <c r="M1378" s="1"/>
    </row>
    <row r="1379" spans="13:13" x14ac:dyDescent="0.25">
      <c r="M1379" s="1"/>
    </row>
    <row r="1380" spans="13:13" x14ac:dyDescent="0.25">
      <c r="M1380" s="1"/>
    </row>
    <row r="1381" spans="13:13" x14ac:dyDescent="0.25">
      <c r="M1381" s="1"/>
    </row>
    <row r="1382" spans="13:13" x14ac:dyDescent="0.25">
      <c r="M1382" s="1"/>
    </row>
    <row r="1383" spans="13:13" x14ac:dyDescent="0.25">
      <c r="M1383" s="1"/>
    </row>
    <row r="1384" spans="13:13" x14ac:dyDescent="0.25">
      <c r="M1384" s="1"/>
    </row>
    <row r="1385" spans="13:13" x14ac:dyDescent="0.25">
      <c r="M1385" s="1"/>
    </row>
    <row r="1386" spans="13:13" x14ac:dyDescent="0.25">
      <c r="M1386" s="1"/>
    </row>
    <row r="1387" spans="13:13" x14ac:dyDescent="0.25">
      <c r="M1387" s="1"/>
    </row>
    <row r="1388" spans="13:13" x14ac:dyDescent="0.25">
      <c r="M1388" s="1"/>
    </row>
    <row r="1389" spans="13:13" x14ac:dyDescent="0.25">
      <c r="M1389" s="1"/>
    </row>
    <row r="1390" spans="13:13" x14ac:dyDescent="0.25">
      <c r="M1390" s="1"/>
    </row>
    <row r="1391" spans="13:13" x14ac:dyDescent="0.25">
      <c r="M1391" s="1"/>
    </row>
    <row r="1392" spans="13:13" x14ac:dyDescent="0.25">
      <c r="M1392" s="1"/>
    </row>
    <row r="1393" spans="13:13" x14ac:dyDescent="0.25">
      <c r="M1393" s="1"/>
    </row>
    <row r="1394" spans="13:13" x14ac:dyDescent="0.25">
      <c r="M1394" s="1"/>
    </row>
    <row r="1395" spans="13:13" x14ac:dyDescent="0.25">
      <c r="M1395" s="1"/>
    </row>
    <row r="1396" spans="13:13" x14ac:dyDescent="0.25">
      <c r="M1396" s="1"/>
    </row>
    <row r="1397" spans="13:13" x14ac:dyDescent="0.25">
      <c r="M1397" s="1"/>
    </row>
    <row r="1398" spans="13:13" x14ac:dyDescent="0.25">
      <c r="M1398" s="1"/>
    </row>
    <row r="1399" spans="13:13" x14ac:dyDescent="0.25">
      <c r="M1399" s="1"/>
    </row>
    <row r="1400" spans="13:13" x14ac:dyDescent="0.25">
      <c r="M1400" s="1"/>
    </row>
    <row r="1401" spans="13:13" x14ac:dyDescent="0.25">
      <c r="M1401" s="1"/>
    </row>
    <row r="1402" spans="13:13" x14ac:dyDescent="0.25">
      <c r="M1402" s="1"/>
    </row>
    <row r="1403" spans="13:13" x14ac:dyDescent="0.25">
      <c r="M1403" s="1"/>
    </row>
    <row r="1404" spans="13:13" x14ac:dyDescent="0.25">
      <c r="M1404" s="1"/>
    </row>
    <row r="1405" spans="13:13" x14ac:dyDescent="0.25">
      <c r="M1405" s="1"/>
    </row>
    <row r="1406" spans="13:13" x14ac:dyDescent="0.25">
      <c r="M1406" s="1"/>
    </row>
    <row r="1407" spans="13:13" x14ac:dyDescent="0.25">
      <c r="M1407" s="1"/>
    </row>
    <row r="1408" spans="13:13" x14ac:dyDescent="0.25">
      <c r="M1408" s="1"/>
    </row>
    <row r="1409" spans="13:13" x14ac:dyDescent="0.25">
      <c r="M1409" s="1"/>
    </row>
    <row r="1410" spans="13:13" x14ac:dyDescent="0.25">
      <c r="M1410" s="1"/>
    </row>
    <row r="1411" spans="13:13" x14ac:dyDescent="0.25">
      <c r="M1411" s="1"/>
    </row>
    <row r="1412" spans="13:13" x14ac:dyDescent="0.25">
      <c r="M1412" s="1"/>
    </row>
    <row r="1413" spans="13:13" x14ac:dyDescent="0.25">
      <c r="M1413" s="1"/>
    </row>
    <row r="1414" spans="13:13" x14ac:dyDescent="0.25">
      <c r="M1414" s="1"/>
    </row>
    <row r="1415" spans="13:13" x14ac:dyDescent="0.25">
      <c r="M1415" s="1"/>
    </row>
    <row r="1416" spans="13:13" x14ac:dyDescent="0.25">
      <c r="M1416" s="1"/>
    </row>
    <row r="1417" spans="13:13" x14ac:dyDescent="0.25">
      <c r="M1417" s="1"/>
    </row>
    <row r="1418" spans="13:13" x14ac:dyDescent="0.25">
      <c r="M1418" s="1"/>
    </row>
    <row r="1419" spans="13:13" x14ac:dyDescent="0.25">
      <c r="M1419" s="1"/>
    </row>
    <row r="1420" spans="13:13" x14ac:dyDescent="0.25">
      <c r="M1420" s="1"/>
    </row>
    <row r="1421" spans="13:13" x14ac:dyDescent="0.25">
      <c r="M1421" s="1"/>
    </row>
    <row r="1422" spans="13:13" x14ac:dyDescent="0.25">
      <c r="M1422" s="1"/>
    </row>
    <row r="1423" spans="13:13" x14ac:dyDescent="0.25">
      <c r="M1423" s="1"/>
    </row>
    <row r="1424" spans="13:13" x14ac:dyDescent="0.25">
      <c r="M1424" s="1"/>
    </row>
    <row r="1425" spans="13:13" x14ac:dyDescent="0.25">
      <c r="M1425" s="1"/>
    </row>
    <row r="1426" spans="13:13" x14ac:dyDescent="0.25">
      <c r="M1426" s="1"/>
    </row>
    <row r="1427" spans="13:13" x14ac:dyDescent="0.25">
      <c r="M1427" s="1"/>
    </row>
    <row r="1428" spans="13:13" x14ac:dyDescent="0.25">
      <c r="M1428" s="1"/>
    </row>
    <row r="1429" spans="13:13" x14ac:dyDescent="0.25">
      <c r="M1429" s="1"/>
    </row>
    <row r="1430" spans="13:13" x14ac:dyDescent="0.25">
      <c r="M1430" s="1"/>
    </row>
    <row r="1431" spans="13:13" x14ac:dyDescent="0.25">
      <c r="M1431" s="1"/>
    </row>
    <row r="1432" spans="13:13" x14ac:dyDescent="0.25">
      <c r="M1432" s="1"/>
    </row>
    <row r="1433" spans="13:13" x14ac:dyDescent="0.25">
      <c r="M1433" s="1"/>
    </row>
    <row r="1434" spans="13:13" x14ac:dyDescent="0.25">
      <c r="M1434" s="1"/>
    </row>
    <row r="1435" spans="13:13" x14ac:dyDescent="0.25">
      <c r="M1435" s="1"/>
    </row>
    <row r="1436" spans="13:13" x14ac:dyDescent="0.25">
      <c r="M1436" s="1"/>
    </row>
    <row r="1437" spans="13:13" x14ac:dyDescent="0.25">
      <c r="M1437" s="1"/>
    </row>
    <row r="1438" spans="13:13" x14ac:dyDescent="0.25">
      <c r="M1438" s="1"/>
    </row>
    <row r="1439" spans="13:13" x14ac:dyDescent="0.25">
      <c r="M1439" s="1"/>
    </row>
    <row r="1440" spans="13:13" x14ac:dyDescent="0.25">
      <c r="M1440" s="1"/>
    </row>
    <row r="1441" spans="13:13" x14ac:dyDescent="0.25">
      <c r="M1441" s="1"/>
    </row>
    <row r="1442" spans="13:13" x14ac:dyDescent="0.25">
      <c r="M1442" s="1"/>
    </row>
    <row r="1443" spans="13:13" x14ac:dyDescent="0.25">
      <c r="M1443" s="1"/>
    </row>
    <row r="1444" spans="13:13" x14ac:dyDescent="0.25">
      <c r="M1444" s="1"/>
    </row>
    <row r="1445" spans="13:13" x14ac:dyDescent="0.25">
      <c r="M1445" s="1"/>
    </row>
    <row r="1446" spans="13:13" x14ac:dyDescent="0.25">
      <c r="M1446" s="1"/>
    </row>
    <row r="1447" spans="13:13" x14ac:dyDescent="0.25">
      <c r="M1447" s="1"/>
    </row>
    <row r="1448" spans="13:13" x14ac:dyDescent="0.25">
      <c r="M1448" s="1"/>
    </row>
    <row r="1449" spans="13:13" x14ac:dyDescent="0.25">
      <c r="M1449" s="1"/>
    </row>
    <row r="1450" spans="13:13" x14ac:dyDescent="0.25">
      <c r="M1450" s="1"/>
    </row>
    <row r="1451" spans="13:13" x14ac:dyDescent="0.25">
      <c r="M1451" s="1"/>
    </row>
    <row r="1452" spans="13:13" x14ac:dyDescent="0.25">
      <c r="M1452" s="1"/>
    </row>
    <row r="1453" spans="13:13" x14ac:dyDescent="0.25">
      <c r="M1453" s="1"/>
    </row>
    <row r="1454" spans="13:13" x14ac:dyDescent="0.25">
      <c r="M1454" s="1"/>
    </row>
    <row r="1455" spans="13:13" x14ac:dyDescent="0.25">
      <c r="M1455" s="1"/>
    </row>
    <row r="1456" spans="13:13" x14ac:dyDescent="0.25">
      <c r="M1456" s="1"/>
    </row>
    <row r="1457" spans="13:13" x14ac:dyDescent="0.25">
      <c r="M1457" s="1"/>
    </row>
    <row r="1458" spans="13:13" x14ac:dyDescent="0.25">
      <c r="M1458" s="1"/>
    </row>
    <row r="1459" spans="13:13" x14ac:dyDescent="0.25">
      <c r="M1459" s="1"/>
    </row>
    <row r="1460" spans="13:13" x14ac:dyDescent="0.25">
      <c r="M1460" s="1"/>
    </row>
    <row r="1461" spans="13:13" x14ac:dyDescent="0.25">
      <c r="M1461" s="1"/>
    </row>
    <row r="1462" spans="13:13" x14ac:dyDescent="0.25">
      <c r="M1462" s="1"/>
    </row>
    <row r="1463" spans="13:13" x14ac:dyDescent="0.25">
      <c r="M1463" s="1"/>
    </row>
    <row r="1464" spans="13:13" x14ac:dyDescent="0.25">
      <c r="M1464" s="1"/>
    </row>
    <row r="1465" spans="13:13" x14ac:dyDescent="0.25">
      <c r="M1465" s="1"/>
    </row>
    <row r="1466" spans="13:13" x14ac:dyDescent="0.25">
      <c r="M1466" s="1"/>
    </row>
    <row r="1467" spans="13:13" x14ac:dyDescent="0.25">
      <c r="M1467" s="1"/>
    </row>
    <row r="1468" spans="13:13" x14ac:dyDescent="0.25">
      <c r="M1468" s="1"/>
    </row>
    <row r="1469" spans="13:13" x14ac:dyDescent="0.25">
      <c r="M1469" s="1"/>
    </row>
    <row r="1470" spans="13:13" x14ac:dyDescent="0.25">
      <c r="M1470" s="1"/>
    </row>
    <row r="1471" spans="13:13" x14ac:dyDescent="0.25">
      <c r="M1471" s="1"/>
    </row>
    <row r="1472" spans="13:13" x14ac:dyDescent="0.25">
      <c r="M1472" s="1"/>
    </row>
    <row r="1473" spans="13:13" x14ac:dyDescent="0.25">
      <c r="M1473" s="1"/>
    </row>
    <row r="1474" spans="13:13" x14ac:dyDescent="0.25">
      <c r="M1474" s="1"/>
    </row>
    <row r="1475" spans="13:13" x14ac:dyDescent="0.25">
      <c r="M1475" s="1"/>
    </row>
    <row r="1476" spans="13:13" x14ac:dyDescent="0.25">
      <c r="M1476" s="1"/>
    </row>
    <row r="1477" spans="13:13" x14ac:dyDescent="0.25">
      <c r="M1477" s="1"/>
    </row>
    <row r="1478" spans="13:13" x14ac:dyDescent="0.25">
      <c r="M1478" s="1"/>
    </row>
    <row r="1479" spans="13:13" x14ac:dyDescent="0.25">
      <c r="M1479" s="1"/>
    </row>
    <row r="1480" spans="13:13" x14ac:dyDescent="0.25">
      <c r="M1480" s="1"/>
    </row>
    <row r="1481" spans="13:13" x14ac:dyDescent="0.25">
      <c r="M1481" s="1"/>
    </row>
    <row r="1482" spans="13:13" x14ac:dyDescent="0.25">
      <c r="M1482" s="1"/>
    </row>
    <row r="1483" spans="13:13" x14ac:dyDescent="0.25">
      <c r="M1483" s="1"/>
    </row>
    <row r="1484" spans="13:13" x14ac:dyDescent="0.25">
      <c r="M1484" s="1"/>
    </row>
    <row r="1485" spans="13:13" x14ac:dyDescent="0.25">
      <c r="M1485" s="1"/>
    </row>
    <row r="1486" spans="13:13" x14ac:dyDescent="0.25">
      <c r="M1486" s="1"/>
    </row>
    <row r="1487" spans="13:13" x14ac:dyDescent="0.25">
      <c r="M1487" s="1"/>
    </row>
    <row r="1488" spans="13:13" x14ac:dyDescent="0.25">
      <c r="M1488" s="1"/>
    </row>
    <row r="1489" spans="13:13" x14ac:dyDescent="0.25">
      <c r="M1489" s="1"/>
    </row>
    <row r="1490" spans="13:13" x14ac:dyDescent="0.25">
      <c r="M1490" s="1"/>
    </row>
    <row r="1491" spans="13:13" x14ac:dyDescent="0.25">
      <c r="M1491" s="1"/>
    </row>
    <row r="1492" spans="13:13" x14ac:dyDescent="0.25">
      <c r="M1492" s="1"/>
    </row>
    <row r="1493" spans="13:13" x14ac:dyDescent="0.25">
      <c r="M1493" s="1"/>
    </row>
    <row r="1494" spans="13:13" x14ac:dyDescent="0.25">
      <c r="M1494" s="1"/>
    </row>
    <row r="1495" spans="13:13" x14ac:dyDescent="0.25">
      <c r="M1495" s="1"/>
    </row>
    <row r="1496" spans="13:13" x14ac:dyDescent="0.25">
      <c r="M1496" s="1"/>
    </row>
    <row r="1497" spans="13:13" x14ac:dyDescent="0.25">
      <c r="M1497" s="1"/>
    </row>
    <row r="1498" spans="13:13" x14ac:dyDescent="0.25">
      <c r="M1498" s="1"/>
    </row>
    <row r="1499" spans="13:13" x14ac:dyDescent="0.25">
      <c r="M1499" s="1"/>
    </row>
    <row r="1500" spans="13:13" x14ac:dyDescent="0.25">
      <c r="M1500" s="1"/>
    </row>
    <row r="1501" spans="13:13" x14ac:dyDescent="0.25">
      <c r="M1501" s="1"/>
    </row>
    <row r="1502" spans="13:13" x14ac:dyDescent="0.25">
      <c r="M1502" s="1"/>
    </row>
    <row r="1503" spans="13:13" x14ac:dyDescent="0.25">
      <c r="M1503" s="1"/>
    </row>
    <row r="1504" spans="13:13" x14ac:dyDescent="0.25">
      <c r="M1504" s="1"/>
    </row>
    <row r="1505" spans="13:13" x14ac:dyDescent="0.25">
      <c r="M1505" s="1"/>
    </row>
    <row r="1506" spans="13:13" x14ac:dyDescent="0.25">
      <c r="M1506" s="1"/>
    </row>
    <row r="1507" spans="13:13" x14ac:dyDescent="0.25">
      <c r="M1507" s="1"/>
    </row>
    <row r="1508" spans="13:13" x14ac:dyDescent="0.25">
      <c r="M1508" s="1"/>
    </row>
    <row r="1509" spans="13:13" x14ac:dyDescent="0.25">
      <c r="M1509" s="1"/>
    </row>
    <row r="1510" spans="13:13" x14ac:dyDescent="0.25">
      <c r="M1510" s="1"/>
    </row>
    <row r="1511" spans="13:13" x14ac:dyDescent="0.25">
      <c r="M1511" s="1"/>
    </row>
    <row r="1512" spans="13:13" x14ac:dyDescent="0.25">
      <c r="M1512" s="1"/>
    </row>
    <row r="1513" spans="13:13" x14ac:dyDescent="0.25">
      <c r="M1513" s="1"/>
    </row>
    <row r="1514" spans="13:13" x14ac:dyDescent="0.25">
      <c r="M1514" s="1"/>
    </row>
    <row r="1515" spans="13:13" x14ac:dyDescent="0.25">
      <c r="M1515" s="1"/>
    </row>
    <row r="1516" spans="13:13" x14ac:dyDescent="0.25">
      <c r="M1516" s="1"/>
    </row>
    <row r="1517" spans="13:13" x14ac:dyDescent="0.25">
      <c r="M1517" s="1"/>
    </row>
    <row r="1518" spans="13:13" x14ac:dyDescent="0.25">
      <c r="M1518" s="1"/>
    </row>
    <row r="1519" spans="13:13" x14ac:dyDescent="0.25">
      <c r="M1519" s="1"/>
    </row>
    <row r="1520" spans="13:13" x14ac:dyDescent="0.25">
      <c r="M1520" s="1"/>
    </row>
    <row r="1521" spans="13:13" x14ac:dyDescent="0.25">
      <c r="M1521" s="1"/>
    </row>
    <row r="1522" spans="13:13" x14ac:dyDescent="0.25">
      <c r="M1522" s="1"/>
    </row>
    <row r="1523" spans="13:13" x14ac:dyDescent="0.25">
      <c r="M1523" s="1"/>
    </row>
    <row r="1524" spans="13:13" x14ac:dyDescent="0.25">
      <c r="M1524" s="1"/>
    </row>
    <row r="1525" spans="13:13" x14ac:dyDescent="0.25">
      <c r="M1525" s="1"/>
    </row>
    <row r="1526" spans="13:13" x14ac:dyDescent="0.25">
      <c r="M1526" s="1"/>
    </row>
    <row r="1527" spans="13:13" x14ac:dyDescent="0.25">
      <c r="M1527" s="1"/>
    </row>
    <row r="1528" spans="13:13" x14ac:dyDescent="0.25">
      <c r="M1528" s="1"/>
    </row>
    <row r="1529" spans="13:13" x14ac:dyDescent="0.25">
      <c r="M1529" s="1"/>
    </row>
    <row r="1530" spans="13:13" x14ac:dyDescent="0.25">
      <c r="M1530" s="1"/>
    </row>
    <row r="1531" spans="13:13" x14ac:dyDescent="0.25">
      <c r="M1531" s="1"/>
    </row>
    <row r="1532" spans="13:13" x14ac:dyDescent="0.25">
      <c r="M1532" s="1"/>
    </row>
    <row r="1533" spans="13:13" x14ac:dyDescent="0.25">
      <c r="M1533" s="1"/>
    </row>
    <row r="1534" spans="13:13" x14ac:dyDescent="0.25">
      <c r="M1534" s="1"/>
    </row>
    <row r="1535" spans="13:13" x14ac:dyDescent="0.25">
      <c r="M1535" s="1"/>
    </row>
    <row r="1536" spans="13:13" x14ac:dyDescent="0.25">
      <c r="M1536" s="1"/>
    </row>
    <row r="1537" spans="13:13" x14ac:dyDescent="0.25">
      <c r="M1537" s="1"/>
    </row>
    <row r="1538" spans="13:13" x14ac:dyDescent="0.25">
      <c r="M1538" s="1"/>
    </row>
    <row r="1539" spans="13:13" x14ac:dyDescent="0.25">
      <c r="M1539" s="1"/>
    </row>
    <row r="1540" spans="13:13" x14ac:dyDescent="0.25">
      <c r="M1540" s="1"/>
    </row>
    <row r="1541" spans="13:13" x14ac:dyDescent="0.25">
      <c r="M1541" s="1"/>
    </row>
    <row r="1542" spans="13:13" x14ac:dyDescent="0.25">
      <c r="M1542" s="1"/>
    </row>
    <row r="1543" spans="13:13" x14ac:dyDescent="0.25">
      <c r="M1543" s="1"/>
    </row>
    <row r="1544" spans="13:13" x14ac:dyDescent="0.25">
      <c r="M1544" s="1"/>
    </row>
    <row r="1545" spans="13:13" x14ac:dyDescent="0.25">
      <c r="M1545" s="1"/>
    </row>
    <row r="1546" spans="13:13" x14ac:dyDescent="0.25">
      <c r="M1546" s="1"/>
    </row>
    <row r="1547" spans="13:13" x14ac:dyDescent="0.25">
      <c r="M1547" s="1"/>
    </row>
    <row r="1548" spans="13:13" x14ac:dyDescent="0.25">
      <c r="M1548" s="1"/>
    </row>
    <row r="1549" spans="13:13" x14ac:dyDescent="0.25">
      <c r="M1549" s="1"/>
    </row>
    <row r="1550" spans="13:13" x14ac:dyDescent="0.25">
      <c r="M1550" s="1"/>
    </row>
    <row r="1551" spans="13:13" x14ac:dyDescent="0.25">
      <c r="M1551" s="1"/>
    </row>
    <row r="1552" spans="13:13" x14ac:dyDescent="0.25">
      <c r="M1552" s="1"/>
    </row>
    <row r="1553" spans="13:13" x14ac:dyDescent="0.25">
      <c r="M1553" s="1"/>
    </row>
    <row r="1554" spans="13:13" x14ac:dyDescent="0.25">
      <c r="M1554" s="1"/>
    </row>
    <row r="1555" spans="13:13" x14ac:dyDescent="0.25">
      <c r="M1555" s="1"/>
    </row>
    <row r="1556" spans="13:13" x14ac:dyDescent="0.25">
      <c r="M1556" s="1"/>
    </row>
    <row r="1557" spans="13:13" x14ac:dyDescent="0.25">
      <c r="M1557" s="1"/>
    </row>
    <row r="1558" spans="13:13" x14ac:dyDescent="0.25">
      <c r="M1558" s="1"/>
    </row>
    <row r="1559" spans="13:13" x14ac:dyDescent="0.25">
      <c r="M1559" s="1"/>
    </row>
    <row r="1560" spans="13:13" x14ac:dyDescent="0.25">
      <c r="M1560" s="1"/>
    </row>
    <row r="1561" spans="13:13" x14ac:dyDescent="0.25">
      <c r="M1561" s="1"/>
    </row>
    <row r="1562" spans="13:13" x14ac:dyDescent="0.25">
      <c r="M1562" s="1"/>
    </row>
    <row r="1563" spans="13:13" x14ac:dyDescent="0.25">
      <c r="M1563" s="1"/>
    </row>
    <row r="1564" spans="13:13" x14ac:dyDescent="0.25">
      <c r="M1564" s="1"/>
    </row>
    <row r="1565" spans="13:13" x14ac:dyDescent="0.25">
      <c r="M1565" s="1"/>
    </row>
    <row r="1566" spans="13:13" x14ac:dyDescent="0.25">
      <c r="M1566" s="1"/>
    </row>
    <row r="1567" spans="13:13" x14ac:dyDescent="0.25">
      <c r="M1567" s="1"/>
    </row>
    <row r="1568" spans="13:13" x14ac:dyDescent="0.25">
      <c r="M1568" s="1"/>
    </row>
    <row r="1569" spans="13:13" x14ac:dyDescent="0.25">
      <c r="M1569" s="1"/>
    </row>
    <row r="1570" spans="13:13" x14ac:dyDescent="0.25">
      <c r="M1570" s="1"/>
    </row>
    <row r="1571" spans="13:13" x14ac:dyDescent="0.25">
      <c r="M1571" s="1"/>
    </row>
    <row r="1572" spans="13:13" x14ac:dyDescent="0.25">
      <c r="M1572" s="1"/>
    </row>
    <row r="1573" spans="13:13" x14ac:dyDescent="0.25">
      <c r="M1573" s="1"/>
    </row>
    <row r="1574" spans="13:13" x14ac:dyDescent="0.25">
      <c r="M1574" s="1"/>
    </row>
    <row r="1575" spans="13:13" x14ac:dyDescent="0.25">
      <c r="M1575" s="1"/>
    </row>
    <row r="1576" spans="13:13" x14ac:dyDescent="0.25">
      <c r="M1576" s="1"/>
    </row>
    <row r="1577" spans="13:13" x14ac:dyDescent="0.25">
      <c r="M1577" s="1"/>
    </row>
    <row r="1578" spans="13:13" x14ac:dyDescent="0.25">
      <c r="M1578" s="1"/>
    </row>
    <row r="1579" spans="13:13" x14ac:dyDescent="0.25">
      <c r="M1579" s="1"/>
    </row>
    <row r="1580" spans="13:13" x14ac:dyDescent="0.25">
      <c r="M1580" s="1"/>
    </row>
    <row r="1581" spans="13:13" x14ac:dyDescent="0.25">
      <c r="M1581" s="1"/>
    </row>
    <row r="1582" spans="13:13" x14ac:dyDescent="0.25">
      <c r="M1582" s="1"/>
    </row>
    <row r="1583" spans="13:13" x14ac:dyDescent="0.25">
      <c r="M1583" s="1"/>
    </row>
    <row r="1584" spans="13:13" x14ac:dyDescent="0.25">
      <c r="M1584" s="1"/>
    </row>
    <row r="1585" spans="13:13" x14ac:dyDescent="0.25">
      <c r="M1585" s="1"/>
    </row>
    <row r="1586" spans="13:13" x14ac:dyDescent="0.25">
      <c r="M1586" s="1"/>
    </row>
    <row r="1587" spans="13:13" x14ac:dyDescent="0.25">
      <c r="M1587" s="1"/>
    </row>
    <row r="1588" spans="13:13" x14ac:dyDescent="0.25">
      <c r="M1588" s="1"/>
    </row>
    <row r="1589" spans="13:13" x14ac:dyDescent="0.25">
      <c r="M1589" s="1"/>
    </row>
    <row r="1590" spans="13:13" x14ac:dyDescent="0.25">
      <c r="M1590" s="1"/>
    </row>
    <row r="1591" spans="13:13" x14ac:dyDescent="0.25">
      <c r="M1591" s="1"/>
    </row>
    <row r="1592" spans="13:13" x14ac:dyDescent="0.25">
      <c r="M1592" s="1"/>
    </row>
    <row r="1593" spans="13:13" x14ac:dyDescent="0.25">
      <c r="M1593" s="1"/>
    </row>
    <row r="1594" spans="13:13" x14ac:dyDescent="0.25">
      <c r="M1594" s="1"/>
    </row>
    <row r="1595" spans="13:13" x14ac:dyDescent="0.25">
      <c r="M1595" s="1"/>
    </row>
    <row r="1596" spans="13:13" x14ac:dyDescent="0.25">
      <c r="M1596" s="1"/>
    </row>
    <row r="1597" spans="13:13" x14ac:dyDescent="0.25">
      <c r="M1597" s="1"/>
    </row>
    <row r="1598" spans="13:13" x14ac:dyDescent="0.25">
      <c r="M1598" s="1"/>
    </row>
    <row r="1599" spans="13:13" x14ac:dyDescent="0.25">
      <c r="M1599" s="1"/>
    </row>
    <row r="1600" spans="13:13" x14ac:dyDescent="0.25">
      <c r="M1600" s="1"/>
    </row>
    <row r="1601" spans="13:13" x14ac:dyDescent="0.25">
      <c r="M1601" s="1"/>
    </row>
    <row r="1602" spans="13:13" x14ac:dyDescent="0.25">
      <c r="M1602" s="1"/>
    </row>
    <row r="1603" spans="13:13" x14ac:dyDescent="0.25">
      <c r="M1603" s="1"/>
    </row>
    <row r="1604" spans="13:13" x14ac:dyDescent="0.25">
      <c r="M1604" s="1"/>
    </row>
    <row r="1605" spans="13:13" x14ac:dyDescent="0.25">
      <c r="M1605" s="1"/>
    </row>
    <row r="1606" spans="13:13" x14ac:dyDescent="0.25">
      <c r="M1606" s="1"/>
    </row>
    <row r="1607" spans="13:13" x14ac:dyDescent="0.25">
      <c r="M1607" s="1"/>
    </row>
    <row r="1608" spans="13:13" x14ac:dyDescent="0.25">
      <c r="M1608" s="1"/>
    </row>
    <row r="1609" spans="13:13" x14ac:dyDescent="0.25">
      <c r="M1609" s="1"/>
    </row>
    <row r="1610" spans="13:13" x14ac:dyDescent="0.25">
      <c r="M1610" s="1"/>
    </row>
    <row r="1611" spans="13:13" x14ac:dyDescent="0.25">
      <c r="M1611" s="1"/>
    </row>
    <row r="1612" spans="13:13" x14ac:dyDescent="0.25">
      <c r="M1612" s="1"/>
    </row>
    <row r="1613" spans="13:13" x14ac:dyDescent="0.25">
      <c r="M1613" s="1"/>
    </row>
    <row r="1614" spans="13:13" x14ac:dyDescent="0.25">
      <c r="M1614" s="1"/>
    </row>
    <row r="1615" spans="13:13" x14ac:dyDescent="0.25">
      <c r="M1615" s="1"/>
    </row>
    <row r="1616" spans="13:13" x14ac:dyDescent="0.25">
      <c r="M1616" s="1"/>
    </row>
    <row r="1617" spans="13:13" x14ac:dyDescent="0.25">
      <c r="M1617" s="1"/>
    </row>
    <row r="1618" spans="13:13" x14ac:dyDescent="0.25">
      <c r="M1618" s="1"/>
    </row>
    <row r="1619" spans="13:13" x14ac:dyDescent="0.25">
      <c r="M1619" s="1"/>
    </row>
    <row r="1620" spans="13:13" x14ac:dyDescent="0.25">
      <c r="M1620" s="1"/>
    </row>
    <row r="1621" spans="13:13" x14ac:dyDescent="0.25">
      <c r="M1621" s="1"/>
    </row>
    <row r="1622" spans="13:13" x14ac:dyDescent="0.25">
      <c r="M1622" s="1"/>
    </row>
    <row r="1623" spans="13:13" x14ac:dyDescent="0.25">
      <c r="M1623" s="1"/>
    </row>
    <row r="1624" spans="13:13" x14ac:dyDescent="0.25">
      <c r="M1624" s="1"/>
    </row>
    <row r="1625" spans="13:13" x14ac:dyDescent="0.25">
      <c r="M1625" s="1"/>
    </row>
    <row r="1626" spans="13:13" x14ac:dyDescent="0.25">
      <c r="M1626" s="1"/>
    </row>
    <row r="1627" spans="13:13" x14ac:dyDescent="0.25">
      <c r="M1627" s="1"/>
    </row>
    <row r="1628" spans="13:13" x14ac:dyDescent="0.25">
      <c r="M1628" s="1"/>
    </row>
    <row r="1629" spans="13:13" x14ac:dyDescent="0.25">
      <c r="M1629" s="1"/>
    </row>
    <row r="1630" spans="13:13" x14ac:dyDescent="0.25">
      <c r="M1630" s="1"/>
    </row>
    <row r="1631" spans="13:13" x14ac:dyDescent="0.25">
      <c r="M1631" s="1"/>
    </row>
    <row r="1632" spans="13:13" x14ac:dyDescent="0.25">
      <c r="M1632" s="1"/>
    </row>
    <row r="1633" spans="13:13" x14ac:dyDescent="0.25">
      <c r="M1633" s="1"/>
    </row>
    <row r="1634" spans="13:13" x14ac:dyDescent="0.25">
      <c r="M1634" s="1"/>
    </row>
    <row r="1635" spans="13:13" x14ac:dyDescent="0.25">
      <c r="M1635" s="1"/>
    </row>
    <row r="1636" spans="13:13" x14ac:dyDescent="0.25">
      <c r="M1636" s="1"/>
    </row>
    <row r="1637" spans="13:13" x14ac:dyDescent="0.25">
      <c r="M1637" s="1"/>
    </row>
    <row r="1638" spans="13:13" x14ac:dyDescent="0.25">
      <c r="M1638" s="1"/>
    </row>
    <row r="1639" spans="13:13" x14ac:dyDescent="0.25">
      <c r="M1639" s="1"/>
    </row>
    <row r="1640" spans="13:13" x14ac:dyDescent="0.25">
      <c r="M1640" s="1"/>
    </row>
    <row r="1641" spans="13:13" x14ac:dyDescent="0.25">
      <c r="M1641" s="1"/>
    </row>
    <row r="1642" spans="13:13" x14ac:dyDescent="0.25">
      <c r="M1642" s="1"/>
    </row>
    <row r="1643" spans="13:13" x14ac:dyDescent="0.25">
      <c r="M1643" s="1"/>
    </row>
    <row r="1644" spans="13:13" x14ac:dyDescent="0.25">
      <c r="M1644" s="1"/>
    </row>
    <row r="1645" spans="13:13" x14ac:dyDescent="0.25">
      <c r="M1645" s="1"/>
    </row>
    <row r="1646" spans="13:13" x14ac:dyDescent="0.25">
      <c r="M1646" s="1"/>
    </row>
    <row r="1647" spans="13:13" x14ac:dyDescent="0.25">
      <c r="M1647" s="1"/>
    </row>
    <row r="1648" spans="13:13" x14ac:dyDescent="0.25">
      <c r="M1648" s="1"/>
    </row>
    <row r="1649" spans="13:13" x14ac:dyDescent="0.25">
      <c r="M1649" s="1"/>
    </row>
    <row r="1650" spans="13:13" x14ac:dyDescent="0.25">
      <c r="M1650" s="1"/>
    </row>
    <row r="1651" spans="13:13" x14ac:dyDescent="0.25">
      <c r="M1651" s="1"/>
    </row>
    <row r="1652" spans="13:13" x14ac:dyDescent="0.25">
      <c r="M1652" s="1"/>
    </row>
    <row r="1653" spans="13:13" x14ac:dyDescent="0.25">
      <c r="M1653" s="1"/>
    </row>
    <row r="1654" spans="13:13" x14ac:dyDescent="0.25">
      <c r="M1654" s="1"/>
    </row>
    <row r="1655" spans="13:13" x14ac:dyDescent="0.25">
      <c r="M1655" s="1"/>
    </row>
    <row r="1656" spans="13:13" x14ac:dyDescent="0.25">
      <c r="M1656" s="1"/>
    </row>
    <row r="1657" spans="13:13" x14ac:dyDescent="0.25">
      <c r="M1657" s="1"/>
    </row>
    <row r="1658" spans="13:13" x14ac:dyDescent="0.25">
      <c r="M1658" s="1"/>
    </row>
    <row r="1659" spans="13:13" x14ac:dyDescent="0.25">
      <c r="M1659" s="1"/>
    </row>
    <row r="1660" spans="13:13" x14ac:dyDescent="0.25">
      <c r="M1660" s="1"/>
    </row>
    <row r="1661" spans="13:13" x14ac:dyDescent="0.25">
      <c r="M1661" s="1"/>
    </row>
    <row r="1662" spans="13:13" x14ac:dyDescent="0.25">
      <c r="M1662" s="1"/>
    </row>
    <row r="1663" spans="13:13" x14ac:dyDescent="0.25">
      <c r="M1663" s="1"/>
    </row>
    <row r="1664" spans="13:13" x14ac:dyDescent="0.25">
      <c r="M1664" s="1"/>
    </row>
    <row r="1665" spans="13:13" x14ac:dyDescent="0.25">
      <c r="M1665" s="1"/>
    </row>
    <row r="1666" spans="13:13" x14ac:dyDescent="0.25">
      <c r="M1666" s="1"/>
    </row>
    <row r="1667" spans="13:13" x14ac:dyDescent="0.25">
      <c r="M1667" s="1"/>
    </row>
    <row r="1668" spans="13:13" x14ac:dyDescent="0.25">
      <c r="M1668" s="1"/>
    </row>
    <row r="1669" spans="13:13" x14ac:dyDescent="0.25">
      <c r="M1669" s="1"/>
    </row>
    <row r="1670" spans="13:13" x14ac:dyDescent="0.25">
      <c r="M1670" s="1"/>
    </row>
    <row r="1671" spans="13:13" x14ac:dyDescent="0.25">
      <c r="M1671" s="1"/>
    </row>
    <row r="1672" spans="13:13" x14ac:dyDescent="0.25">
      <c r="M1672" s="1"/>
    </row>
    <row r="1673" spans="13:13" x14ac:dyDescent="0.25">
      <c r="M1673" s="1"/>
    </row>
    <row r="1674" spans="13:13" x14ac:dyDescent="0.25">
      <c r="M1674" s="1"/>
    </row>
    <row r="1675" spans="13:13" x14ac:dyDescent="0.25">
      <c r="M1675" s="1"/>
    </row>
    <row r="1676" spans="13:13" x14ac:dyDescent="0.25">
      <c r="M1676" s="1"/>
    </row>
    <row r="1677" spans="13:13" x14ac:dyDescent="0.25">
      <c r="M1677" s="1"/>
    </row>
    <row r="1678" spans="13:13" x14ac:dyDescent="0.25">
      <c r="M1678" s="1"/>
    </row>
    <row r="1679" spans="13:13" x14ac:dyDescent="0.25">
      <c r="M1679" s="1"/>
    </row>
    <row r="1680" spans="13:13" x14ac:dyDescent="0.25">
      <c r="M1680" s="1"/>
    </row>
    <row r="1681" spans="13:13" x14ac:dyDescent="0.25">
      <c r="M1681" s="1"/>
    </row>
    <row r="1682" spans="13:13" x14ac:dyDescent="0.25">
      <c r="M1682" s="1"/>
    </row>
    <row r="1683" spans="13:13" x14ac:dyDescent="0.25">
      <c r="M1683" s="1"/>
    </row>
    <row r="1684" spans="13:13" x14ac:dyDescent="0.25">
      <c r="M1684" s="1"/>
    </row>
    <row r="1685" spans="13:13" x14ac:dyDescent="0.25">
      <c r="M1685" s="1"/>
    </row>
    <row r="1686" spans="13:13" x14ac:dyDescent="0.25">
      <c r="M1686" s="1"/>
    </row>
    <row r="1687" spans="13:13" x14ac:dyDescent="0.25">
      <c r="M1687" s="1"/>
    </row>
    <row r="1688" spans="13:13" x14ac:dyDescent="0.25">
      <c r="M1688" s="1"/>
    </row>
    <row r="1689" spans="13:13" x14ac:dyDescent="0.25">
      <c r="M1689" s="1"/>
    </row>
    <row r="1690" spans="13:13" x14ac:dyDescent="0.25">
      <c r="M1690" s="1"/>
    </row>
    <row r="1691" spans="13:13" x14ac:dyDescent="0.25">
      <c r="M1691" s="1"/>
    </row>
    <row r="1692" spans="13:13" x14ac:dyDescent="0.25">
      <c r="M1692" s="1"/>
    </row>
    <row r="1693" spans="13:13" x14ac:dyDescent="0.25">
      <c r="M1693" s="1"/>
    </row>
    <row r="1694" spans="13:13" x14ac:dyDescent="0.25">
      <c r="M1694" s="1"/>
    </row>
    <row r="1695" spans="13:13" x14ac:dyDescent="0.25">
      <c r="M1695" s="1"/>
    </row>
    <row r="1696" spans="13:13" x14ac:dyDescent="0.25">
      <c r="M1696" s="1"/>
    </row>
    <row r="1697" spans="13:13" x14ac:dyDescent="0.25">
      <c r="M1697" s="1"/>
    </row>
    <row r="1698" spans="13:13" x14ac:dyDescent="0.25">
      <c r="M1698" s="1"/>
    </row>
    <row r="1699" spans="13:13" x14ac:dyDescent="0.25">
      <c r="M1699" s="1"/>
    </row>
    <row r="1700" spans="13:13" x14ac:dyDescent="0.25">
      <c r="M1700" s="1"/>
    </row>
    <row r="1701" spans="13:13" x14ac:dyDescent="0.25">
      <c r="M1701" s="1"/>
    </row>
    <row r="1702" spans="13:13" x14ac:dyDescent="0.25">
      <c r="M1702" s="1"/>
    </row>
    <row r="1703" spans="13:13" x14ac:dyDescent="0.25">
      <c r="M1703" s="1"/>
    </row>
    <row r="1704" spans="13:13" x14ac:dyDescent="0.25">
      <c r="M1704" s="1"/>
    </row>
    <row r="1705" spans="13:13" x14ac:dyDescent="0.25">
      <c r="M1705" s="1"/>
    </row>
    <row r="1706" spans="13:13" x14ac:dyDescent="0.25">
      <c r="M1706" s="1"/>
    </row>
    <row r="1707" spans="13:13" x14ac:dyDescent="0.25">
      <c r="M1707" s="1"/>
    </row>
    <row r="1708" spans="13:13" x14ac:dyDescent="0.25">
      <c r="M1708" s="1"/>
    </row>
    <row r="1709" spans="13:13" x14ac:dyDescent="0.25">
      <c r="M1709" s="1"/>
    </row>
    <row r="1710" spans="13:13" x14ac:dyDescent="0.25">
      <c r="M1710" s="1"/>
    </row>
    <row r="1711" spans="13:13" x14ac:dyDescent="0.25">
      <c r="M1711" s="1"/>
    </row>
    <row r="1712" spans="13:13" x14ac:dyDescent="0.25">
      <c r="M1712" s="1"/>
    </row>
    <row r="1713" spans="13:13" x14ac:dyDescent="0.25">
      <c r="M1713" s="1"/>
    </row>
    <row r="1714" spans="13:13" x14ac:dyDescent="0.25">
      <c r="M1714" s="1"/>
    </row>
    <row r="1715" spans="13:13" x14ac:dyDescent="0.25">
      <c r="M1715" s="1"/>
    </row>
    <row r="1716" spans="13:13" x14ac:dyDescent="0.25">
      <c r="M1716" s="1"/>
    </row>
    <row r="1717" spans="13:13" x14ac:dyDescent="0.25">
      <c r="M1717" s="1"/>
    </row>
    <row r="1718" spans="13:13" x14ac:dyDescent="0.25">
      <c r="M1718" s="1"/>
    </row>
    <row r="1719" spans="13:13" x14ac:dyDescent="0.25">
      <c r="M1719" s="1"/>
    </row>
    <row r="1720" spans="13:13" x14ac:dyDescent="0.25">
      <c r="M1720" s="1"/>
    </row>
    <row r="1721" spans="13:13" x14ac:dyDescent="0.25">
      <c r="M1721" s="1"/>
    </row>
    <row r="1722" spans="13:13" x14ac:dyDescent="0.25">
      <c r="M1722" s="1"/>
    </row>
    <row r="1723" spans="13:13" x14ac:dyDescent="0.25">
      <c r="M1723" s="1"/>
    </row>
    <row r="1724" spans="13:13" x14ac:dyDescent="0.25">
      <c r="M1724" s="1"/>
    </row>
    <row r="1725" spans="13:13" x14ac:dyDescent="0.25">
      <c r="M1725" s="1"/>
    </row>
    <row r="1726" spans="13:13" x14ac:dyDescent="0.25">
      <c r="M1726" s="1"/>
    </row>
    <row r="1727" spans="13:13" x14ac:dyDescent="0.25">
      <c r="M1727" s="1"/>
    </row>
    <row r="1728" spans="13:13" x14ac:dyDescent="0.25">
      <c r="M1728" s="1"/>
    </row>
    <row r="1729" spans="13:13" x14ac:dyDescent="0.25">
      <c r="M1729" s="1"/>
    </row>
    <row r="1730" spans="13:13" x14ac:dyDescent="0.25">
      <c r="M1730" s="1"/>
    </row>
    <row r="1731" spans="13:13" x14ac:dyDescent="0.25">
      <c r="M1731" s="1"/>
    </row>
    <row r="1732" spans="13:13" x14ac:dyDescent="0.25">
      <c r="M1732" s="1"/>
    </row>
    <row r="1733" spans="13:13" x14ac:dyDescent="0.25">
      <c r="M1733" s="1"/>
    </row>
    <row r="1734" spans="13:13" x14ac:dyDescent="0.25">
      <c r="M1734" s="1"/>
    </row>
    <row r="1735" spans="13:13" x14ac:dyDescent="0.25">
      <c r="M1735" s="1"/>
    </row>
    <row r="1736" spans="13:13" x14ac:dyDescent="0.25">
      <c r="M1736" s="1"/>
    </row>
    <row r="1737" spans="13:13" x14ac:dyDescent="0.25">
      <c r="M1737" s="1"/>
    </row>
    <row r="1738" spans="13:13" x14ac:dyDescent="0.25">
      <c r="M1738" s="1"/>
    </row>
    <row r="1739" spans="13:13" x14ac:dyDescent="0.25">
      <c r="M1739" s="1"/>
    </row>
    <row r="1740" spans="13:13" x14ac:dyDescent="0.25">
      <c r="M1740" s="1"/>
    </row>
    <row r="1741" spans="13:13" x14ac:dyDescent="0.25">
      <c r="M1741" s="1"/>
    </row>
    <row r="1742" spans="13:13" x14ac:dyDescent="0.25">
      <c r="M1742" s="1"/>
    </row>
    <row r="1743" spans="13:13" x14ac:dyDescent="0.25">
      <c r="M1743" s="1"/>
    </row>
    <row r="1744" spans="13:13" x14ac:dyDescent="0.25">
      <c r="M1744" s="1"/>
    </row>
    <row r="1745" spans="13:13" x14ac:dyDescent="0.25">
      <c r="M1745" s="1"/>
    </row>
    <row r="1746" spans="13:13" x14ac:dyDescent="0.25">
      <c r="M1746" s="1"/>
    </row>
    <row r="1747" spans="13:13" x14ac:dyDescent="0.25">
      <c r="M1747" s="1"/>
    </row>
    <row r="1748" spans="13:13" x14ac:dyDescent="0.25">
      <c r="M1748" s="1"/>
    </row>
    <row r="1749" spans="13:13" x14ac:dyDescent="0.25">
      <c r="M1749" s="1"/>
    </row>
    <row r="1750" spans="13:13" x14ac:dyDescent="0.25">
      <c r="M1750" s="1"/>
    </row>
    <row r="1751" spans="13:13" x14ac:dyDescent="0.25">
      <c r="M1751" s="1"/>
    </row>
    <row r="1752" spans="13:13" x14ac:dyDescent="0.25">
      <c r="M1752" s="1"/>
    </row>
    <row r="1753" spans="13:13" x14ac:dyDescent="0.25">
      <c r="M1753" s="1"/>
    </row>
    <row r="1754" spans="13:13" x14ac:dyDescent="0.25">
      <c r="M1754" s="1"/>
    </row>
    <row r="1755" spans="13:13" x14ac:dyDescent="0.25">
      <c r="M1755" s="1"/>
    </row>
    <row r="1756" spans="13:13" x14ac:dyDescent="0.25">
      <c r="M1756" s="1"/>
    </row>
    <row r="1757" spans="13:13" x14ac:dyDescent="0.25">
      <c r="M1757" s="1"/>
    </row>
    <row r="1758" spans="13:13" x14ac:dyDescent="0.25">
      <c r="M1758" s="1"/>
    </row>
    <row r="1759" spans="13:13" x14ac:dyDescent="0.25">
      <c r="M1759" s="1"/>
    </row>
    <row r="1760" spans="13:13" x14ac:dyDescent="0.25">
      <c r="M1760" s="1"/>
    </row>
    <row r="1761" spans="13:13" x14ac:dyDescent="0.25">
      <c r="M1761" s="1"/>
    </row>
    <row r="1762" spans="13:13" x14ac:dyDescent="0.25">
      <c r="M1762" s="1"/>
    </row>
    <row r="1763" spans="13:13" x14ac:dyDescent="0.25">
      <c r="M1763" s="1"/>
    </row>
  </sheetData>
  <mergeCells count="13">
    <mergeCell ref="C37:C38"/>
    <mergeCell ref="C40:C41"/>
    <mergeCell ref="H5:P5"/>
    <mergeCell ref="H24:P24"/>
    <mergeCell ref="C26:E26"/>
    <mergeCell ref="I27:K27"/>
    <mergeCell ref="M27:O27"/>
    <mergeCell ref="C19:F19"/>
    <mergeCell ref="C3:E3"/>
    <mergeCell ref="C7:E7"/>
    <mergeCell ref="C12:C13"/>
    <mergeCell ref="C15:C16"/>
    <mergeCell ref="C30:E30"/>
  </mergeCells>
  <dataValidations count="1">
    <dataValidation type="list" allowBlank="1" showInputMessage="1" showErrorMessage="1" sqref="E12:E13 E15:E16 E37:E38 E40:E41" xr:uid="{D2E1126F-4006-43E2-A6FE-14C504874ADF}">
      <formula1>DATE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nf_matrix_AG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Test_MLP">
                <anchor moveWithCells="1" sizeWithCells="1">
                  <from>
                    <xdr:col>2</xdr:col>
                    <xdr:colOff>38100</xdr:colOff>
                    <xdr:row>43</xdr:row>
                    <xdr:rowOff>57150</xdr:rowOff>
                  </from>
                  <to>
                    <xdr:col>4</xdr:col>
                    <xdr:colOff>752475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345C5-5A6B-4F14-8198-B8B0D734524A}">
  <sheetPr codeName="Feuil3"/>
  <dimension ref="A1:A200"/>
  <sheetViews>
    <sheetView workbookViewId="0">
      <selection activeCell="G33" sqref="G33"/>
    </sheetView>
  </sheetViews>
  <sheetFormatPr baseColWidth="10" defaultRowHeight="15" x14ac:dyDescent="0.25"/>
  <sheetData>
    <row r="1" spans="1:1" x14ac:dyDescent="0.25">
      <c r="A1">
        <v>0.70626300791652041</v>
      </c>
    </row>
    <row r="2" spans="1:1" x14ac:dyDescent="0.25">
      <c r="A2">
        <v>0.70622546997087376</v>
      </c>
    </row>
    <row r="3" spans="1:1" x14ac:dyDescent="0.25">
      <c r="A3">
        <v>0.70621729981908243</v>
      </c>
    </row>
    <row r="4" spans="1:1" x14ac:dyDescent="0.25">
      <c r="A4">
        <v>0.70625256654780788</v>
      </c>
    </row>
    <row r="5" spans="1:1" x14ac:dyDescent="0.25">
      <c r="A5">
        <v>0.7063348690284571</v>
      </c>
    </row>
    <row r="6" spans="1:1" x14ac:dyDescent="0.25">
      <c r="A6">
        <v>0.70645770287154119</v>
      </c>
    </row>
    <row r="7" spans="1:1" x14ac:dyDescent="0.25">
      <c r="A7">
        <v>0.70661084566036536</v>
      </c>
    </row>
    <row r="8" spans="1:1" x14ac:dyDescent="0.25">
      <c r="A8">
        <v>0.70678520097760777</v>
      </c>
    </row>
    <row r="9" spans="1:1" x14ac:dyDescent="0.25">
      <c r="A9">
        <v>0.7069742907661879</v>
      </c>
    </row>
    <row r="10" spans="1:1" x14ac:dyDescent="0.25">
      <c r="A10">
        <v>0.70717390936201441</v>
      </c>
    </row>
    <row r="11" spans="1:1" x14ac:dyDescent="0.25">
      <c r="A11">
        <v>0.70738133496705546</v>
      </c>
    </row>
    <row r="12" spans="1:1" x14ac:dyDescent="0.25">
      <c r="A12">
        <v>0.70759468055101737</v>
      </c>
    </row>
    <row r="13" spans="1:1" x14ac:dyDescent="0.25">
      <c r="A13">
        <v>0.70781249144933667</v>
      </c>
    </row>
    <row r="14" spans="1:1" x14ac:dyDescent="0.25">
      <c r="A14">
        <v>0.70803353553504011</v>
      </c>
    </row>
    <row r="15" spans="1:1" x14ac:dyDescent="0.25">
      <c r="A15">
        <v>0.70825671024408043</v>
      </c>
    </row>
    <row r="16" spans="1:1" x14ac:dyDescent="0.25">
      <c r="A16">
        <v>0.70848100990790819</v>
      </c>
    </row>
    <row r="17" spans="1:1" x14ac:dyDescent="0.25">
      <c r="A17">
        <v>0.70870551936569059</v>
      </c>
    </row>
    <row r="18" spans="1:1" x14ac:dyDescent="0.25">
      <c r="A18">
        <v>0.70892941605511395</v>
      </c>
    </row>
    <row r="19" spans="1:1" x14ac:dyDescent="0.25">
      <c r="A19">
        <v>0.70915197250431106</v>
      </c>
    </row>
    <row r="20" spans="1:1" x14ac:dyDescent="0.25">
      <c r="A20">
        <v>0.70937255631986784</v>
      </c>
    </row>
    <row r="21" spans="1:1" x14ac:dyDescent="0.25">
      <c r="A21">
        <v>0.70959062722029065</v>
      </c>
    </row>
    <row r="22" spans="1:1" x14ac:dyDescent="0.25">
      <c r="A22">
        <v>0.70980573165295657</v>
      </c>
    </row>
    <row r="23" spans="1:1" x14ac:dyDescent="0.25">
      <c r="A23">
        <v>0.71001749580006168</v>
      </c>
    </row>
    <row r="24" spans="1:1" x14ac:dyDescent="0.25">
      <c r="A24">
        <v>0.71022561773130333</v>
      </c>
    </row>
    <row r="25" spans="1:1" x14ac:dyDescent="0.25">
      <c r="A25">
        <v>0.71042985930312708</v>
      </c>
    </row>
    <row r="26" spans="1:1" x14ac:dyDescent="0.25">
      <c r="A26">
        <v>0.71063003823078263</v>
      </c>
    </row>
    <row r="27" spans="1:1" x14ac:dyDescent="0.25">
      <c r="A27">
        <v>0.71082602060874334</v>
      </c>
    </row>
    <row r="28" spans="1:1" x14ac:dyDescent="0.25">
      <c r="A28">
        <v>0.7110177140376559</v>
      </c>
    </row>
    <row r="29" spans="1:1" x14ac:dyDescent="0.25">
      <c r="A29">
        <v>0.71120506143104167</v>
      </c>
    </row>
    <row r="30" spans="1:1" x14ac:dyDescent="0.25">
      <c r="A30">
        <v>0.71138803551707075</v>
      </c>
    </row>
    <row r="31" spans="1:1" x14ac:dyDescent="0.25">
      <c r="A31">
        <v>0.711566634013447</v>
      </c>
    </row>
    <row r="32" spans="1:1" x14ac:dyDescent="0.25">
      <c r="A32">
        <v>0.71174087543132969</v>
      </c>
    </row>
    <row r="33" spans="1:1" x14ac:dyDescent="0.25">
      <c r="A33">
        <v>0.71191079545270564</v>
      </c>
    </row>
    <row r="34" spans="1:1" x14ac:dyDescent="0.25">
      <c r="A34">
        <v>0.71207644382117719</v>
      </c>
    </row>
    <row r="35" spans="1:1" x14ac:dyDescent="0.25">
      <c r="A35">
        <v>0.71223788168619373</v>
      </c>
    </row>
    <row r="36" spans="1:1" x14ac:dyDescent="0.25">
      <c r="A36">
        <v>0.7123951793437544</v>
      </c>
    </row>
    <row r="37" spans="1:1" x14ac:dyDescent="0.25">
      <c r="A37">
        <v>0.71254841432092053</v>
      </c>
    </row>
    <row r="38" spans="1:1" x14ac:dyDescent="0.25">
      <c r="A38">
        <v>0.71269766975669091</v>
      </c>
    </row>
    <row r="39" spans="1:1" x14ac:dyDescent="0.25">
      <c r="A39">
        <v>0.71284303303713037</v>
      </c>
    </row>
    <row r="40" spans="1:1" x14ac:dyDescent="0.25">
      <c r="A40">
        <v>0.71298459464771413</v>
      </c>
    </row>
    <row r="41" spans="1:1" x14ac:dyDescent="0.25">
      <c r="A41">
        <v>0.71312244721080709</v>
      </c>
    </row>
    <row r="42" spans="1:1" x14ac:dyDescent="0.25">
      <c r="A42">
        <v>0.71325668468050374</v>
      </c>
    </row>
    <row r="43" spans="1:1" x14ac:dyDescent="0.25">
      <c r="A43">
        <v>0.71338740167103432</v>
      </c>
    </row>
    <row r="44" spans="1:1" x14ac:dyDescent="0.25">
      <c r="A44">
        <v>0.7135146928983771</v>
      </c>
    </row>
    <row r="45" spans="1:1" x14ac:dyDescent="0.25">
      <c r="A45">
        <v>0.71363865271772275</v>
      </c>
    </row>
    <row r="46" spans="1:1" x14ac:dyDescent="0.25">
      <c r="A46">
        <v>0.71375937474207485</v>
      </c>
    </row>
    <row r="47" spans="1:1" x14ac:dyDescent="0.25">
      <c r="A47">
        <v>0.71387695152945707</v>
      </c>
    </row>
    <row r="48" spans="1:1" x14ac:dyDescent="0.25">
      <c r="A48">
        <v>0.71399147432816201</v>
      </c>
    </row>
    <row r="49" spans="1:1" x14ac:dyDescent="0.25">
      <c r="A49">
        <v>0.71410303287103738</v>
      </c>
    </row>
    <row r="50" spans="1:1" x14ac:dyDescent="0.25">
      <c r="A50">
        <v>0.71421171521124693</v>
      </c>
    </row>
    <row r="51" spans="1:1" x14ac:dyDescent="0.25">
      <c r="A51">
        <v>0.71431760759307172</v>
      </c>
    </row>
    <row r="52" spans="1:1" x14ac:dyDescent="0.25">
      <c r="A52">
        <v>0.71442079435231653</v>
      </c>
    </row>
    <row r="53" spans="1:1" x14ac:dyDescent="0.25">
      <c r="A53">
        <v>0.71452135784172977</v>
      </c>
    </row>
    <row r="54" spans="1:1" x14ac:dyDescent="0.25">
      <c r="A54">
        <v>0.71461937837750744</v>
      </c>
    </row>
    <row r="55" spans="1:1" x14ac:dyDescent="0.25">
      <c r="A55">
        <v>0.71471493420361665</v>
      </c>
    </row>
    <row r="56" spans="1:1" x14ac:dyDescent="0.25">
      <c r="A56">
        <v>0.71480810147110574</v>
      </c>
    </row>
    <row r="57" spans="1:1" x14ac:dyDescent="0.25">
      <c r="A57">
        <v>0.71489895423001848</v>
      </c>
    </row>
    <row r="58" spans="1:1" x14ac:dyDescent="0.25">
      <c r="A58">
        <v>0.7149875644318936</v>
      </c>
    </row>
    <row r="59" spans="1:1" x14ac:dyDescent="0.25">
      <c r="A59">
        <v>0.71507400194111892</v>
      </c>
    </row>
    <row r="60" spans="1:1" x14ac:dyDescent="0.25">
      <c r="A60">
        <v>0.71515833455367039</v>
      </c>
    </row>
    <row r="61" spans="1:1" x14ac:dyDescent="0.25">
      <c r="A61">
        <v>0.71524062802197885</v>
      </c>
    </row>
    <row r="62" spans="1:1" x14ac:dyDescent="0.25">
      <c r="A62">
        <v>0.71532094608484453</v>
      </c>
    </row>
    <row r="63" spans="1:1" x14ac:dyDescent="0.25">
      <c r="A63">
        <v>0.71539935050149583</v>
      </c>
    </row>
    <row r="64" spans="1:1" x14ac:dyDescent="0.25">
      <c r="A64">
        <v>0.71547590108899639</v>
      </c>
    </row>
    <row r="65" spans="1:1" x14ac:dyDescent="0.25">
      <c r="A65">
        <v>0.71555065576233579</v>
      </c>
    </row>
    <row r="66" spans="1:1" x14ac:dyDescent="0.25">
      <c r="A66">
        <v>0.71562367057660647</v>
      </c>
    </row>
    <row r="67" spans="1:1" x14ac:dyDescent="0.25">
      <c r="A67">
        <v>0.71569499977080708</v>
      </c>
    </row>
    <row r="68" spans="1:1" x14ac:dyDescent="0.25">
      <c r="A68">
        <v>0.71576469581281732</v>
      </c>
    </row>
    <row r="69" spans="1:1" x14ac:dyDescent="0.25">
      <c r="A69">
        <v>0.71583280944520644</v>
      </c>
    </row>
    <row r="70" spans="1:1" x14ac:dyDescent="0.25">
      <c r="A70">
        <v>0.71589938973153344</v>
      </c>
    </row>
    <row r="71" spans="1:1" x14ac:dyDescent="0.25">
      <c r="A71">
        <v>0.71596448410290781</v>
      </c>
    </row>
    <row r="72" spans="1:1" x14ac:dyDescent="0.25">
      <c r="A72">
        <v>0.71602813840456259</v>
      </c>
    </row>
    <row r="73" spans="1:1" x14ac:dyDescent="0.25">
      <c r="A73">
        <v>0.71609039694225329</v>
      </c>
    </row>
    <row r="74" spans="1:1" x14ac:dyDescent="0.25">
      <c r="A74">
        <v>0.71615130252831394</v>
      </c>
    </row>
    <row r="75" spans="1:1" x14ac:dyDescent="0.25">
      <c r="A75">
        <v>0.71621089652723358</v>
      </c>
    </row>
    <row r="76" spans="1:1" x14ac:dyDescent="0.25">
      <c r="A76">
        <v>0.71626921890065298</v>
      </c>
    </row>
    <row r="77" spans="1:1" x14ac:dyDescent="0.25">
      <c r="A77">
        <v>0.71632630825164201</v>
      </c>
    </row>
    <row r="78" spans="1:1" x14ac:dyDescent="0.25">
      <c r="A78">
        <v>0.71638220186822155</v>
      </c>
    </row>
    <row r="79" spans="1:1" x14ac:dyDescent="0.25">
      <c r="A79">
        <v>0.71643693576605416</v>
      </c>
    </row>
    <row r="80" spans="1:1" x14ac:dyDescent="0.25">
      <c r="A80">
        <v>0.71649054473020801</v>
      </c>
    </row>
    <row r="81" spans="1:1" x14ac:dyDescent="0.25">
      <c r="A81">
        <v>0.71654306235601717</v>
      </c>
    </row>
    <row r="82" spans="1:1" x14ac:dyDescent="0.25">
      <c r="A82">
        <v>0.71659452108895616</v>
      </c>
    </row>
    <row r="83" spans="1:1" x14ac:dyDescent="0.25">
      <c r="A83">
        <v>0.71664495226351876</v>
      </c>
    </row>
    <row r="84" spans="1:1" x14ac:dyDescent="0.25">
      <c r="A84">
        <v>0.71669438614109415</v>
      </c>
    </row>
    <row r="85" spans="1:1" x14ac:dyDescent="0.25">
      <c r="A85">
        <v>0.71674285194681175</v>
      </c>
    </row>
    <row r="86" spans="1:1" x14ac:dyDescent="0.25">
      <c r="A86">
        <v>0.71679037790536182</v>
      </c>
    </row>
    <row r="87" spans="1:1" x14ac:dyDescent="0.25">
      <c r="A87">
        <v>0.71683699127577738</v>
      </c>
    </row>
    <row r="88" spans="1:1" x14ac:dyDescent="0.25">
      <c r="A88">
        <v>0.7168827183852079</v>
      </c>
    </row>
    <row r="89" spans="1:1" x14ac:dyDescent="0.25">
      <c r="A89">
        <v>0.71692758466165385</v>
      </c>
    </row>
    <row r="90" spans="1:1" x14ac:dyDescent="0.25">
      <c r="A90">
        <v>0.71697161466570625</v>
      </c>
    </row>
    <row r="91" spans="1:1" x14ac:dyDescent="0.25">
      <c r="A91">
        <v>0.71701483212128247</v>
      </c>
    </row>
    <row r="92" spans="1:1" x14ac:dyDescent="0.25">
      <c r="A92">
        <v>0.71705725994538116</v>
      </c>
    </row>
    <row r="93" spans="1:1" x14ac:dyDescent="0.25">
      <c r="A93">
        <v>0.71709892027686473</v>
      </c>
    </row>
    <row r="94" spans="1:1" x14ac:dyDescent="0.25">
      <c r="A94">
        <v>0.71713983450431706</v>
      </c>
    </row>
    <row r="95" spans="1:1" x14ac:dyDescent="0.25">
      <c r="A95">
        <v>0.71718002329293773</v>
      </c>
    </row>
    <row r="96" spans="1:1" x14ac:dyDescent="0.25">
      <c r="A96">
        <v>0.71721950661055645</v>
      </c>
    </row>
    <row r="97" spans="1:1" x14ac:dyDescent="0.25">
      <c r="A97">
        <v>0.71725830375275368</v>
      </c>
    </row>
    <row r="98" spans="1:1" x14ac:dyDescent="0.25">
      <c r="A98">
        <v>0.7172964333671078</v>
      </c>
    </row>
    <row r="99" spans="1:1" x14ac:dyDescent="0.25">
      <c r="A99">
        <v>0.71733391347660613</v>
      </c>
    </row>
    <row r="100" spans="1:1" x14ac:dyDescent="0.25">
      <c r="A100">
        <v>0.71737076150223789</v>
      </c>
    </row>
    <row r="101" spans="1:1" x14ac:dyDescent="0.25">
      <c r="A101">
        <v>0.71740699428478816</v>
      </c>
    </row>
    <row r="102" spans="1:1" x14ac:dyDescent="0.25">
      <c r="A102">
        <v>0.71744262810585024</v>
      </c>
    </row>
    <row r="103" spans="1:1" x14ac:dyDescent="0.25">
      <c r="A103">
        <v>0.71747767870809243</v>
      </c>
    </row>
    <row r="104" spans="1:1" x14ac:dyDescent="0.25">
      <c r="A104">
        <v>0.717512161314801</v>
      </c>
    </row>
    <row r="105" spans="1:1" x14ac:dyDescent="0.25">
      <c r="A105">
        <v>0.71754609064870467</v>
      </c>
    </row>
    <row r="106" spans="1:1" x14ac:dyDescent="0.25">
      <c r="A106">
        <v>0.71757948095012325</v>
      </c>
    </row>
    <row r="107" spans="1:1" x14ac:dyDescent="0.25">
      <c r="A107">
        <v>0.71761234599444157</v>
      </c>
    </row>
    <row r="108" spans="1:1" x14ac:dyDescent="0.25">
      <c r="A108">
        <v>0.71764469910896633</v>
      </c>
    </row>
    <row r="109" spans="1:1" x14ac:dyDescent="0.25">
      <c r="A109">
        <v>0.7176765531891407</v>
      </c>
    </row>
    <row r="110" spans="1:1" x14ac:dyDescent="0.25">
      <c r="A110">
        <v>0.71770792071416334</v>
      </c>
    </row>
    <row r="111" spans="1:1" x14ac:dyDescent="0.25">
      <c r="A111">
        <v>0.7177388137620454</v>
      </c>
    </row>
    <row r="112" spans="1:1" x14ac:dyDescent="0.25">
      <c r="A112">
        <v>0.71776924402408104</v>
      </c>
    </row>
    <row r="113" spans="1:1" x14ac:dyDescent="0.25">
      <c r="A113">
        <v>0.71779922281881325</v>
      </c>
    </row>
    <row r="114" spans="1:1" x14ac:dyDescent="0.25">
      <c r="A114">
        <v>0.71782876110544691</v>
      </c>
    </row>
    <row r="115" spans="1:1" x14ac:dyDescent="0.25">
      <c r="A115">
        <v>0.71785786949678032</v>
      </c>
    </row>
    <row r="116" spans="1:1" x14ac:dyDescent="0.25">
      <c r="A116">
        <v>0.71788655827164216</v>
      </c>
    </row>
    <row r="117" spans="1:1" x14ac:dyDescent="0.25">
      <c r="A117">
        <v>0.71791483738687645</v>
      </c>
    </row>
    <row r="118" spans="1:1" x14ac:dyDescent="0.25">
      <c r="A118">
        <v>0.71794271648885555</v>
      </c>
    </row>
    <row r="119" spans="1:1" x14ac:dyDescent="0.25">
      <c r="A119">
        <v>0.71797020492458352</v>
      </c>
    </row>
    <row r="120" spans="1:1" x14ac:dyDescent="0.25">
      <c r="A120">
        <v>0.71799731175236636</v>
      </c>
    </row>
    <row r="121" spans="1:1" x14ac:dyDescent="0.25">
      <c r="A121">
        <v>0.71802404575209089</v>
      </c>
    </row>
    <row r="122" spans="1:1" x14ac:dyDescent="0.25">
      <c r="A122">
        <v>0.71805041543510306</v>
      </c>
    </row>
    <row r="123" spans="1:1" x14ac:dyDescent="0.25">
      <c r="A123">
        <v>0.71807642905373059</v>
      </c>
    </row>
    <row r="124" spans="1:1" x14ac:dyDescent="0.25">
      <c r="A124">
        <v>0.71810209461044328</v>
      </c>
    </row>
    <row r="125" spans="1:1" x14ac:dyDescent="0.25">
      <c r="A125">
        <v>0.71812741986664674</v>
      </c>
    </row>
    <row r="126" spans="1:1" x14ac:dyDescent="0.25">
      <c r="A126">
        <v>0.71815241235118399</v>
      </c>
    </row>
    <row r="127" spans="1:1" x14ac:dyDescent="0.25">
      <c r="A127">
        <v>0.71817707936848207</v>
      </c>
    </row>
    <row r="128" spans="1:1" x14ac:dyDescent="0.25">
      <c r="A128">
        <v>0.71820142800640863</v>
      </c>
    </row>
    <row r="129" spans="1:1" x14ac:dyDescent="0.25">
      <c r="A129">
        <v>0.71822546514382901</v>
      </c>
    </row>
    <row r="130" spans="1:1" x14ac:dyDescent="0.25">
      <c r="A130">
        <v>0.7182491974578834</v>
      </c>
    </row>
    <row r="131" spans="1:1" x14ac:dyDescent="0.25">
      <c r="A131">
        <v>0.71827263143097964</v>
      </c>
    </row>
    <row r="132" spans="1:1" x14ac:dyDescent="0.25">
      <c r="A132">
        <v>0.71829577335753725</v>
      </c>
    </row>
    <row r="133" spans="1:1" x14ac:dyDescent="0.25">
      <c r="A133">
        <v>0.71831862935047019</v>
      </c>
    </row>
    <row r="134" spans="1:1" x14ac:dyDescent="0.25">
      <c r="A134">
        <v>0.71834120534741963</v>
      </c>
    </row>
    <row r="135" spans="1:1" x14ac:dyDescent="0.25">
      <c r="A135">
        <v>0.71836350711677843</v>
      </c>
    </row>
    <row r="136" spans="1:1" x14ac:dyDescent="0.25">
      <c r="A136">
        <v>0.71838554026345514</v>
      </c>
    </row>
    <row r="137" spans="1:1" x14ac:dyDescent="0.25">
      <c r="A137">
        <v>0.7184073102344577</v>
      </c>
    </row>
    <row r="138" spans="1:1" x14ac:dyDescent="0.25">
      <c r="A138">
        <v>0.71842882232423677</v>
      </c>
    </row>
    <row r="139" spans="1:1" x14ac:dyDescent="0.25">
      <c r="A139">
        <v>0.71845008167986069</v>
      </c>
    </row>
    <row r="140" spans="1:1" x14ac:dyDescent="0.25">
      <c r="A140">
        <v>0.71847109330596681</v>
      </c>
    </row>
    <row r="141" spans="1:1" x14ac:dyDescent="0.25">
      <c r="A141">
        <v>0.71849186206956117</v>
      </c>
    </row>
    <row r="142" spans="1:1" x14ac:dyDescent="0.25">
      <c r="A142">
        <v>0.71851239270460898</v>
      </c>
    </row>
    <row r="143" spans="1:1" x14ac:dyDescent="0.25">
      <c r="A143">
        <v>0.71853268981647911</v>
      </c>
    </row>
    <row r="144" spans="1:1" x14ac:dyDescent="0.25">
      <c r="A144">
        <v>0.71855275788620998</v>
      </c>
    </row>
    <row r="145" spans="1:1" x14ac:dyDescent="0.25">
      <c r="A145">
        <v>0.71857260127462608</v>
      </c>
    </row>
    <row r="146" spans="1:1" x14ac:dyDescent="0.25">
      <c r="A146">
        <v>0.71859222422630187</v>
      </c>
    </row>
    <row r="147" spans="1:1" x14ac:dyDescent="0.25">
      <c r="A147">
        <v>0.71861163087336866</v>
      </c>
    </row>
    <row r="148" spans="1:1" x14ac:dyDescent="0.25">
      <c r="A148">
        <v>0.71863082523920252</v>
      </c>
    </row>
    <row r="149" spans="1:1" x14ac:dyDescent="0.25">
      <c r="A149">
        <v>0.71864981124195848</v>
      </c>
    </row>
    <row r="150" spans="1:1" x14ac:dyDescent="0.25">
      <c r="A150">
        <v>0.71866859269798489</v>
      </c>
    </row>
    <row r="151" spans="1:1" x14ac:dyDescent="0.25">
      <c r="A151">
        <v>0.71868717332511389</v>
      </c>
    </row>
    <row r="152" spans="1:1" x14ac:dyDescent="0.25">
      <c r="A152">
        <v>0.71870555674582315</v>
      </c>
    </row>
    <row r="153" spans="1:1" x14ac:dyDescent="0.25">
      <c r="A153">
        <v>0.71872374649029525</v>
      </c>
    </row>
    <row r="154" spans="1:1" x14ac:dyDescent="0.25">
      <c r="A154">
        <v>0.71874174599936036</v>
      </c>
    </row>
    <row r="155" spans="1:1" x14ac:dyDescent="0.25">
      <c r="A155">
        <v>0.71875955862732521</v>
      </c>
    </row>
    <row r="156" spans="1:1" x14ac:dyDescent="0.25">
      <c r="A156">
        <v>0.7187771876447181</v>
      </c>
    </row>
    <row r="157" spans="1:1" x14ac:dyDescent="0.25">
      <c r="A157">
        <v>0.71879463624091722</v>
      </c>
    </row>
    <row r="158" spans="1:1" x14ac:dyDescent="0.25">
      <c r="A158">
        <v>0.71881190752669166</v>
      </c>
    </row>
    <row r="159" spans="1:1" x14ac:dyDescent="0.25">
      <c r="A159">
        <v>0.71882900453665799</v>
      </c>
    </row>
    <row r="160" spans="1:1" x14ac:dyDescent="0.25">
      <c r="A160">
        <v>0.71884593023163279</v>
      </c>
    </row>
    <row r="161" spans="1:1" x14ac:dyDescent="0.25">
      <c r="A161">
        <v>0.71886268750092597</v>
      </c>
    </row>
    <row r="162" spans="1:1" x14ac:dyDescent="0.25">
      <c r="A162">
        <v>0.7188792791645251</v>
      </c>
    </row>
    <row r="163" spans="1:1" x14ac:dyDescent="0.25">
      <c r="A163">
        <v>0.71889570797522295</v>
      </c>
    </row>
    <row r="164" spans="1:1" x14ac:dyDescent="0.25">
      <c r="A164">
        <v>0.71891197662066386</v>
      </c>
    </row>
    <row r="165" spans="1:1" x14ac:dyDescent="0.25">
      <c r="A165">
        <v>0.71892808772530603</v>
      </c>
    </row>
    <row r="166" spans="1:1" x14ac:dyDescent="0.25">
      <c r="A166">
        <v>0.71894404385234134</v>
      </c>
    </row>
    <row r="167" spans="1:1" x14ac:dyDescent="0.25">
      <c r="A167">
        <v>0.71895984750552644</v>
      </c>
    </row>
    <row r="168" spans="1:1" x14ac:dyDescent="0.25">
      <c r="A168">
        <v>0.71897550113094755</v>
      </c>
    </row>
    <row r="169" spans="1:1" x14ac:dyDescent="0.25">
      <c r="A169">
        <v>0.71899100711874397</v>
      </c>
    </row>
    <row r="170" spans="1:1" x14ac:dyDescent="0.25">
      <c r="A170">
        <v>0.71900636780475835</v>
      </c>
    </row>
    <row r="171" spans="1:1" x14ac:dyDescent="0.25">
      <c r="A171">
        <v>0.71902158547212003</v>
      </c>
    </row>
    <row r="172" spans="1:1" x14ac:dyDescent="0.25">
      <c r="A172">
        <v>0.71903666235280705</v>
      </c>
    </row>
    <row r="173" spans="1:1" x14ac:dyDescent="0.25">
      <c r="A173">
        <v>0.71905160062911044</v>
      </c>
    </row>
    <row r="174" spans="1:1" x14ac:dyDescent="0.25">
      <c r="A174">
        <v>0.71906640243508668</v>
      </c>
    </row>
    <row r="175" spans="1:1" x14ac:dyDescent="0.25">
      <c r="A175">
        <v>0.7190810698579343</v>
      </c>
    </row>
    <row r="176" spans="1:1" x14ac:dyDescent="0.25">
      <c r="A176">
        <v>0.71909560493934643</v>
      </c>
    </row>
    <row r="177" spans="1:1" x14ac:dyDescent="0.25">
      <c r="A177">
        <v>0.71911000967678917</v>
      </c>
    </row>
    <row r="178" spans="1:1" x14ac:dyDescent="0.25">
      <c r="A178">
        <v>0.71912428602476874</v>
      </c>
    </row>
    <row r="179" spans="1:1" x14ac:dyDescent="0.25">
      <c r="A179">
        <v>0.71913843589602444</v>
      </c>
    </row>
    <row r="180" spans="1:1" x14ac:dyDescent="0.25">
      <c r="A180">
        <v>0.71915246116271381</v>
      </c>
    </row>
    <row r="181" spans="1:1" x14ac:dyDescent="0.25">
      <c r="A181">
        <v>0.71916636365752806</v>
      </c>
    </row>
    <row r="182" spans="1:1" x14ac:dyDescent="0.25">
      <c r="A182">
        <v>0.71918014517478723</v>
      </c>
    </row>
    <row r="183" spans="1:1" x14ac:dyDescent="0.25">
      <c r="A183">
        <v>0.71919380747149819</v>
      </c>
    </row>
    <row r="184" spans="1:1" x14ac:dyDescent="0.25">
      <c r="A184">
        <v>0.71920735226837429</v>
      </c>
    </row>
    <row r="185" spans="1:1" x14ac:dyDescent="0.25">
      <c r="A185">
        <v>0.719220781250823</v>
      </c>
    </row>
    <row r="186" spans="1:1" x14ac:dyDescent="0.25">
      <c r="A186">
        <v>0.71923409606989541</v>
      </c>
    </row>
    <row r="187" spans="1:1" x14ac:dyDescent="0.25">
      <c r="A187">
        <v>0.71924729834321055</v>
      </c>
    </row>
    <row r="188" spans="1:1" x14ac:dyDescent="0.25">
      <c r="A188">
        <v>0.71926038965585437</v>
      </c>
    </row>
    <row r="189" spans="1:1" x14ac:dyDescent="0.25">
      <c r="A189">
        <v>0.7192733715612375</v>
      </c>
    </row>
    <row r="190" spans="1:1" x14ac:dyDescent="0.25">
      <c r="A190">
        <v>0.71928624558193643</v>
      </c>
    </row>
    <row r="191" spans="1:1" x14ac:dyDescent="0.25">
      <c r="A191">
        <v>0.71929901321049405</v>
      </c>
    </row>
    <row r="192" spans="1:1" x14ac:dyDescent="0.25">
      <c r="A192">
        <v>0.71931167591021328</v>
      </c>
    </row>
    <row r="193" spans="1:1" x14ac:dyDescent="0.25">
      <c r="A193">
        <v>0.71932423511590848</v>
      </c>
    </row>
    <row r="194" spans="1:1" x14ac:dyDescent="0.25">
      <c r="A194">
        <v>0.71933669223464225</v>
      </c>
    </row>
    <row r="195" spans="1:1" x14ac:dyDescent="0.25">
      <c r="A195">
        <v>0.71934904864643612</v>
      </c>
    </row>
    <row r="196" spans="1:1" x14ac:dyDescent="0.25">
      <c r="A196">
        <v>0.71936130570495682</v>
      </c>
    </row>
    <row r="197" spans="1:1" x14ac:dyDescent="0.25">
      <c r="A197">
        <v>0.71937346473818631</v>
      </c>
    </row>
    <row r="198" spans="1:1" x14ac:dyDescent="0.25">
      <c r="A198">
        <v>0.71938552704906544</v>
      </c>
    </row>
    <row r="199" spans="1:1" x14ac:dyDescent="0.25">
      <c r="A199">
        <v>0.7193974939161204</v>
      </c>
    </row>
    <row r="200" spans="1:1" x14ac:dyDescent="0.25">
      <c r="A200">
        <v>0.71940936659406596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1FAD3-001C-45D6-B55C-3B42057C3C7B}">
  <sheetPr codeName="Feuil2"/>
  <dimension ref="A1:A200"/>
  <sheetViews>
    <sheetView topLeftCell="A83" workbookViewId="0">
      <selection activeCell="B191" sqref="B191"/>
    </sheetView>
  </sheetViews>
  <sheetFormatPr baseColWidth="10" defaultRowHeight="15" x14ac:dyDescent="0.25"/>
  <sheetData>
    <row r="1" spans="1:1" x14ac:dyDescent="0.25">
      <c r="A1">
        <v>0.87666974900583694</v>
      </c>
    </row>
    <row r="2" spans="1:1" x14ac:dyDescent="0.25">
      <c r="A2">
        <v>0.86878639530914337</v>
      </c>
    </row>
    <row r="3" spans="1:1" x14ac:dyDescent="0.25">
      <c r="A3">
        <v>0.86085700967119716</v>
      </c>
    </row>
    <row r="4" spans="1:1" x14ac:dyDescent="0.25">
      <c r="A4">
        <v>0.85294759297864098</v>
      </c>
    </row>
    <row r="5" spans="1:1" x14ac:dyDescent="0.25">
      <c r="A5">
        <v>0.84512061570754315</v>
      </c>
    </row>
    <row r="6" spans="1:1" x14ac:dyDescent="0.25">
      <c r="A6">
        <v>0.83743276614877016</v>
      </c>
    </row>
    <row r="7" spans="1:1" x14ac:dyDescent="0.25">
      <c r="A7">
        <v>0.82993338592248989</v>
      </c>
    </row>
    <row r="8" spans="1:1" x14ac:dyDescent="0.25">
      <c r="A8">
        <v>0.82266363022568056</v>
      </c>
    </row>
    <row r="9" spans="1:1" x14ac:dyDescent="0.25">
      <c r="A9">
        <v>0.81565626327007534</v>
      </c>
    </row>
    <row r="10" spans="1:1" x14ac:dyDescent="0.25">
      <c r="A10">
        <v>0.80893594206500485</v>
      </c>
    </row>
    <row r="11" spans="1:1" x14ac:dyDescent="0.25">
      <c r="A11">
        <v>0.80251983713766606</v>
      </c>
    </row>
    <row r="12" spans="1:1" x14ac:dyDescent="0.25">
      <c r="A12">
        <v>0.79641845850524773</v>
      </c>
    </row>
    <row r="13" spans="1:1" x14ac:dyDescent="0.25">
      <c r="A13">
        <v>0.79063658133228132</v>
      </c>
    </row>
    <row r="14" spans="1:1" x14ac:dyDescent="0.25">
      <c r="A14">
        <v>0.78517419131407451</v>
      </c>
    </row>
    <row r="15" spans="1:1" x14ac:dyDescent="0.25">
      <c r="A15">
        <v>0.78002739290960843</v>
      </c>
    </row>
    <row r="16" spans="1:1" x14ac:dyDescent="0.25">
      <c r="A16">
        <v>0.77518924331869488</v>
      </c>
    </row>
    <row r="17" spans="1:1" x14ac:dyDescent="0.25">
      <c r="A17">
        <v>0.7706504910803269</v>
      </c>
    </row>
    <row r="18" spans="1:1" x14ac:dyDescent="0.25">
      <c r="A18">
        <v>0.76640021026101701</v>
      </c>
    </row>
    <row r="19" spans="1:1" x14ac:dyDescent="0.25">
      <c r="A19">
        <v>0.76242632976629909</v>
      </c>
    </row>
    <row r="20" spans="1:1" x14ac:dyDescent="0.25">
      <c r="A20">
        <v>0.758716063073132</v>
      </c>
    </row>
    <row r="21" spans="1:1" x14ac:dyDescent="0.25">
      <c r="A21">
        <v>0.7552562474905774</v>
      </c>
    </row>
    <row r="22" spans="1:1" x14ac:dyDescent="0.25">
      <c r="A22">
        <v>0.75203360457765833</v>
      </c>
    </row>
    <row r="23" spans="1:1" x14ac:dyDescent="0.25">
      <c r="A23">
        <v>0.74903493486006578</v>
      </c>
    </row>
    <row r="24" spans="1:1" x14ac:dyDescent="0.25">
      <c r="A24">
        <v>0.74624726040771416</v>
      </c>
    </row>
    <row r="25" spans="1:1" x14ac:dyDescent="0.25">
      <c r="A25">
        <v>0.74365792800105812</v>
      </c>
    </row>
    <row r="26" spans="1:1" x14ac:dyDescent="0.25">
      <c r="A26">
        <v>0.74125468363211655</v>
      </c>
    </row>
    <row r="27" spans="1:1" x14ac:dyDescent="0.25">
      <c r="A27">
        <v>0.73902572645196107</v>
      </c>
    </row>
    <row r="28" spans="1:1" x14ac:dyDescent="0.25">
      <c r="A28">
        <v>0.73695974766007533</v>
      </c>
    </row>
    <row r="29" spans="1:1" x14ac:dyDescent="0.25">
      <c r="A29">
        <v>0.73504595773573433</v>
      </c>
    </row>
    <row r="30" spans="1:1" x14ac:dyDescent="0.25">
      <c r="A30">
        <v>0.73327410399601922</v>
      </c>
    </row>
    <row r="31" spans="1:1" x14ac:dyDescent="0.25">
      <c r="A31">
        <v>0.73163447963004213</v>
      </c>
    </row>
    <row r="32" spans="1:1" x14ac:dyDescent="0.25">
      <c r="A32">
        <v>0.73011792494386984</v>
      </c>
    </row>
    <row r="33" spans="1:1" x14ac:dyDescent="0.25">
      <c r="A33">
        <v>0.72871582145187475</v>
      </c>
    </row>
    <row r="34" spans="1:1" x14ac:dyDescent="0.25">
      <c r="A34">
        <v>0.72742007960024979</v>
      </c>
    </row>
    <row r="35" spans="1:1" x14ac:dyDescent="0.25">
      <c r="A35">
        <v>0.72622312120634291</v>
      </c>
    </row>
    <row r="36" spans="1:1" x14ac:dyDescent="0.25">
      <c r="A36">
        <v>0.72511785799005213</v>
      </c>
    </row>
    <row r="37" spans="1:1" x14ac:dyDescent="0.25">
      <c r="A37">
        <v>0.7240976677097134</v>
      </c>
    </row>
    <row r="38" spans="1:1" x14ac:dyDescent="0.25">
      <c r="A38">
        <v>0.7231563693193428</v>
      </c>
    </row>
    <row r="39" spans="1:1" x14ac:dyDescent="0.25">
      <c r="A39">
        <v>0.72228819826636059</v>
      </c>
    </row>
    <row r="40" spans="1:1" x14ac:dyDescent="0.25">
      <c r="A40">
        <v>0.7214877826506747</v>
      </c>
    </row>
    <row r="41" spans="1:1" x14ac:dyDescent="0.25">
      <c r="A41">
        <v>0.72075012058255905</v>
      </c>
    </row>
    <row r="42" spans="1:1" x14ac:dyDescent="0.25">
      <c r="A42">
        <v>0.72007055878648196</v>
      </c>
    </row>
    <row r="43" spans="1:1" x14ac:dyDescent="0.25">
      <c r="A43">
        <v>0.71944477232807569</v>
      </c>
    </row>
    <row r="44" spans="1:1" x14ac:dyDescent="0.25">
      <c r="A44">
        <v>0.71886874527800659</v>
      </c>
    </row>
    <row r="45" spans="1:1" x14ac:dyDescent="0.25">
      <c r="A45">
        <v>0.71833875213637355</v>
      </c>
    </row>
    <row r="46" spans="1:1" x14ac:dyDescent="0.25">
      <c r="A46">
        <v>0.71785133989027405</v>
      </c>
    </row>
    <row r="47" spans="1:1" x14ac:dyDescent="0.25">
      <c r="A47">
        <v>0.71740331063847596</v>
      </c>
    </row>
    <row r="48" spans="1:1" x14ac:dyDescent="0.25">
      <c r="A48">
        <v>0.71699170477380392</v>
      </c>
    </row>
    <row r="49" spans="1:1" x14ac:dyDescent="0.25">
      <c r="A49">
        <v>0.71661378475668003</v>
      </c>
    </row>
    <row r="50" spans="1:1" x14ac:dyDescent="0.25">
      <c r="A50">
        <v>0.71626701953917737</v>
      </c>
    </row>
    <row r="51" spans="1:1" x14ac:dyDescent="0.25">
      <c r="A51">
        <v>0.7159490697078541</v>
      </c>
    </row>
    <row r="52" spans="1:1" x14ac:dyDescent="0.25">
      <c r="A52">
        <v>0.71565777340849968</v>
      </c>
    </row>
    <row r="53" spans="1:1" x14ac:dyDescent="0.25">
      <c r="A53">
        <v>0.71539113310058344</v>
      </c>
    </row>
    <row r="54" spans="1:1" x14ac:dyDescent="0.25">
      <c r="A54">
        <v>0.71514730316789987</v>
      </c>
    </row>
    <row r="55" spans="1:1" x14ac:dyDescent="0.25">
      <c r="A55">
        <v>0.71492457838882395</v>
      </c>
    </row>
    <row r="56" spans="1:1" x14ac:dyDescent="0.25">
      <c r="A56">
        <v>0.71472138324780432</v>
      </c>
    </row>
    <row r="57" spans="1:1" x14ac:dyDescent="0.25">
      <c r="A57">
        <v>0.71453626205165299</v>
      </c>
    </row>
    <row r="58" spans="1:1" x14ac:dyDescent="0.25">
      <c r="A58">
        <v>0.71436786980070066</v>
      </c>
    </row>
    <row r="59" spans="1:1" x14ac:dyDescent="0.25">
      <c r="A59">
        <v>0.71421496375680527</v>
      </c>
    </row>
    <row r="60" spans="1:1" x14ac:dyDescent="0.25">
      <c r="A60">
        <v>0.71407639564677516</v>
      </c>
    </row>
    <row r="61" spans="1:1" x14ac:dyDescent="0.25">
      <c r="A61">
        <v>0.7139511044407898</v>
      </c>
    </row>
    <row r="62" spans="1:1" x14ac:dyDescent="0.25">
      <c r="A62">
        <v>0.71383810964974359</v>
      </c>
    </row>
    <row r="63" spans="1:1" x14ac:dyDescent="0.25">
      <c r="A63">
        <v>0.71373650509219966</v>
      </c>
    </row>
    <row r="64" spans="1:1" x14ac:dyDescent="0.25">
      <c r="A64">
        <v>0.71364545308992533</v>
      </c>
    </row>
    <row r="65" spans="1:1" x14ac:dyDescent="0.25">
      <c r="A65">
        <v>0.71356417905963776</v>
      </c>
    </row>
    <row r="66" spans="1:1" x14ac:dyDescent="0.25">
      <c r="A66">
        <v>0.71349196647678659</v>
      </c>
    </row>
    <row r="67" spans="1:1" x14ac:dyDescent="0.25">
      <c r="A67">
        <v>0.71342815219426237</v>
      </c>
    </row>
    <row r="68" spans="1:1" x14ac:dyDescent="0.25">
      <c r="A68">
        <v>0.71337212210394629</v>
      </c>
    </row>
    <row r="69" spans="1:1" x14ac:dyDescent="0.25">
      <c r="A69">
        <v>0.71332330713206338</v>
      </c>
    </row>
    <row r="70" spans="1:1" x14ac:dyDescent="0.25">
      <c r="A70">
        <v>0.71328117956000248</v>
      </c>
    </row>
    <row r="71" spans="1:1" x14ac:dyDescent="0.25">
      <c r="A71">
        <v>0.71324524966100744</v>
      </c>
    </row>
    <row r="72" spans="1:1" x14ac:dyDescent="0.25">
      <c r="A72">
        <v>0.71321506264056878</v>
      </c>
    </row>
    <row r="73" spans="1:1" x14ac:dyDescent="0.25">
      <c r="A73">
        <v>0.71319019586475407</v>
      </c>
    </row>
    <row r="74" spans="1:1" x14ac:dyDescent="0.25">
      <c r="A74">
        <v>0.71317025635724485</v>
      </c>
    </row>
    <row r="75" spans="1:1" x14ac:dyDescent="0.25">
      <c r="A75">
        <v>0.71315487854278437</v>
      </c>
    </row>
    <row r="76" spans="1:1" x14ac:dyDescent="0.25">
      <c r="A76">
        <v>0.71314372221266598</v>
      </c>
    </row>
    <row r="77" spans="1:1" x14ac:dyDescent="0.25">
      <c r="A77">
        <v>0.71313647068713049</v>
      </c>
    </row>
    <row r="78" spans="1:1" x14ac:dyDescent="0.25">
      <c r="A78">
        <v>0.71313282914987808</v>
      </c>
    </row>
    <row r="79" spans="1:1" x14ac:dyDescent="0.25">
      <c r="A79">
        <v>0.71313252313151398</v>
      </c>
    </row>
    <row r="80" spans="1:1" x14ac:dyDescent="0.25">
      <c r="A80">
        <v>0.71313529712099344</v>
      </c>
    </row>
    <row r="81" spans="1:1" x14ac:dyDescent="0.25">
      <c r="A81">
        <v>0.7131409132869635</v>
      </c>
    </row>
    <row r="82" spans="1:1" x14ac:dyDescent="0.25">
      <c r="A82">
        <v>0.713149150293928</v>
      </c>
    </row>
    <row r="83" spans="1:1" x14ac:dyDescent="0.25">
      <c r="A83">
        <v>0.71315980220099362</v>
      </c>
    </row>
    <row r="84" spans="1:1" x14ac:dyDescent="0.25">
      <c r="A84">
        <v>0.71317267743355572</v>
      </c>
    </row>
    <row r="85" spans="1:1" x14ac:dyDescent="0.25">
      <c r="A85">
        <v>0.7131875978205533</v>
      </c>
    </row>
    <row r="86" spans="1:1" x14ac:dyDescent="0.25">
      <c r="A86">
        <v>0.71320439769159527</v>
      </c>
    </row>
    <row r="87" spans="1:1" x14ac:dyDescent="0.25">
      <c r="A87">
        <v>0.71322292302966595</v>
      </c>
    </row>
    <row r="88" spans="1:1" x14ac:dyDescent="0.25">
      <c r="A88">
        <v>0.71324303067601069</v>
      </c>
    </row>
    <row r="89" spans="1:1" x14ac:dyDescent="0.25">
      <c r="A89">
        <v>0.71326458758449807</v>
      </c>
    </row>
    <row r="90" spans="1:1" x14ac:dyDescent="0.25">
      <c r="A90">
        <v>0.71328747012311233</v>
      </c>
    </row>
    <row r="91" spans="1:1" x14ac:dyDescent="0.25">
      <c r="A91">
        <v>0.71331156342042779</v>
      </c>
    </row>
    <row r="92" spans="1:1" x14ac:dyDescent="0.25">
      <c r="A92">
        <v>0.71333676075507568</v>
      </c>
    </row>
    <row r="93" spans="1:1" x14ac:dyDescent="0.25">
      <c r="A93">
        <v>0.71336296298616519</v>
      </c>
    </row>
    <row r="94" spans="1:1" x14ac:dyDescent="0.25">
      <c r="A94">
        <v>0.71339007802267174</v>
      </c>
    </row>
    <row r="95" spans="1:1" x14ac:dyDescent="0.25">
      <c r="A95">
        <v>0.71341802032974544</v>
      </c>
    </row>
    <row r="96" spans="1:1" x14ac:dyDescent="0.25">
      <c r="A96">
        <v>0.71344671046987085</v>
      </c>
    </row>
    <row r="97" spans="1:1" x14ac:dyDescent="0.25">
      <c r="A97">
        <v>0.71347607467684282</v>
      </c>
    </row>
    <row r="98" spans="1:1" x14ac:dyDescent="0.25">
      <c r="A98">
        <v>0.71350604446048405</v>
      </c>
    </row>
    <row r="99" spans="1:1" x14ac:dyDescent="0.25">
      <c r="A99">
        <v>0.71353655624010159</v>
      </c>
    </row>
    <row r="100" spans="1:1" x14ac:dyDescent="0.25">
      <c r="A100">
        <v>0.7135675510047147</v>
      </c>
    </row>
    <row r="101" spans="1:1" x14ac:dyDescent="0.25">
      <c r="A101">
        <v>0.71359897399814121</v>
      </c>
    </row>
    <row r="102" spans="1:1" x14ac:dyDescent="0.25">
      <c r="A102">
        <v>0.71363077442713718</v>
      </c>
    </row>
    <row r="103" spans="1:1" x14ac:dyDescent="0.25">
      <c r="A103">
        <v>0.71366290519082731</v>
      </c>
    </row>
    <row r="104" spans="1:1" x14ac:dyDescent="0.25">
      <c r="A104">
        <v>0.71369532262983326</v>
      </c>
    </row>
    <row r="105" spans="1:1" x14ac:dyDescent="0.25">
      <c r="A105">
        <v>0.71372798629350198</v>
      </c>
    </row>
    <row r="106" spans="1:1" x14ac:dyDescent="0.25">
      <c r="A106">
        <v>0.71376085872383788</v>
      </c>
    </row>
    <row r="107" spans="1:1" x14ac:dyDescent="0.25">
      <c r="A107">
        <v>0.7137939052547948</v>
      </c>
    </row>
    <row r="108" spans="1:1" x14ac:dyDescent="0.25">
      <c r="A108">
        <v>0.71382709382567622</v>
      </c>
    </row>
    <row r="109" spans="1:1" x14ac:dyDescent="0.25">
      <c r="A109">
        <v>0.71386039480750951</v>
      </c>
    </row>
    <row r="110" spans="1:1" x14ac:dyDescent="0.25">
      <c r="A110">
        <v>0.71389378084136812</v>
      </c>
    </row>
    <row r="111" spans="1:1" x14ac:dyDescent="0.25">
      <c r="A111">
        <v>0.71392722668765574</v>
      </c>
    </row>
    <row r="112" spans="1:1" x14ac:dyDescent="0.25">
      <c r="A112">
        <v>0.7139607090854847</v>
      </c>
    </row>
    <row r="113" spans="1:1" x14ac:dyDescent="0.25">
      <c r="A113">
        <v>0.71399420662138302</v>
      </c>
    </row>
    <row r="114" spans="1:1" x14ac:dyDescent="0.25">
      <c r="A114">
        <v>0.71402769960655921</v>
      </c>
    </row>
    <row r="115" spans="1:1" x14ac:dyDescent="0.25">
      <c r="A115">
        <v>0.71406116996211144</v>
      </c>
    </row>
    <row r="116" spans="1:1" x14ac:dyDescent="0.25">
      <c r="A116">
        <v>0.71409460111156531</v>
      </c>
    </row>
    <row r="117" spans="1:1" x14ac:dyDescent="0.25">
      <c r="A117">
        <v>0.71412797788020432</v>
      </c>
    </row>
    <row r="118" spans="1:1" x14ac:dyDescent="0.25">
      <c r="A118">
        <v>0.71416128640073395</v>
      </c>
    </row>
    <row r="119" spans="1:1" x14ac:dyDescent="0.25">
      <c r="A119">
        <v>0.71419451402477363</v>
      </c>
    </row>
    <row r="120" spans="1:1" x14ac:dyDescent="0.25">
      <c r="A120">
        <v>0.71422764923987203</v>
      </c>
    </row>
    <row r="121" spans="1:1" x14ac:dyDescent="0.25">
      <c r="A121">
        <v>0.71426068159158862</v>
      </c>
    </row>
    <row r="122" spans="1:1" x14ac:dyDescent="0.25">
      <c r="A122">
        <v>0.71429360161038025</v>
      </c>
    </row>
    <row r="123" spans="1:1" x14ac:dyDescent="0.25">
      <c r="A123">
        <v>0.71432640074295939</v>
      </c>
    </row>
    <row r="124" spans="1:1" x14ac:dyDescent="0.25">
      <c r="A124">
        <v>0.71435907128785769</v>
      </c>
    </row>
    <row r="125" spans="1:1" x14ac:dyDescent="0.25">
      <c r="A125">
        <v>0.71439160633493926</v>
      </c>
    </row>
    <row r="126" spans="1:1" x14ac:dyDescent="0.25">
      <c r="A126">
        <v>0.71442399970864345</v>
      </c>
    </row>
    <row r="127" spans="1:1" x14ac:dyDescent="0.25">
      <c r="A127">
        <v>0.71445624591472334</v>
      </c>
    </row>
    <row r="128" spans="1:1" x14ac:dyDescent="0.25">
      <c r="A128">
        <v>0.71448834009030493</v>
      </c>
    </row>
    <row r="129" spans="1:1" x14ac:dyDescent="0.25">
      <c r="A129">
        <v>0.71452027795705086</v>
      </c>
    </row>
    <row r="130" spans="1:1" x14ac:dyDescent="0.25">
      <c r="A130">
        <v>0.71455205577729219</v>
      </c>
    </row>
    <row r="131" spans="1:1" x14ac:dyDescent="0.25">
      <c r="A131">
        <v>0.71458367031292336</v>
      </c>
    </row>
    <row r="132" spans="1:1" x14ac:dyDescent="0.25">
      <c r="A132">
        <v>0.7146151187869485</v>
      </c>
    </row>
    <row r="133" spans="1:1" x14ac:dyDescent="0.25">
      <c r="A133">
        <v>0.71464639884750891</v>
      </c>
    </row>
    <row r="134" spans="1:1" x14ac:dyDescent="0.25">
      <c r="A134">
        <v>0.71467750853424794</v>
      </c>
    </row>
    <row r="135" spans="1:1" x14ac:dyDescent="0.25">
      <c r="A135">
        <v>0.71470844624691277</v>
      </c>
    </row>
    <row r="136" spans="1:1" x14ac:dyDescent="0.25">
      <c r="A136">
        <v>0.71473921071603796</v>
      </c>
    </row>
    <row r="137" spans="1:1" x14ac:dyDescent="0.25">
      <c r="A137">
        <v>0.71476980097561427</v>
      </c>
    </row>
    <row r="138" spans="1:1" x14ac:dyDescent="0.25">
      <c r="A138">
        <v>0.71480021633761337</v>
      </c>
    </row>
    <row r="139" spans="1:1" x14ac:dyDescent="0.25">
      <c r="A139">
        <v>0.71483045636827547</v>
      </c>
    </row>
    <row r="140" spans="1:1" x14ac:dyDescent="0.25">
      <c r="A140">
        <v>0.71486052086605001</v>
      </c>
    </row>
    <row r="141" spans="1:1" x14ac:dyDescent="0.25">
      <c r="A141">
        <v>0.71489040984108554</v>
      </c>
    </row>
    <row r="142" spans="1:1" x14ac:dyDescent="0.25">
      <c r="A142">
        <v>0.7149201234961946</v>
      </c>
    </row>
    <row r="143" spans="1:1" x14ac:dyDescent="0.25">
      <c r="A143">
        <v>0.71494966220918144</v>
      </c>
    </row>
    <row r="144" spans="1:1" x14ac:dyDescent="0.25">
      <c r="A144">
        <v>0.71497902651645784</v>
      </c>
    </row>
    <row r="145" spans="1:1" x14ac:dyDescent="0.25">
      <c r="A145">
        <v>0.7150082170978882</v>
      </c>
    </row>
    <row r="146" spans="1:1" x14ac:dyDescent="0.25">
      <c r="A146">
        <v>0.71503723476273107</v>
      </c>
    </row>
    <row r="147" spans="1:1" x14ac:dyDescent="0.25">
      <c r="A147">
        <v>0.7150660804366642</v>
      </c>
    </row>
    <row r="148" spans="1:1" x14ac:dyDescent="0.25">
      <c r="A148">
        <v>0.71509475514980236</v>
      </c>
    </row>
    <row r="149" spans="1:1" x14ac:dyDescent="0.25">
      <c r="A149">
        <v>0.71512326002561089</v>
      </c>
    </row>
    <row r="150" spans="1:1" x14ac:dyDescent="0.25">
      <c r="A150">
        <v>0.71515159627071767</v>
      </c>
    </row>
    <row r="151" spans="1:1" x14ac:dyDescent="0.25">
      <c r="A151">
        <v>0.7151797651654993</v>
      </c>
    </row>
    <row r="152" spans="1:1" x14ac:dyDescent="0.25">
      <c r="A152">
        <v>0.71520776805542829</v>
      </c>
    </row>
    <row r="153" spans="1:1" x14ac:dyDescent="0.25">
      <c r="A153">
        <v>0.71523560634311678</v>
      </c>
    </row>
    <row r="154" spans="1:1" x14ac:dyDescent="0.25">
      <c r="A154">
        <v>0.71526328148099783</v>
      </c>
    </row>
    <row r="155" spans="1:1" x14ac:dyDescent="0.25">
      <c r="A155">
        <v>0.71529079496461934</v>
      </c>
    </row>
    <row r="156" spans="1:1" x14ac:dyDescent="0.25">
      <c r="A156">
        <v>0.71531814832648921</v>
      </c>
    </row>
    <row r="157" spans="1:1" x14ac:dyDescent="0.25">
      <c r="A157">
        <v>0.71534534313043141</v>
      </c>
    </row>
    <row r="158" spans="1:1" x14ac:dyDescent="0.25">
      <c r="A158">
        <v>0.71537238096643341</v>
      </c>
    </row>
    <row r="159" spans="1:1" x14ac:dyDescent="0.25">
      <c r="A159">
        <v>0.71539926344592586</v>
      </c>
    </row>
    <row r="160" spans="1:1" x14ac:dyDescent="0.25">
      <c r="A160">
        <v>0.71542599219747338</v>
      </c>
    </row>
    <row r="161" spans="1:1" x14ac:dyDescent="0.25">
      <c r="A161">
        <v>0.71545256886285546</v>
      </c>
    </row>
    <row r="162" spans="1:1" x14ac:dyDescent="0.25">
      <c r="A162">
        <v>0.71547899509348334</v>
      </c>
    </row>
    <row r="163" spans="1:1" x14ac:dyDescent="0.25">
      <c r="A163">
        <v>0.71550527254714347</v>
      </c>
    </row>
    <row r="164" spans="1:1" x14ac:dyDescent="0.25">
      <c r="A164">
        <v>0.71553140288504158</v>
      </c>
    </row>
    <row r="165" spans="1:1" x14ac:dyDescent="0.25">
      <c r="A165">
        <v>0.7155573877691247</v>
      </c>
    </row>
    <row r="166" spans="1:1" x14ac:dyDescent="0.25">
      <c r="A166">
        <v>0.71558322885964643</v>
      </c>
    </row>
    <row r="167" spans="1:1" x14ac:dyDescent="0.25">
      <c r="A167">
        <v>0.71560892781297558</v>
      </c>
    </row>
    <row r="168" spans="1:1" x14ac:dyDescent="0.25">
      <c r="A168">
        <v>0.71563448627960835</v>
      </c>
    </row>
    <row r="169" spans="1:1" x14ac:dyDescent="0.25">
      <c r="A169">
        <v>0.71565990590239059</v>
      </c>
    </row>
    <row r="170" spans="1:1" x14ac:dyDescent="0.25">
      <c r="A170">
        <v>0.71568518831491024</v>
      </c>
    </row>
    <row r="171" spans="1:1" x14ac:dyDescent="0.25">
      <c r="A171">
        <v>0.71571033514006144</v>
      </c>
    </row>
    <row r="172" spans="1:1" x14ac:dyDescent="0.25">
      <c r="A172">
        <v>0.71573534798875915</v>
      </c>
    </row>
    <row r="173" spans="1:1" x14ac:dyDescent="0.25">
      <c r="A173">
        <v>0.71576022845879628</v>
      </c>
    </row>
    <row r="174" spans="1:1" x14ac:dyDescent="0.25">
      <c r="A174">
        <v>0.71578497813383346</v>
      </c>
    </row>
    <row r="175" spans="1:1" x14ac:dyDescent="0.25">
      <c r="A175">
        <v>0.7158095985824906</v>
      </c>
    </row>
    <row r="176" spans="1:1" x14ac:dyDescent="0.25">
      <c r="A176">
        <v>0.71583409135756615</v>
      </c>
    </row>
    <row r="177" spans="1:1" x14ac:dyDescent="0.25">
      <c r="A177">
        <v>0.71585845799535019</v>
      </c>
    </row>
    <row r="178" spans="1:1" x14ac:dyDescent="0.25">
      <c r="A178">
        <v>0.71588270001500942</v>
      </c>
    </row>
    <row r="179" spans="1:1" x14ac:dyDescent="0.25">
      <c r="A179">
        <v>0.71590681891808861</v>
      </c>
    </row>
    <row r="180" spans="1:1" x14ac:dyDescent="0.25">
      <c r="A180">
        <v>0.71593081618805443</v>
      </c>
    </row>
    <row r="181" spans="1:1" x14ac:dyDescent="0.25">
      <c r="A181">
        <v>0.71595469328992989</v>
      </c>
    </row>
    <row r="182" spans="1:1" x14ac:dyDescent="0.25">
      <c r="A182">
        <v>0.71597845166998564</v>
      </c>
    </row>
    <row r="183" spans="1:1" x14ac:dyDescent="0.25">
      <c r="A183">
        <v>0.71600209275548443</v>
      </c>
    </row>
    <row r="184" spans="1:1" x14ac:dyDescent="0.25">
      <c r="A184">
        <v>0.71602561795448361</v>
      </c>
    </row>
    <row r="185" spans="1:1" x14ac:dyDescent="0.25">
      <c r="A185">
        <v>0.71604902865568187</v>
      </c>
    </row>
    <row r="186" spans="1:1" x14ac:dyDescent="0.25">
      <c r="A186">
        <v>0.71607232622831474</v>
      </c>
    </row>
    <row r="187" spans="1:1" x14ac:dyDescent="0.25">
      <c r="A187">
        <v>0.71609551202207811</v>
      </c>
    </row>
    <row r="188" spans="1:1" x14ac:dyDescent="0.25">
      <c r="A188">
        <v>0.7161185873671021</v>
      </c>
    </row>
    <row r="189" spans="1:1" x14ac:dyDescent="0.25">
      <c r="A189">
        <v>0.71614155357394349</v>
      </c>
    </row>
    <row r="190" spans="1:1" x14ac:dyDescent="0.25">
      <c r="A190">
        <v>0.71616441193362324</v>
      </c>
    </row>
    <row r="191" spans="1:1" x14ac:dyDescent="0.25">
      <c r="A191">
        <v>0.71618716371767055</v>
      </c>
    </row>
    <row r="192" spans="1:1" x14ac:dyDescent="0.25">
      <c r="A192">
        <v>0.7162098101782095</v>
      </c>
    </row>
    <row r="193" spans="1:1" x14ac:dyDescent="0.25">
      <c r="A193">
        <v>0.71623235254805317</v>
      </c>
    </row>
    <row r="194" spans="1:1" x14ac:dyDescent="0.25">
      <c r="A194">
        <v>0.71625479204083375</v>
      </c>
    </row>
    <row r="195" spans="1:1" x14ac:dyDescent="0.25">
      <c r="A195">
        <v>0.71627712985112257</v>
      </c>
    </row>
    <row r="196" spans="1:1" x14ac:dyDescent="0.25">
      <c r="A196">
        <v>0.71629936715460096</v>
      </c>
    </row>
    <row r="197" spans="1:1" x14ac:dyDescent="0.25">
      <c r="A197">
        <v>0.7163215051082169</v>
      </c>
    </row>
    <row r="198" spans="1:1" x14ac:dyDescent="0.25">
      <c r="A198">
        <v>0.71634354485036134</v>
      </c>
    </row>
    <row r="199" spans="1:1" x14ac:dyDescent="0.25">
      <c r="A199">
        <v>0.71636548750106566</v>
      </c>
    </row>
    <row r="200" spans="1:1" x14ac:dyDescent="0.25">
      <c r="A200">
        <v>0.71638733416219513</v>
      </c>
    </row>
  </sheetData>
  <dataConsolidate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Google</vt:lpstr>
      <vt:lpstr>ArGarchCompute</vt:lpstr>
      <vt:lpstr>ArGarch</vt:lpstr>
      <vt:lpstr>Interface</vt:lpstr>
      <vt:lpstr>CE Simple</vt:lpstr>
      <vt:lpstr>CE MLP</vt:lpstr>
      <vt:lpstr>ArGarchCompute!A_0</vt:lpstr>
      <vt:lpstr>ArGarchCompute!A_1</vt:lpstr>
      <vt:lpstr>ArGarchCompute!B_1</vt:lpstr>
      <vt:lpstr>ArGarchCompute!E_1</vt:lpstr>
      <vt:lpstr>ArGarchCompute!E_2</vt:lpstr>
      <vt:lpstr>ArGarchCompute!s0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Stephan, Samuel</dc:creator>
  <cp:lastModifiedBy>Lukas Tauch</cp:lastModifiedBy>
  <dcterms:created xsi:type="dcterms:W3CDTF">2020-10-30T13:31:26Z</dcterms:created>
  <dcterms:modified xsi:type="dcterms:W3CDTF">2023-01-14T00:55:50Z</dcterms:modified>
</cp:coreProperties>
</file>